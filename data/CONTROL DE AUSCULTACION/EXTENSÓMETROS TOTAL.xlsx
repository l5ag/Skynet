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arciaa\DC\ACCDocs\ACCIONA SA\C3041 - UTE METRO BENGOETXE\Project Files\15 - CONSTRUCCIÓN\15.01 - Topografía\TOP_08 AUSCULTACIÓN\99-FORMATO ACO\"/>
    </mc:Choice>
  </mc:AlternateContent>
  <xr:revisionPtr revIDLastSave="0" documentId="13_ncr:1_{1F9F66E6-39DD-4CEB-AF38-332ACCB7A45F}" xr6:coauthVersionLast="47" xr6:coauthVersionMax="47" xr10:uidLastSave="{00000000-0000-0000-0000-000000000000}"/>
  <bookViews>
    <workbookView xWindow="28680" yWindow="-1905" windowWidth="24240" windowHeight="17520" firstSheet="16" activeTab="16" xr2:uid="{00000000-000D-0000-FFFF-FFFF00000000}"/>
  </bookViews>
  <sheets>
    <sheet name="TZ-6" sheetId="7" state="hidden" r:id="rId1"/>
    <sheet name="TZ-8" sheetId="9" state="hidden" r:id="rId2"/>
    <sheet name="TZ-10" sheetId="11" state="hidden" r:id="rId3"/>
    <sheet name="TZ-12" sheetId="14" state="hidden" r:id="rId4"/>
    <sheet name="TZ-14" sheetId="16" state="hidden" r:id="rId5"/>
    <sheet name="TZ-16" sheetId="18" state="hidden" r:id="rId6"/>
    <sheet name="TZ-18" sheetId="20" state="hidden" r:id="rId7"/>
    <sheet name="TZ-20" sheetId="22" state="hidden" r:id="rId8"/>
    <sheet name="TZ-22" sheetId="24" state="hidden" r:id="rId9"/>
    <sheet name="TZ-24" sheetId="28" state="hidden" r:id="rId10"/>
    <sheet name="TZ-26" sheetId="31" state="hidden" r:id="rId11"/>
    <sheet name="TZ-28" sheetId="33" state="hidden" r:id="rId12"/>
    <sheet name="TZ-30" sheetId="35" state="hidden" r:id="rId13"/>
    <sheet name="TZ-32" sheetId="37" state="hidden" r:id="rId14"/>
    <sheet name="TZ-34" sheetId="39" state="hidden" r:id="rId15"/>
    <sheet name="TZ-36" sheetId="41" state="hidden" r:id="rId16"/>
    <sheet name="EXTENSÓMETROS TOTAL" sheetId="152" r:id="rId17"/>
    <sheet name="TZ-112" sheetId="118" state="hidden" r:id="rId18"/>
    <sheet name="TZ-114" sheetId="120" state="hidden" r:id="rId19"/>
    <sheet name="TZ-115" sheetId="122" state="hidden" r:id="rId20"/>
    <sheet name="TZ-116" sheetId="123" state="hidden" r:id="rId21"/>
    <sheet name="TZ-130" sheetId="145" state="hidden" r:id="rId22"/>
  </sheets>
  <definedNames>
    <definedName name="_xlnm._FilterDatabase" localSheetId="16" hidden="1">'EXTENSÓMETROS TOTAL'!$A$1:$C$100</definedName>
    <definedName name="_xlnm.Print_Area" localSheetId="2">'TZ-10'!$B$2:$Y$59</definedName>
    <definedName name="_xlnm.Print_Area" localSheetId="17">'TZ-112'!$B$2:$Y$59</definedName>
    <definedName name="_xlnm.Print_Area" localSheetId="18">'TZ-114'!$B$2:$Y$59</definedName>
    <definedName name="_xlnm.Print_Area" localSheetId="19">'TZ-115'!$B$2:$Y$59</definedName>
    <definedName name="_xlnm.Print_Area" localSheetId="20">'TZ-116'!$B$2:$Y$59</definedName>
    <definedName name="_xlnm.Print_Area" localSheetId="3">'TZ-12'!$B$2:$Y$59</definedName>
    <definedName name="_xlnm.Print_Area" localSheetId="21">'TZ-130'!$B$2:$Y$59</definedName>
    <definedName name="_xlnm.Print_Area" localSheetId="4">'TZ-14'!$B$2:$Y$59</definedName>
    <definedName name="_xlnm.Print_Area" localSheetId="5">'TZ-16'!$B$2:$Y$59</definedName>
    <definedName name="_xlnm.Print_Area" localSheetId="6">'TZ-18'!$B$2:$Y$59</definedName>
    <definedName name="_xlnm.Print_Area" localSheetId="7">'TZ-20'!$B$2:$Y$59</definedName>
    <definedName name="_xlnm.Print_Area" localSheetId="8">'TZ-22'!$B$2:$Y$59</definedName>
    <definedName name="_xlnm.Print_Area" localSheetId="9">'TZ-24'!$B$2:$Y$59</definedName>
    <definedName name="_xlnm.Print_Area" localSheetId="10">'TZ-26'!$B$2:$Y$59</definedName>
    <definedName name="_xlnm.Print_Area" localSheetId="11">'TZ-28'!$B$2:$Y$59</definedName>
    <definedName name="_xlnm.Print_Area" localSheetId="12">'TZ-30'!$B$2:$Y$59</definedName>
    <definedName name="_xlnm.Print_Area" localSheetId="13">'TZ-32'!$B$2:$Y$59</definedName>
    <definedName name="_xlnm.Print_Area" localSheetId="14">'TZ-34'!$B$2:$Y$59</definedName>
    <definedName name="_xlnm.Print_Area" localSheetId="15">'TZ-36'!$B$2:$Y$59</definedName>
    <definedName name="_xlnm.Print_Area" localSheetId="0">'TZ-6'!$B$2:$Y$59</definedName>
    <definedName name="_xlnm.Print_Area" localSheetId="1">'TZ-8'!$B$2:$Y$59</definedName>
    <definedName name="CAB" localSheetId="2">OFFSET('TZ-10'!$C$17,0,8,COUNTA('TZ-10'!$C$17:$C$153),1)</definedName>
    <definedName name="CAB" localSheetId="17">OFFSET('TZ-112'!$C$17,0,8,COUNTA('TZ-112'!$C$17:$C$153),1)</definedName>
    <definedName name="CAB" localSheetId="18">OFFSET('TZ-114'!$C$17,0,8,COUNTA('TZ-114'!$C$17:$C$153),1)</definedName>
    <definedName name="CAB" localSheetId="19">OFFSET('TZ-115'!$C$17,0,8,COUNTA('TZ-115'!$C$17:$C$153),1)</definedName>
    <definedName name="CAB" localSheetId="20">OFFSET('TZ-116'!$C$17,0,8,COUNTA('TZ-116'!$C$17:$C$153),1)</definedName>
    <definedName name="CAB" localSheetId="3">OFFSET('TZ-12'!$C$17,0,8,COUNTA('TZ-12'!$C$17:$C$153),1)</definedName>
    <definedName name="CAB" localSheetId="21">OFFSET('TZ-130'!$C$17,0,8,COUNTA('TZ-130'!$C$17:$C$153),1)</definedName>
    <definedName name="CAB" localSheetId="4">OFFSET('TZ-14'!$C$17,0,8,COUNTA('TZ-14'!$C$17:$C$153),1)</definedName>
    <definedName name="CAB" localSheetId="5">OFFSET('TZ-16'!$C$17,0,8,COUNTA('TZ-16'!$C$17:$C$153),1)</definedName>
    <definedName name="CAB" localSheetId="6">OFFSET('TZ-18'!$C$17,0,8,COUNTA('TZ-18'!$C$17:$C$153),1)</definedName>
    <definedName name="CAB" localSheetId="7">OFFSET('TZ-20'!$C$17,0,8,COUNTA('TZ-20'!$C$17:$C$153),1)</definedName>
    <definedName name="CAB" localSheetId="8">OFFSET('TZ-22'!$C$17,0,8,COUNTA('TZ-22'!$C$17:$C$153),1)</definedName>
    <definedName name="CAB" localSheetId="9">OFFSET('TZ-24'!$C$17,0,8,COUNTA('TZ-24'!$C$17:$C$153),1)</definedName>
    <definedName name="CAB" localSheetId="10">OFFSET('TZ-26'!$C$17,0,8,COUNTA('TZ-26'!$C$17:$C$153),1)</definedName>
    <definedName name="CAB" localSheetId="11">OFFSET('TZ-28'!$C$17,0,8,COUNTA('TZ-28'!$C$17:$C$153),1)</definedName>
    <definedName name="CAB" localSheetId="12">OFFSET('TZ-30'!$C$17,0,8,COUNTA('TZ-30'!$C$17:$C$153),1)</definedName>
    <definedName name="CAB" localSheetId="13">OFFSET('TZ-32'!$C$17,0,8,COUNTA('TZ-32'!$C$17:$C$153),1)</definedName>
    <definedName name="CAB" localSheetId="14">OFFSET('TZ-34'!$C$17,0,8,COUNTA('TZ-34'!$C$17:$C$153),1)</definedName>
    <definedName name="CAB" localSheetId="15">OFFSET('TZ-36'!$C$17,0,8,COUNTA('TZ-36'!$C$17:$C$153),1)</definedName>
    <definedName name="CAB" localSheetId="0">OFFSET('TZ-6'!$C$17,0,8,COUNTA('TZ-6'!$C$17:$C$153),1)</definedName>
    <definedName name="CAB" localSheetId="1">OFFSET('TZ-8'!$C$17,0,8,COUNTA('TZ-8'!$C$17:$C$153),1)</definedName>
    <definedName name="CAC" localSheetId="2">OFFSET('TZ-10'!$D$17,0,8,COUNTA('TZ-10'!$D$17:$D$153),1)</definedName>
    <definedName name="CAC" localSheetId="17">OFFSET('TZ-112'!$D$17,0,8,COUNTA('TZ-112'!$D$17:$D$153),1)</definedName>
    <definedName name="CAC" localSheetId="18">OFFSET('TZ-114'!$D$17,0,8,COUNTA('TZ-114'!$D$17:$D$153),1)</definedName>
    <definedName name="CAC" localSheetId="19">OFFSET('TZ-115'!$D$17,0,8,COUNTA('TZ-115'!$D$17:$D$153),1)</definedName>
    <definedName name="CAC" localSheetId="20">OFFSET('TZ-116'!$D$17,0,8,COUNTA('TZ-116'!$D$17:$D$153),1)</definedName>
    <definedName name="CAC" localSheetId="3">OFFSET('TZ-12'!$D$17,0,8,COUNTA('TZ-12'!$D$17:$D$153),1)</definedName>
    <definedName name="CAC" localSheetId="21">OFFSET('TZ-130'!$D$17,0,8,COUNTA('TZ-130'!$D$17:$D$153),1)</definedName>
    <definedName name="CAC" localSheetId="4">OFFSET('TZ-14'!$D$17,0,8,COUNTA('TZ-14'!$D$17:$D$153),1)</definedName>
    <definedName name="CAC" localSheetId="5">OFFSET('TZ-16'!$D$17,0,8,COUNTA('TZ-16'!$D$17:$D$153),1)</definedName>
    <definedName name="CAC" localSheetId="6">OFFSET('TZ-18'!$D$17,0,8,COUNTA('TZ-18'!$D$17:$D$153),1)</definedName>
    <definedName name="CAC" localSheetId="7">OFFSET('TZ-20'!$D$17,0,8,COUNTA('TZ-20'!$D$17:$D$153),1)</definedName>
    <definedName name="CAC" localSheetId="8">OFFSET('TZ-22'!$D$17,0,8,COUNTA('TZ-22'!$D$17:$D$153),1)</definedName>
    <definedName name="CAC" localSheetId="9">OFFSET('TZ-24'!$D$17,0,8,COUNTA('TZ-24'!$D$17:$D$153),1)</definedName>
    <definedName name="CAC" localSheetId="10">OFFSET('TZ-26'!$D$17,0,8,COUNTA('TZ-26'!$D$17:$D$153),1)</definedName>
    <definedName name="CAC" localSheetId="11">OFFSET('TZ-28'!$D$17,0,8,COUNTA('TZ-28'!$D$17:$D$153),1)</definedName>
    <definedName name="CAC" localSheetId="12">OFFSET('TZ-30'!$D$17,0,8,COUNTA('TZ-30'!$D$17:$D$153),1)</definedName>
    <definedName name="CAC" localSheetId="13">OFFSET('TZ-32'!$D$17,0,8,COUNTA('TZ-32'!$D$17:$D$153),1)</definedName>
    <definedName name="CAC" localSheetId="14">OFFSET('TZ-34'!$D$17,0,8,COUNTA('TZ-34'!$D$17:$D$153),1)</definedName>
    <definedName name="CAC" localSheetId="15">OFFSET('TZ-36'!$D$17,0,8,COUNTA('TZ-36'!$D$17:$D$153),1)</definedName>
    <definedName name="CAC" localSheetId="0">OFFSET('TZ-6'!$D$17,0,8,COUNTA('TZ-6'!$D$17:$D$153),1)</definedName>
    <definedName name="CAC" localSheetId="1">OFFSET('TZ-8'!$D$17,0,8,COUNTA('TZ-8'!$D$17:$D$153),1)</definedName>
    <definedName name="CBC" localSheetId="2">OFFSET('TZ-10'!$E$17,0,8,COUNTA('TZ-10'!$E$17:$E$153),1)</definedName>
    <definedName name="CBC" localSheetId="17">OFFSET('TZ-112'!$E$17,0,8,COUNTA('TZ-112'!$E$17:$E$153),1)</definedName>
    <definedName name="CBC" localSheetId="18">OFFSET('TZ-114'!$E$17,0,8,COUNTA('TZ-114'!$E$17:$E$153),1)</definedName>
    <definedName name="CBC" localSheetId="19">OFFSET('TZ-115'!$E$17,0,8,COUNTA('TZ-115'!$E$17:$E$153),1)</definedName>
    <definedName name="CBC" localSheetId="20">OFFSET('TZ-116'!$E$17,0,8,COUNTA('TZ-116'!$E$17:$E$153),1)</definedName>
    <definedName name="CBC" localSheetId="3">OFFSET('TZ-12'!$E$17,0,8,COUNTA('TZ-12'!$E$17:$E$153),1)</definedName>
    <definedName name="CBC" localSheetId="21">OFFSET('TZ-130'!$E$17,0,8,COUNTA('TZ-130'!$E$17:$E$153),1)</definedName>
    <definedName name="CBC" localSheetId="4">OFFSET('TZ-14'!$E$17,0,8,COUNTA('TZ-14'!$E$17:$E$153),1)</definedName>
    <definedName name="CBC" localSheetId="5">OFFSET('TZ-16'!$E$17,0,8,COUNTA('TZ-16'!$E$17:$E$153),1)</definedName>
    <definedName name="CBC" localSheetId="6">OFFSET('TZ-18'!$E$17,0,8,COUNTA('TZ-18'!$E$17:$E$153),1)</definedName>
    <definedName name="CBC" localSheetId="7">OFFSET('TZ-20'!$E$17,0,8,COUNTA('TZ-20'!$E$17:$E$153),1)</definedName>
    <definedName name="CBC" localSheetId="8">OFFSET('TZ-22'!$E$17,0,8,COUNTA('TZ-22'!$E$17:$E$153),1)</definedName>
    <definedName name="CBC" localSheetId="9">OFFSET('TZ-24'!$E$17,0,8,COUNTA('TZ-24'!$E$17:$E$153),1)</definedName>
    <definedName name="CBC" localSheetId="10">OFFSET('TZ-26'!$E$17,0,8,COUNTA('TZ-26'!$E$17:$E$153),1)</definedName>
    <definedName name="CBC" localSheetId="11">OFFSET('TZ-28'!$E$17,0,8,COUNTA('TZ-28'!$E$17:$E$153),1)</definedName>
    <definedName name="CBC" localSheetId="12">OFFSET('TZ-30'!$E$17,0,8,COUNTA('TZ-30'!$E$17:$E$153),1)</definedName>
    <definedName name="CBC" localSheetId="13">OFFSET('TZ-32'!$E$17,0,8,COUNTA('TZ-32'!$E$17:$E$153),1)</definedName>
    <definedName name="CBC" localSheetId="14">OFFSET('TZ-34'!$E$17,0,8,COUNTA('TZ-34'!$E$17:$E$153),1)</definedName>
    <definedName name="CBC" localSheetId="15">OFFSET('TZ-36'!$E$17,0,8,COUNTA('TZ-36'!$E$17:$E$153),1)</definedName>
    <definedName name="CBC" localSheetId="0">OFFSET('TZ-6'!$E$17,0,8,COUNTA('TZ-6'!$E$17:$E$153),1)</definedName>
    <definedName name="CBC" localSheetId="1">OFFSET('TZ-8'!$E$17,0,8,COUNTA('TZ-8'!$E$17:$E$153),1)</definedName>
    <definedName name="DISTANCIA" localSheetId="2">OFFSET('TZ-10'!$J$17,0,1,COUNTA('TZ-10'!$J$17:$J$153),1)</definedName>
    <definedName name="DISTANCIA" localSheetId="17">OFFSET('TZ-112'!$J$17,0,1,COUNTA('TZ-112'!$J$17:$J$153),1)</definedName>
    <definedName name="DISTANCIA" localSheetId="18">OFFSET('TZ-114'!$J$17,0,1,COUNTA('TZ-114'!$J$17:$J$153),1)</definedName>
    <definedName name="DISTANCIA" localSheetId="19">OFFSET('TZ-115'!$J$17,0,1,COUNTA('TZ-115'!$J$17:$J$153),1)</definedName>
    <definedName name="DISTANCIA" localSheetId="20">OFFSET('TZ-116'!$J$17,0,1,COUNTA('TZ-116'!$J$17:$J$153),1)</definedName>
    <definedName name="DISTANCIA" localSheetId="3">OFFSET('TZ-12'!$J$17,0,1,COUNTA('TZ-12'!$J$17:$J$153),1)</definedName>
    <definedName name="DISTANCIA" localSheetId="21">OFFSET('TZ-130'!$J$17,0,1,COUNTA('TZ-130'!$J$17:$J$153),1)</definedName>
    <definedName name="DISTANCIA" localSheetId="4">OFFSET('TZ-14'!$J$17,0,1,COUNTA('TZ-14'!$J$17:$J$153),1)</definedName>
    <definedName name="DISTANCIA" localSheetId="5">OFFSET('TZ-16'!$J$17,0,1,COUNTA('TZ-16'!$J$17:$J$153),1)</definedName>
    <definedName name="DISTANCIA" localSheetId="6">OFFSET('TZ-18'!$J$17,0,1,COUNTA('TZ-18'!$J$17:$J$153),1)</definedName>
    <definedName name="DISTANCIA" localSheetId="7">OFFSET('TZ-20'!$J$17,0,1,COUNTA('TZ-20'!$J$17:$J$153),1)</definedName>
    <definedName name="DISTANCIA" localSheetId="8">OFFSET('TZ-22'!$J$17,0,1,COUNTA('TZ-22'!$J$17:$J$153),1)</definedName>
    <definedName name="DISTANCIA" localSheetId="9">OFFSET('TZ-24'!$J$17,0,1,COUNTA('TZ-24'!$J$17:$J$153),1)</definedName>
    <definedName name="DISTANCIA" localSheetId="10">OFFSET('TZ-26'!$J$17,0,1,COUNTA('TZ-26'!$J$17:$J$153),1)</definedName>
    <definedName name="DISTANCIA" localSheetId="11">OFFSET('TZ-28'!$J$17,0,1,COUNTA('TZ-28'!$J$17:$J$153),1)</definedName>
    <definedName name="DISTANCIA" localSheetId="12">OFFSET('TZ-30'!$J$17,0,1,COUNTA('TZ-30'!$J$17:$J$153),1)</definedName>
    <definedName name="DISTANCIA" localSheetId="13">OFFSET('TZ-32'!$J$17,0,1,COUNTA('TZ-32'!$J$17:$J$153),1)</definedName>
    <definedName name="DISTANCIA" localSheetId="14">OFFSET('TZ-34'!$J$17,0,1,COUNTA('TZ-34'!$J$17:$J$153),1)</definedName>
    <definedName name="DISTANCIA" localSheetId="15">OFFSET('TZ-36'!$J$17,0,1,COUNTA('TZ-36'!$J$17:$J$153),1)</definedName>
    <definedName name="DISTANCIA" localSheetId="0">OFFSET('TZ-6'!$J$17,0,1,COUNTA('TZ-6'!$J$17:$J$153),1)</definedName>
    <definedName name="DISTANCIA" localSheetId="1">OFFSET('TZ-8'!$J$17,0,1,COUNTA('TZ-8'!$J$17:$J$153),1)</definedName>
    <definedName name="FECHA" localSheetId="2">OFFSET('TZ-10'!$B$17,0,0,COUNTA('TZ-10'!$B$17:$B$153),1)</definedName>
    <definedName name="FECHA" localSheetId="17">OFFSET('TZ-112'!$B$17,0,0,COUNTA('TZ-112'!$B$17:$B$153),1)</definedName>
    <definedName name="FECHA" localSheetId="18">OFFSET('TZ-114'!$B$17,0,0,COUNTA('TZ-114'!$B$17:$B$153),1)</definedName>
    <definedName name="FECHA" localSheetId="19">OFFSET('TZ-115'!$B$17,0,0,COUNTA('TZ-115'!$B$17:$B$153),1)</definedName>
    <definedName name="FECHA" localSheetId="20">OFFSET('TZ-116'!$B$17,0,0,COUNTA('TZ-116'!$B$17:$B$153),1)</definedName>
    <definedName name="FECHA" localSheetId="3">OFFSET('TZ-12'!$B$17,0,0,COUNTA('TZ-12'!$B$17:$B$153),1)</definedName>
    <definedName name="FECHA" localSheetId="21">OFFSET('TZ-130'!$B$17,0,0,COUNTA('TZ-130'!$B$17:$B$153),1)</definedName>
    <definedName name="FECHA" localSheetId="4">OFFSET('TZ-14'!$B$17,0,0,COUNTA('TZ-14'!$B$17:$B$153),1)</definedName>
    <definedName name="FECHA" localSheetId="5">OFFSET('TZ-16'!$B$17,0,0,COUNTA('TZ-16'!$B$17:$B$153),1)</definedName>
    <definedName name="FECHA" localSheetId="6">OFFSET('TZ-18'!$B$17,0,0,COUNTA('TZ-18'!$B$17:$B$153),1)</definedName>
    <definedName name="FECHA" localSheetId="7">OFFSET('TZ-20'!$B$17,0,0,COUNTA('TZ-20'!$B$17:$B$153),1)</definedName>
    <definedName name="FECHA" localSheetId="8">OFFSET('TZ-22'!$B$17,0,0,COUNTA('TZ-22'!$B$17:$B$153),1)</definedName>
    <definedName name="FECHA" localSheetId="9">OFFSET('TZ-24'!$B$17,0,0,COUNTA('TZ-24'!$B$17:$B$153),1)</definedName>
    <definedName name="FECHA" localSheetId="10">OFFSET('TZ-26'!$B$17,0,0,COUNTA('TZ-26'!$B$17:$B$153),1)</definedName>
    <definedName name="FECHA" localSheetId="11">OFFSET('TZ-28'!$B$17,0,0,COUNTA('TZ-28'!$B$17:$B$153),1)</definedName>
    <definedName name="FECHA" localSheetId="12">OFFSET('TZ-30'!$B$17,0,0,COUNTA('TZ-30'!$B$17:$B$153),1)</definedName>
    <definedName name="FECHA" localSheetId="13">OFFSET('TZ-32'!$B$17,0,0,COUNTA('TZ-32'!$B$17:$B$153),1)</definedName>
    <definedName name="FECHA" localSheetId="14">OFFSET('TZ-34'!$B$17,0,0,COUNTA('TZ-34'!$B$17:$B$153),1)</definedName>
    <definedName name="FECHA" localSheetId="15">OFFSET('TZ-36'!$B$17,0,0,COUNTA('TZ-36'!$B$17:$B$153),1)</definedName>
    <definedName name="FECHA" localSheetId="0">OFFSET('TZ-6'!$B$17,0,0,COUNTA('TZ-6'!$B$17:$B$153),1)</definedName>
    <definedName name="FECHA" localSheetId="1">OFFSET('TZ-8'!$B$17,0,0,COUNTA('TZ-8'!$B$17:$B$153),1)</definedName>
    <definedName name="_xlnm.Print_Titles" localSheetId="2">'TZ-10'!$2:$15</definedName>
    <definedName name="_xlnm.Print_Titles" localSheetId="17">'TZ-112'!$2:$15</definedName>
    <definedName name="_xlnm.Print_Titles" localSheetId="18">'TZ-114'!$2:$15</definedName>
    <definedName name="_xlnm.Print_Titles" localSheetId="19">'TZ-115'!$2:$15</definedName>
    <definedName name="_xlnm.Print_Titles" localSheetId="20">'TZ-116'!$2:$15</definedName>
    <definedName name="_xlnm.Print_Titles" localSheetId="3">'TZ-12'!$2:$15</definedName>
    <definedName name="_xlnm.Print_Titles" localSheetId="21">'TZ-130'!$2:$15</definedName>
    <definedName name="_xlnm.Print_Titles" localSheetId="4">'TZ-14'!$2:$15</definedName>
    <definedName name="_xlnm.Print_Titles" localSheetId="5">'TZ-16'!$2:$15</definedName>
    <definedName name="_xlnm.Print_Titles" localSheetId="6">'TZ-18'!$2:$15</definedName>
    <definedName name="_xlnm.Print_Titles" localSheetId="7">'TZ-20'!$2:$15</definedName>
    <definedName name="_xlnm.Print_Titles" localSheetId="8">'TZ-22'!$2:$15</definedName>
    <definedName name="_xlnm.Print_Titles" localSheetId="9">'TZ-24'!$2:$15</definedName>
    <definedName name="_xlnm.Print_Titles" localSheetId="10">'TZ-26'!$2:$15</definedName>
    <definedName name="_xlnm.Print_Titles" localSheetId="11">'TZ-28'!$2:$15</definedName>
    <definedName name="_xlnm.Print_Titles" localSheetId="12">'TZ-30'!$2:$15</definedName>
    <definedName name="_xlnm.Print_Titles" localSheetId="13">'TZ-32'!$2:$15</definedName>
    <definedName name="_xlnm.Print_Titles" localSheetId="14">'TZ-34'!$2:$15</definedName>
    <definedName name="_xlnm.Print_Titles" localSheetId="15">'TZ-36'!$2:$15</definedName>
    <definedName name="_xlnm.Print_Titles" localSheetId="0">'TZ-6'!$2:$15</definedName>
    <definedName name="_xlnm.Print_Titles" localSheetId="1">'TZ-8'!$2:$15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45" l="1"/>
  <c r="K42" i="145" l="1"/>
  <c r="K41" i="145"/>
  <c r="K40" i="145"/>
  <c r="K39" i="145"/>
  <c r="K38" i="145"/>
  <c r="K37" i="145" l="1"/>
  <c r="O44" i="145"/>
  <c r="P44" i="145"/>
  <c r="Q44" i="145"/>
  <c r="O45" i="145"/>
  <c r="P45" i="145"/>
  <c r="Q45" i="145"/>
  <c r="O46" i="145"/>
  <c r="P46" i="145"/>
  <c r="Q46" i="145"/>
  <c r="O47" i="145"/>
  <c r="P47" i="145"/>
  <c r="Q47" i="145"/>
  <c r="O48" i="145"/>
  <c r="P48" i="145"/>
  <c r="Q48" i="145"/>
  <c r="O49" i="145"/>
  <c r="P49" i="145"/>
  <c r="Q49" i="145"/>
  <c r="O50" i="145"/>
  <c r="P50" i="145"/>
  <c r="Q50" i="145"/>
  <c r="O51" i="145"/>
  <c r="P51" i="145"/>
  <c r="Q51" i="145"/>
  <c r="O52" i="145"/>
  <c r="P52" i="145"/>
  <c r="Q52" i="145"/>
  <c r="O53" i="145"/>
  <c r="P53" i="145"/>
  <c r="Q53" i="145"/>
  <c r="O54" i="145"/>
  <c r="P54" i="145"/>
  <c r="Q54" i="145"/>
  <c r="O55" i="145"/>
  <c r="P55" i="145"/>
  <c r="Q55" i="145"/>
  <c r="O56" i="145"/>
  <c r="P56" i="145"/>
  <c r="Q56" i="145"/>
  <c r="O57" i="145"/>
  <c r="P57" i="145"/>
  <c r="Q57" i="145"/>
  <c r="O58" i="145"/>
  <c r="P58" i="145"/>
  <c r="Q58" i="145"/>
  <c r="O59" i="145"/>
  <c r="P59" i="145"/>
  <c r="Q59" i="145"/>
  <c r="O60" i="145"/>
  <c r="P60" i="145"/>
  <c r="Q60" i="145"/>
  <c r="O61" i="145"/>
  <c r="P61" i="145"/>
  <c r="Q61" i="145"/>
  <c r="O62" i="145"/>
  <c r="P62" i="145"/>
  <c r="Q62" i="145"/>
  <c r="O63" i="145"/>
  <c r="P63" i="145"/>
  <c r="Q63" i="145"/>
  <c r="O64" i="145"/>
  <c r="P64" i="145"/>
  <c r="Q64" i="145"/>
  <c r="O65" i="145"/>
  <c r="P65" i="145"/>
  <c r="Q65" i="145"/>
  <c r="O66" i="145"/>
  <c r="P66" i="145"/>
  <c r="Q66" i="145"/>
  <c r="O67" i="145"/>
  <c r="P67" i="145"/>
  <c r="Q67" i="145"/>
  <c r="O68" i="145"/>
  <c r="P68" i="145"/>
  <c r="Q68" i="145"/>
  <c r="O69" i="145"/>
  <c r="P69" i="145"/>
  <c r="Q69" i="145"/>
  <c r="O70" i="145"/>
  <c r="P70" i="145"/>
  <c r="Q70" i="145"/>
  <c r="O71" i="145"/>
  <c r="P71" i="145"/>
  <c r="Q71" i="145"/>
  <c r="O72" i="145"/>
  <c r="P72" i="145"/>
  <c r="Q72" i="145"/>
  <c r="O73" i="145"/>
  <c r="P73" i="145"/>
  <c r="Q73" i="145"/>
  <c r="O74" i="145"/>
  <c r="P74" i="145"/>
  <c r="Q74" i="145"/>
  <c r="O75" i="145"/>
  <c r="P75" i="145"/>
  <c r="Q75" i="145"/>
  <c r="O76" i="145"/>
  <c r="P76" i="145"/>
  <c r="Q76" i="145"/>
  <c r="O77" i="145"/>
  <c r="P77" i="145"/>
  <c r="Q77" i="145"/>
  <c r="O78" i="145"/>
  <c r="P78" i="145"/>
  <c r="Q78" i="145"/>
  <c r="O79" i="145"/>
  <c r="P79" i="145"/>
  <c r="Q79" i="145"/>
  <c r="O80" i="145"/>
  <c r="P80" i="145"/>
  <c r="Q80" i="145"/>
  <c r="O81" i="145"/>
  <c r="P81" i="145"/>
  <c r="Q81" i="145"/>
  <c r="O82" i="145"/>
  <c r="P82" i="145"/>
  <c r="Q82" i="145"/>
  <c r="O83" i="145"/>
  <c r="P83" i="145"/>
  <c r="Q83" i="145"/>
  <c r="O84" i="145"/>
  <c r="P84" i="145"/>
  <c r="Q84" i="145"/>
  <c r="O85" i="145"/>
  <c r="P85" i="145"/>
  <c r="Q85" i="145"/>
  <c r="O86" i="145"/>
  <c r="P86" i="145"/>
  <c r="Q86" i="145"/>
  <c r="O87" i="145"/>
  <c r="P87" i="145"/>
  <c r="Q87" i="145"/>
  <c r="O88" i="145"/>
  <c r="P88" i="145"/>
  <c r="Q88" i="145"/>
  <c r="O89" i="145"/>
  <c r="P89" i="145"/>
  <c r="Q89" i="145"/>
  <c r="O90" i="145"/>
  <c r="P90" i="145"/>
  <c r="Q90" i="145"/>
  <c r="O91" i="145"/>
  <c r="P91" i="145"/>
  <c r="Q91" i="145"/>
  <c r="O92" i="145"/>
  <c r="P92" i="145"/>
  <c r="Q92" i="145"/>
  <c r="O93" i="145"/>
  <c r="P93" i="145"/>
  <c r="Q93" i="145"/>
  <c r="O94" i="145"/>
  <c r="P94" i="145"/>
  <c r="Q94" i="145"/>
  <c r="O95" i="145"/>
  <c r="P95" i="145"/>
  <c r="Q95" i="145"/>
  <c r="O96" i="145"/>
  <c r="P96" i="145"/>
  <c r="Q96" i="145"/>
  <c r="O97" i="145"/>
  <c r="P97" i="145"/>
  <c r="Q97" i="145"/>
  <c r="O98" i="145"/>
  <c r="P98" i="145"/>
  <c r="Q98" i="145"/>
  <c r="O99" i="145"/>
  <c r="P99" i="145"/>
  <c r="Q99" i="145"/>
  <c r="O100" i="145"/>
  <c r="P100" i="145"/>
  <c r="Q100" i="145"/>
  <c r="O101" i="145"/>
  <c r="P101" i="145"/>
  <c r="Q101" i="145"/>
  <c r="O102" i="145"/>
  <c r="P102" i="145"/>
  <c r="Q102" i="145"/>
  <c r="O103" i="145"/>
  <c r="P103" i="145"/>
  <c r="Q103" i="145"/>
  <c r="O104" i="145"/>
  <c r="P104" i="145"/>
  <c r="Q104" i="145"/>
  <c r="O105" i="145"/>
  <c r="P105" i="145"/>
  <c r="Q105" i="145"/>
  <c r="O106" i="145"/>
  <c r="P106" i="145"/>
  <c r="Q106" i="145"/>
  <c r="O107" i="145"/>
  <c r="P107" i="145"/>
  <c r="Q107" i="145"/>
  <c r="O108" i="145"/>
  <c r="P108" i="145"/>
  <c r="Q108" i="145"/>
  <c r="O109" i="145"/>
  <c r="P109" i="145"/>
  <c r="Q109" i="145"/>
  <c r="O110" i="145"/>
  <c r="P110" i="145"/>
  <c r="Q110" i="145"/>
  <c r="O111" i="145"/>
  <c r="P111" i="145"/>
  <c r="Q111" i="145"/>
  <c r="O112" i="145"/>
  <c r="P112" i="145"/>
  <c r="Q112" i="145"/>
  <c r="O113" i="145"/>
  <c r="P113" i="145"/>
  <c r="Q113" i="145"/>
  <c r="O114" i="145"/>
  <c r="P114" i="145"/>
  <c r="Q114" i="145"/>
  <c r="O115" i="145"/>
  <c r="P115" i="145"/>
  <c r="Q115" i="145"/>
  <c r="O116" i="145"/>
  <c r="P116" i="145"/>
  <c r="Q116" i="145"/>
  <c r="O117" i="145"/>
  <c r="P117" i="145"/>
  <c r="Q117" i="145"/>
  <c r="O118" i="145"/>
  <c r="P118" i="145"/>
  <c r="Q118" i="145"/>
  <c r="O119" i="145"/>
  <c r="P119" i="145"/>
  <c r="Q119" i="145"/>
  <c r="O120" i="145"/>
  <c r="P120" i="145"/>
  <c r="Q120" i="145"/>
  <c r="O121" i="145"/>
  <c r="P121" i="145"/>
  <c r="Q121" i="145"/>
  <c r="O122" i="145"/>
  <c r="P122" i="145"/>
  <c r="Q122" i="145"/>
  <c r="O123" i="145"/>
  <c r="P123" i="145"/>
  <c r="Q123" i="145"/>
  <c r="O124" i="145"/>
  <c r="P124" i="145"/>
  <c r="Q124" i="145"/>
  <c r="O125" i="145"/>
  <c r="P125" i="145"/>
  <c r="Q125" i="145"/>
  <c r="O126" i="145"/>
  <c r="P126" i="145"/>
  <c r="Q126" i="145"/>
  <c r="O127" i="145"/>
  <c r="P127" i="145"/>
  <c r="Q127" i="145"/>
  <c r="O128" i="145"/>
  <c r="P128" i="145"/>
  <c r="Q128" i="145"/>
  <c r="O129" i="145"/>
  <c r="P129" i="145"/>
  <c r="Q129" i="145"/>
  <c r="O130" i="145"/>
  <c r="P130" i="145"/>
  <c r="Q130" i="145"/>
  <c r="O131" i="145"/>
  <c r="P131" i="145"/>
  <c r="Q131" i="145"/>
  <c r="O132" i="145"/>
  <c r="P132" i="145"/>
  <c r="Q132" i="145"/>
  <c r="O133" i="145"/>
  <c r="P133" i="145"/>
  <c r="Q133" i="145"/>
  <c r="O134" i="145"/>
  <c r="P134" i="145"/>
  <c r="Q134" i="145"/>
  <c r="O135" i="145"/>
  <c r="P135" i="145"/>
  <c r="Q135" i="145"/>
  <c r="O136" i="145"/>
  <c r="P136" i="145"/>
  <c r="Q136" i="145"/>
  <c r="O137" i="145"/>
  <c r="P137" i="145"/>
  <c r="Q137" i="145"/>
  <c r="O138" i="145"/>
  <c r="P138" i="145"/>
  <c r="Q138" i="145"/>
  <c r="O139" i="145"/>
  <c r="P139" i="145"/>
  <c r="Q139" i="145"/>
  <c r="O140" i="145"/>
  <c r="P140" i="145"/>
  <c r="Q140" i="145"/>
  <c r="O141" i="145"/>
  <c r="P141" i="145"/>
  <c r="Q141" i="145"/>
  <c r="O142" i="145"/>
  <c r="P142" i="145"/>
  <c r="Q142" i="145"/>
  <c r="O143" i="145"/>
  <c r="P143" i="145"/>
  <c r="Q143" i="145"/>
  <c r="O144" i="145"/>
  <c r="P144" i="145"/>
  <c r="Q144" i="145"/>
  <c r="O145" i="145"/>
  <c r="P145" i="145"/>
  <c r="Q145" i="145"/>
  <c r="O146" i="145"/>
  <c r="P146" i="145"/>
  <c r="Q146" i="145"/>
  <c r="O147" i="145"/>
  <c r="P147" i="145"/>
  <c r="Q147" i="145"/>
  <c r="O148" i="145"/>
  <c r="P148" i="145"/>
  <c r="Q148" i="145"/>
  <c r="O149" i="145"/>
  <c r="P149" i="145"/>
  <c r="Q149" i="145"/>
  <c r="O150" i="145"/>
  <c r="P150" i="145"/>
  <c r="Q150" i="145"/>
  <c r="O151" i="145"/>
  <c r="P151" i="145"/>
  <c r="Q151" i="145"/>
  <c r="O152" i="145"/>
  <c r="P152" i="145"/>
  <c r="Q152" i="145"/>
  <c r="O153" i="145"/>
  <c r="P153" i="145"/>
  <c r="Q153" i="145"/>
  <c r="K36" i="145" l="1"/>
  <c r="K35" i="145"/>
  <c r="K34" i="145"/>
  <c r="K33" i="145"/>
  <c r="W7" i="145"/>
  <c r="X32" i="145"/>
  <c r="W32" i="145"/>
  <c r="V32" i="145"/>
  <c r="U32" i="145"/>
  <c r="T32" i="145"/>
  <c r="S32" i="145"/>
  <c r="R32" i="145"/>
  <c r="N32" i="145"/>
  <c r="M32" i="145"/>
  <c r="L32" i="145"/>
  <c r="K32" i="145"/>
  <c r="U31" i="145"/>
  <c r="T31" i="145"/>
  <c r="S31" i="145"/>
  <c r="R31" i="145"/>
  <c r="N31" i="145"/>
  <c r="Q31" i="145" s="1"/>
  <c r="M31" i="145"/>
  <c r="L31" i="145"/>
  <c r="O31" i="145" s="1"/>
  <c r="K31" i="145"/>
  <c r="X30" i="145"/>
  <c r="W30" i="145"/>
  <c r="V30" i="145"/>
  <c r="U30" i="145"/>
  <c r="T30" i="145"/>
  <c r="S30" i="145"/>
  <c r="R30" i="145"/>
  <c r="Q30" i="145"/>
  <c r="P30" i="145"/>
  <c r="O30" i="145"/>
  <c r="N30" i="145"/>
  <c r="M30" i="145"/>
  <c r="L30" i="145"/>
  <c r="K30" i="145"/>
  <c r="X29" i="145"/>
  <c r="W29" i="145"/>
  <c r="V29" i="145"/>
  <c r="U29" i="145"/>
  <c r="T29" i="145"/>
  <c r="S29" i="145"/>
  <c r="R29" i="145"/>
  <c r="Q29" i="145"/>
  <c r="P29" i="145"/>
  <c r="O29" i="145"/>
  <c r="N29" i="145"/>
  <c r="M29" i="145"/>
  <c r="L29" i="145"/>
  <c r="K29" i="145"/>
  <c r="X28" i="145"/>
  <c r="W28" i="145"/>
  <c r="V28" i="145"/>
  <c r="U28" i="145"/>
  <c r="T28" i="145"/>
  <c r="S28" i="145"/>
  <c r="R28" i="145"/>
  <c r="Q28" i="145"/>
  <c r="P28" i="145"/>
  <c r="O28" i="145"/>
  <c r="N28" i="145"/>
  <c r="M28" i="145"/>
  <c r="L28" i="145"/>
  <c r="K28" i="145"/>
  <c r="X27" i="145"/>
  <c r="W27" i="145"/>
  <c r="V27" i="145"/>
  <c r="U27" i="145"/>
  <c r="T27" i="145"/>
  <c r="S27" i="145"/>
  <c r="R27" i="145"/>
  <c r="Q27" i="145"/>
  <c r="P27" i="145"/>
  <c r="O27" i="145"/>
  <c r="N27" i="145"/>
  <c r="M27" i="145"/>
  <c r="L27" i="145"/>
  <c r="K27" i="145"/>
  <c r="X26" i="145"/>
  <c r="W26" i="145"/>
  <c r="V26" i="145"/>
  <c r="U26" i="145"/>
  <c r="T26" i="145"/>
  <c r="S26" i="145"/>
  <c r="R26" i="145"/>
  <c r="Q26" i="145"/>
  <c r="P26" i="145"/>
  <c r="O26" i="145"/>
  <c r="N26" i="145"/>
  <c r="M26" i="145"/>
  <c r="L26" i="145"/>
  <c r="K26" i="145"/>
  <c r="X25" i="145"/>
  <c r="W25" i="145"/>
  <c r="V25" i="145"/>
  <c r="U25" i="145"/>
  <c r="T25" i="145"/>
  <c r="S25" i="145"/>
  <c r="R25" i="145"/>
  <c r="Q25" i="145"/>
  <c r="P25" i="145"/>
  <c r="O25" i="145"/>
  <c r="N25" i="145"/>
  <c r="M25" i="145"/>
  <c r="L25" i="145"/>
  <c r="K25" i="145"/>
  <c r="X24" i="145"/>
  <c r="W24" i="145"/>
  <c r="V24" i="145"/>
  <c r="U24" i="145"/>
  <c r="T24" i="145"/>
  <c r="S24" i="145"/>
  <c r="R24" i="145"/>
  <c r="Q24" i="145"/>
  <c r="P24" i="145"/>
  <c r="O24" i="145"/>
  <c r="N24" i="145"/>
  <c r="M24" i="145"/>
  <c r="L24" i="145"/>
  <c r="K24" i="145"/>
  <c r="X23" i="145"/>
  <c r="W23" i="145"/>
  <c r="V23" i="145"/>
  <c r="U23" i="145"/>
  <c r="T23" i="145"/>
  <c r="S23" i="145"/>
  <c r="R23" i="145"/>
  <c r="Q23" i="145"/>
  <c r="P23" i="145"/>
  <c r="O23" i="145"/>
  <c r="N23" i="145"/>
  <c r="M23" i="145"/>
  <c r="L23" i="145"/>
  <c r="K23" i="145"/>
  <c r="X22" i="145"/>
  <c r="W22" i="145"/>
  <c r="V22" i="145"/>
  <c r="U22" i="145"/>
  <c r="T22" i="145"/>
  <c r="S22" i="145"/>
  <c r="R22" i="145"/>
  <c r="Q22" i="145"/>
  <c r="P22" i="145"/>
  <c r="O22" i="145"/>
  <c r="N22" i="145"/>
  <c r="M22" i="145"/>
  <c r="L22" i="145"/>
  <c r="K22" i="145"/>
  <c r="X21" i="145"/>
  <c r="W21" i="145"/>
  <c r="V21" i="145"/>
  <c r="U21" i="145"/>
  <c r="T21" i="145"/>
  <c r="S21" i="145"/>
  <c r="R21" i="145"/>
  <c r="Q21" i="145"/>
  <c r="P21" i="145"/>
  <c r="O21" i="145"/>
  <c r="N21" i="145"/>
  <c r="M21" i="145"/>
  <c r="L21" i="145"/>
  <c r="K21" i="145"/>
  <c r="X20" i="145"/>
  <c r="W20" i="145"/>
  <c r="V20" i="145"/>
  <c r="U20" i="145"/>
  <c r="T20" i="145"/>
  <c r="S20" i="145"/>
  <c r="R20" i="145"/>
  <c r="Q20" i="145"/>
  <c r="P20" i="145"/>
  <c r="O20" i="145"/>
  <c r="N20" i="145"/>
  <c r="M20" i="145"/>
  <c r="L20" i="145"/>
  <c r="K20" i="145"/>
  <c r="X19" i="145"/>
  <c r="W19" i="145"/>
  <c r="V19" i="145"/>
  <c r="U19" i="145"/>
  <c r="T19" i="145"/>
  <c r="S19" i="145"/>
  <c r="R19" i="145"/>
  <c r="Q19" i="145"/>
  <c r="P19" i="145"/>
  <c r="O19" i="145"/>
  <c r="N19" i="145"/>
  <c r="M19" i="145"/>
  <c r="L19" i="145"/>
  <c r="K19" i="145"/>
  <c r="X18" i="145"/>
  <c r="W18" i="145"/>
  <c r="V18" i="145"/>
  <c r="U18" i="145"/>
  <c r="T18" i="145"/>
  <c r="S18" i="145"/>
  <c r="R18" i="145"/>
  <c r="Q18" i="145"/>
  <c r="P18" i="145"/>
  <c r="O18" i="145"/>
  <c r="N18" i="145"/>
  <c r="M18" i="145"/>
  <c r="L18" i="145"/>
  <c r="K18" i="145"/>
  <c r="X17" i="145"/>
  <c r="W17" i="145"/>
  <c r="V17" i="145"/>
  <c r="S17" i="145"/>
  <c r="R17" i="145"/>
  <c r="Q17" i="145"/>
  <c r="P17" i="145"/>
  <c r="O17" i="145"/>
  <c r="N17" i="145"/>
  <c r="M17" i="145"/>
  <c r="L17" i="145"/>
  <c r="K17" i="145"/>
  <c r="R16" i="145"/>
  <c r="N16" i="145"/>
  <c r="M16" i="145"/>
  <c r="L16" i="145"/>
  <c r="K16" i="145"/>
  <c r="Y2" i="145"/>
  <c r="L33" i="145"/>
  <c r="M33" i="145"/>
  <c r="N33" i="145"/>
  <c r="R33" i="145"/>
  <c r="S33" i="145"/>
  <c r="T33" i="145"/>
  <c r="U33" i="145"/>
  <c r="V33" i="145"/>
  <c r="W33" i="145"/>
  <c r="X33" i="145"/>
  <c r="L34" i="145"/>
  <c r="M34" i="145"/>
  <c r="N34" i="145"/>
  <c r="R34" i="145"/>
  <c r="S34" i="145"/>
  <c r="T34" i="145"/>
  <c r="U34" i="145"/>
  <c r="V34" i="145"/>
  <c r="W34" i="145"/>
  <c r="X34" i="145"/>
  <c r="L35" i="145"/>
  <c r="M35" i="145"/>
  <c r="N35" i="145"/>
  <c r="R35" i="145"/>
  <c r="S35" i="145"/>
  <c r="T35" i="145"/>
  <c r="U35" i="145"/>
  <c r="V35" i="145"/>
  <c r="W35" i="145"/>
  <c r="X35" i="145"/>
  <c r="L36" i="145"/>
  <c r="M36" i="145"/>
  <c r="N36" i="145"/>
  <c r="R36" i="145"/>
  <c r="S36" i="145"/>
  <c r="T36" i="145"/>
  <c r="U36" i="145"/>
  <c r="V36" i="145"/>
  <c r="W36" i="145"/>
  <c r="X36" i="145"/>
  <c r="L37" i="145"/>
  <c r="M37" i="145"/>
  <c r="N37" i="145"/>
  <c r="R37" i="145"/>
  <c r="S37" i="145"/>
  <c r="T37" i="145"/>
  <c r="U37" i="145"/>
  <c r="V37" i="145"/>
  <c r="W37" i="145"/>
  <c r="X37" i="145"/>
  <c r="L38" i="145"/>
  <c r="M38" i="145"/>
  <c r="N38" i="145"/>
  <c r="R38" i="145"/>
  <c r="S38" i="145"/>
  <c r="T38" i="145"/>
  <c r="U38" i="145"/>
  <c r="V38" i="145"/>
  <c r="W38" i="145"/>
  <c r="X38" i="145"/>
  <c r="L39" i="145"/>
  <c r="M39" i="145"/>
  <c r="N39" i="145"/>
  <c r="R39" i="145"/>
  <c r="S39" i="145"/>
  <c r="T39" i="145"/>
  <c r="U39" i="145"/>
  <c r="V39" i="145"/>
  <c r="W39" i="145"/>
  <c r="X39" i="145"/>
  <c r="L40" i="145"/>
  <c r="M40" i="145"/>
  <c r="N40" i="145"/>
  <c r="R40" i="145"/>
  <c r="S40" i="145"/>
  <c r="T40" i="145"/>
  <c r="U40" i="145"/>
  <c r="V40" i="145"/>
  <c r="W40" i="145"/>
  <c r="X40" i="145"/>
  <c r="L41" i="145"/>
  <c r="M41" i="145"/>
  <c r="N41" i="145"/>
  <c r="R41" i="145"/>
  <c r="S41" i="145"/>
  <c r="T41" i="145"/>
  <c r="U41" i="145"/>
  <c r="V41" i="145"/>
  <c r="W41" i="145"/>
  <c r="X41" i="145"/>
  <c r="L42" i="145"/>
  <c r="M42" i="145"/>
  <c r="N42" i="145"/>
  <c r="R42" i="145"/>
  <c r="S42" i="145"/>
  <c r="T42" i="145"/>
  <c r="U42" i="145"/>
  <c r="V42" i="145"/>
  <c r="W42" i="145"/>
  <c r="X42" i="145"/>
  <c r="L43" i="145"/>
  <c r="M43" i="145"/>
  <c r="N43" i="145"/>
  <c r="R43" i="145"/>
  <c r="S43" i="145"/>
  <c r="T43" i="145"/>
  <c r="U43" i="145"/>
  <c r="V43" i="145"/>
  <c r="W43" i="145"/>
  <c r="X43" i="145"/>
  <c r="L44" i="145"/>
  <c r="M44" i="145"/>
  <c r="N44" i="145"/>
  <c r="R44" i="145"/>
  <c r="S44" i="145"/>
  <c r="T44" i="145"/>
  <c r="U44" i="145"/>
  <c r="V44" i="145"/>
  <c r="W44" i="145"/>
  <c r="X44" i="145"/>
  <c r="L45" i="145"/>
  <c r="M45" i="145"/>
  <c r="N45" i="145"/>
  <c r="R45" i="145"/>
  <c r="S45" i="145"/>
  <c r="T45" i="145"/>
  <c r="U45" i="145"/>
  <c r="V45" i="145"/>
  <c r="W45" i="145"/>
  <c r="X45" i="145"/>
  <c r="L46" i="145"/>
  <c r="M46" i="145"/>
  <c r="N46" i="145"/>
  <c r="R46" i="145"/>
  <c r="S46" i="145"/>
  <c r="T46" i="145"/>
  <c r="U46" i="145"/>
  <c r="V46" i="145"/>
  <c r="W46" i="145"/>
  <c r="X46" i="145"/>
  <c r="L47" i="145"/>
  <c r="M47" i="145"/>
  <c r="N47" i="145"/>
  <c r="R47" i="145"/>
  <c r="S47" i="145"/>
  <c r="T47" i="145"/>
  <c r="U47" i="145"/>
  <c r="V47" i="145"/>
  <c r="W47" i="145"/>
  <c r="X47" i="145"/>
  <c r="L48" i="145"/>
  <c r="M48" i="145"/>
  <c r="N48" i="145"/>
  <c r="R48" i="145"/>
  <c r="S48" i="145"/>
  <c r="T48" i="145"/>
  <c r="U48" i="145"/>
  <c r="V48" i="145"/>
  <c r="W48" i="145"/>
  <c r="X48" i="145"/>
  <c r="L49" i="145"/>
  <c r="M49" i="145"/>
  <c r="N49" i="145"/>
  <c r="R49" i="145"/>
  <c r="S49" i="145"/>
  <c r="T49" i="145"/>
  <c r="U49" i="145"/>
  <c r="V49" i="145"/>
  <c r="W49" i="145"/>
  <c r="X49" i="145"/>
  <c r="L50" i="145"/>
  <c r="M50" i="145"/>
  <c r="N50" i="145"/>
  <c r="R50" i="145"/>
  <c r="S50" i="145"/>
  <c r="T50" i="145"/>
  <c r="U50" i="145"/>
  <c r="V50" i="145"/>
  <c r="W50" i="145"/>
  <c r="X50" i="145"/>
  <c r="L51" i="145"/>
  <c r="M51" i="145"/>
  <c r="N51" i="145"/>
  <c r="R51" i="145"/>
  <c r="S51" i="145"/>
  <c r="T51" i="145"/>
  <c r="U51" i="145"/>
  <c r="V51" i="145"/>
  <c r="W51" i="145"/>
  <c r="X51" i="145"/>
  <c r="L52" i="145"/>
  <c r="M52" i="145"/>
  <c r="N52" i="145"/>
  <c r="R52" i="145"/>
  <c r="S52" i="145"/>
  <c r="T52" i="145"/>
  <c r="U52" i="145"/>
  <c r="V52" i="145"/>
  <c r="W52" i="145"/>
  <c r="X52" i="145"/>
  <c r="L53" i="145"/>
  <c r="M53" i="145"/>
  <c r="N53" i="145"/>
  <c r="R53" i="145"/>
  <c r="S53" i="145"/>
  <c r="T53" i="145"/>
  <c r="U53" i="145"/>
  <c r="V53" i="145"/>
  <c r="W53" i="145"/>
  <c r="X53" i="145"/>
  <c r="L54" i="145"/>
  <c r="M54" i="145"/>
  <c r="N54" i="145"/>
  <c r="R54" i="145"/>
  <c r="S54" i="145"/>
  <c r="T54" i="145"/>
  <c r="U54" i="145"/>
  <c r="V54" i="145"/>
  <c r="W54" i="145"/>
  <c r="X54" i="145"/>
  <c r="L55" i="145"/>
  <c r="M55" i="145"/>
  <c r="N55" i="145"/>
  <c r="R55" i="145"/>
  <c r="S55" i="145"/>
  <c r="T55" i="145"/>
  <c r="U55" i="145"/>
  <c r="V55" i="145"/>
  <c r="W55" i="145"/>
  <c r="X55" i="145"/>
  <c r="L56" i="145"/>
  <c r="M56" i="145"/>
  <c r="N56" i="145"/>
  <c r="R56" i="145"/>
  <c r="S56" i="145"/>
  <c r="T56" i="145"/>
  <c r="U56" i="145"/>
  <c r="V56" i="145"/>
  <c r="W56" i="145"/>
  <c r="X56" i="145"/>
  <c r="L57" i="145"/>
  <c r="M57" i="145"/>
  <c r="N57" i="145"/>
  <c r="R57" i="145"/>
  <c r="S57" i="145"/>
  <c r="T57" i="145"/>
  <c r="U57" i="145"/>
  <c r="V57" i="145"/>
  <c r="W57" i="145"/>
  <c r="X57" i="145"/>
  <c r="L58" i="145"/>
  <c r="M58" i="145"/>
  <c r="N58" i="145"/>
  <c r="R58" i="145"/>
  <c r="S58" i="145"/>
  <c r="T58" i="145"/>
  <c r="U58" i="145"/>
  <c r="V58" i="145"/>
  <c r="W58" i="145"/>
  <c r="X58" i="145"/>
  <c r="L59" i="145"/>
  <c r="M59" i="145"/>
  <c r="N59" i="145"/>
  <c r="R59" i="145"/>
  <c r="S59" i="145"/>
  <c r="T59" i="145"/>
  <c r="U59" i="145"/>
  <c r="V59" i="145"/>
  <c r="W59" i="145"/>
  <c r="X59" i="145"/>
  <c r="L60" i="145"/>
  <c r="M60" i="145"/>
  <c r="N60" i="145"/>
  <c r="R60" i="145"/>
  <c r="S60" i="145"/>
  <c r="T60" i="145"/>
  <c r="U60" i="145"/>
  <c r="V60" i="145"/>
  <c r="W60" i="145"/>
  <c r="X60" i="145"/>
  <c r="L61" i="145"/>
  <c r="M61" i="145"/>
  <c r="N61" i="145"/>
  <c r="R61" i="145"/>
  <c r="S61" i="145"/>
  <c r="T61" i="145"/>
  <c r="U61" i="145"/>
  <c r="V61" i="145"/>
  <c r="W61" i="145"/>
  <c r="X61" i="145"/>
  <c r="L62" i="145"/>
  <c r="M62" i="145"/>
  <c r="N62" i="145"/>
  <c r="R62" i="145"/>
  <c r="S62" i="145"/>
  <c r="T62" i="145"/>
  <c r="U62" i="145"/>
  <c r="V62" i="145"/>
  <c r="W62" i="145"/>
  <c r="X62" i="145"/>
  <c r="L63" i="145"/>
  <c r="M63" i="145"/>
  <c r="N63" i="145"/>
  <c r="R63" i="145"/>
  <c r="S63" i="145"/>
  <c r="T63" i="145"/>
  <c r="U63" i="145"/>
  <c r="V63" i="145"/>
  <c r="W63" i="145"/>
  <c r="X63" i="145"/>
  <c r="L64" i="145"/>
  <c r="M64" i="145"/>
  <c r="N64" i="145"/>
  <c r="R64" i="145"/>
  <c r="S64" i="145"/>
  <c r="T64" i="145"/>
  <c r="U64" i="145"/>
  <c r="V64" i="145"/>
  <c r="W64" i="145"/>
  <c r="X64" i="145"/>
  <c r="L65" i="145"/>
  <c r="M65" i="145"/>
  <c r="N65" i="145"/>
  <c r="R65" i="145"/>
  <c r="S65" i="145"/>
  <c r="T65" i="145"/>
  <c r="U65" i="145"/>
  <c r="V65" i="145"/>
  <c r="W65" i="145"/>
  <c r="X65" i="145"/>
  <c r="L66" i="145"/>
  <c r="M66" i="145"/>
  <c r="N66" i="145"/>
  <c r="R66" i="145"/>
  <c r="S66" i="145"/>
  <c r="T66" i="145"/>
  <c r="U66" i="145"/>
  <c r="V66" i="145"/>
  <c r="W66" i="145"/>
  <c r="X66" i="145"/>
  <c r="L67" i="145"/>
  <c r="M67" i="145"/>
  <c r="N67" i="145"/>
  <c r="R67" i="145"/>
  <c r="S67" i="145"/>
  <c r="T67" i="145"/>
  <c r="U67" i="145"/>
  <c r="V67" i="145"/>
  <c r="W67" i="145"/>
  <c r="X67" i="145"/>
  <c r="L68" i="145"/>
  <c r="M68" i="145"/>
  <c r="N68" i="145"/>
  <c r="R68" i="145"/>
  <c r="S68" i="145"/>
  <c r="T68" i="145"/>
  <c r="U68" i="145"/>
  <c r="V68" i="145"/>
  <c r="W68" i="145"/>
  <c r="X68" i="145"/>
  <c r="L69" i="145"/>
  <c r="M69" i="145"/>
  <c r="N69" i="145"/>
  <c r="R69" i="145"/>
  <c r="S69" i="145"/>
  <c r="T69" i="145"/>
  <c r="U69" i="145"/>
  <c r="V69" i="145"/>
  <c r="W69" i="145"/>
  <c r="X69" i="145"/>
  <c r="L70" i="145"/>
  <c r="M70" i="145"/>
  <c r="N70" i="145"/>
  <c r="R70" i="145"/>
  <c r="S70" i="145"/>
  <c r="T70" i="145"/>
  <c r="U70" i="145"/>
  <c r="V70" i="145"/>
  <c r="W70" i="145"/>
  <c r="X70" i="145"/>
  <c r="L71" i="145"/>
  <c r="M71" i="145"/>
  <c r="N71" i="145"/>
  <c r="R71" i="145"/>
  <c r="S71" i="145"/>
  <c r="T71" i="145"/>
  <c r="U71" i="145"/>
  <c r="V71" i="145"/>
  <c r="W71" i="145"/>
  <c r="X71" i="145"/>
  <c r="L72" i="145"/>
  <c r="M72" i="145"/>
  <c r="N72" i="145"/>
  <c r="R72" i="145"/>
  <c r="S72" i="145"/>
  <c r="T72" i="145"/>
  <c r="U72" i="145"/>
  <c r="V72" i="145"/>
  <c r="W72" i="145"/>
  <c r="X72" i="145"/>
  <c r="L73" i="145"/>
  <c r="M73" i="145"/>
  <c r="N73" i="145"/>
  <c r="R73" i="145"/>
  <c r="S73" i="145"/>
  <c r="T73" i="145"/>
  <c r="U73" i="145"/>
  <c r="V73" i="145"/>
  <c r="W73" i="145"/>
  <c r="X73" i="145"/>
  <c r="L74" i="145"/>
  <c r="M74" i="145"/>
  <c r="N74" i="145"/>
  <c r="R74" i="145"/>
  <c r="S74" i="145"/>
  <c r="T74" i="145"/>
  <c r="U74" i="145"/>
  <c r="V74" i="145"/>
  <c r="W74" i="145"/>
  <c r="X74" i="145"/>
  <c r="L75" i="145"/>
  <c r="M75" i="145"/>
  <c r="N75" i="145"/>
  <c r="R75" i="145"/>
  <c r="S75" i="145"/>
  <c r="T75" i="145"/>
  <c r="U75" i="145"/>
  <c r="V75" i="145"/>
  <c r="W75" i="145"/>
  <c r="X75" i="145"/>
  <c r="L76" i="145"/>
  <c r="M76" i="145"/>
  <c r="N76" i="145"/>
  <c r="R76" i="145"/>
  <c r="S76" i="145"/>
  <c r="T76" i="145"/>
  <c r="U76" i="145"/>
  <c r="V76" i="145"/>
  <c r="W76" i="145"/>
  <c r="X76" i="145"/>
  <c r="L77" i="145"/>
  <c r="M77" i="145"/>
  <c r="N77" i="145"/>
  <c r="R77" i="145"/>
  <c r="S77" i="145"/>
  <c r="T77" i="145"/>
  <c r="U77" i="145"/>
  <c r="V77" i="145"/>
  <c r="W77" i="145"/>
  <c r="X77" i="145"/>
  <c r="L78" i="145"/>
  <c r="M78" i="145"/>
  <c r="N78" i="145"/>
  <c r="R78" i="145"/>
  <c r="S78" i="145"/>
  <c r="T78" i="145"/>
  <c r="U78" i="145"/>
  <c r="V78" i="145"/>
  <c r="W78" i="145"/>
  <c r="X78" i="145"/>
  <c r="L79" i="145"/>
  <c r="M79" i="145"/>
  <c r="N79" i="145"/>
  <c r="R79" i="145"/>
  <c r="S79" i="145"/>
  <c r="T79" i="145"/>
  <c r="U79" i="145"/>
  <c r="V79" i="145"/>
  <c r="W79" i="145"/>
  <c r="X79" i="145"/>
  <c r="L80" i="145"/>
  <c r="M80" i="145"/>
  <c r="N80" i="145"/>
  <c r="R80" i="145"/>
  <c r="S80" i="145"/>
  <c r="T80" i="145"/>
  <c r="U80" i="145"/>
  <c r="V80" i="145"/>
  <c r="W80" i="145"/>
  <c r="X80" i="145"/>
  <c r="L81" i="145"/>
  <c r="M81" i="145"/>
  <c r="N81" i="145"/>
  <c r="R81" i="145"/>
  <c r="S81" i="145"/>
  <c r="T81" i="145"/>
  <c r="U81" i="145"/>
  <c r="V81" i="145"/>
  <c r="W81" i="145"/>
  <c r="X81" i="145"/>
  <c r="L82" i="145"/>
  <c r="M82" i="145"/>
  <c r="N82" i="145"/>
  <c r="R82" i="145"/>
  <c r="S82" i="145"/>
  <c r="T82" i="145"/>
  <c r="U82" i="145"/>
  <c r="V82" i="145"/>
  <c r="W82" i="145"/>
  <c r="X82" i="145"/>
  <c r="L83" i="145"/>
  <c r="M83" i="145"/>
  <c r="N83" i="145"/>
  <c r="R83" i="145"/>
  <c r="S83" i="145"/>
  <c r="T83" i="145"/>
  <c r="U83" i="145"/>
  <c r="V83" i="145"/>
  <c r="W83" i="145"/>
  <c r="X83" i="145"/>
  <c r="L84" i="145"/>
  <c r="M84" i="145"/>
  <c r="N84" i="145"/>
  <c r="R84" i="145"/>
  <c r="S84" i="145"/>
  <c r="T84" i="145"/>
  <c r="U84" i="145"/>
  <c r="V84" i="145"/>
  <c r="W84" i="145"/>
  <c r="X84" i="145"/>
  <c r="L85" i="145"/>
  <c r="M85" i="145"/>
  <c r="N85" i="145"/>
  <c r="R85" i="145"/>
  <c r="S85" i="145"/>
  <c r="T85" i="145"/>
  <c r="U85" i="145"/>
  <c r="V85" i="145"/>
  <c r="W85" i="145"/>
  <c r="X85" i="145"/>
  <c r="L86" i="145"/>
  <c r="M86" i="145"/>
  <c r="N86" i="145"/>
  <c r="R86" i="145"/>
  <c r="S86" i="145"/>
  <c r="T86" i="145"/>
  <c r="U86" i="145"/>
  <c r="V86" i="145"/>
  <c r="W86" i="145"/>
  <c r="X86" i="145"/>
  <c r="L87" i="145"/>
  <c r="M87" i="145"/>
  <c r="N87" i="145"/>
  <c r="R87" i="145"/>
  <c r="S87" i="145"/>
  <c r="T87" i="145"/>
  <c r="U87" i="145"/>
  <c r="V87" i="145"/>
  <c r="W87" i="145"/>
  <c r="X87" i="145"/>
  <c r="L88" i="145"/>
  <c r="M88" i="145"/>
  <c r="N88" i="145"/>
  <c r="R88" i="145"/>
  <c r="S88" i="145"/>
  <c r="T88" i="145"/>
  <c r="U88" i="145"/>
  <c r="V88" i="145"/>
  <c r="W88" i="145"/>
  <c r="X88" i="145"/>
  <c r="L89" i="145"/>
  <c r="M89" i="145"/>
  <c r="N89" i="145"/>
  <c r="R89" i="145"/>
  <c r="S89" i="145"/>
  <c r="T89" i="145"/>
  <c r="U89" i="145"/>
  <c r="V89" i="145"/>
  <c r="W89" i="145"/>
  <c r="X89" i="145"/>
  <c r="L90" i="145"/>
  <c r="M90" i="145"/>
  <c r="N90" i="145"/>
  <c r="R90" i="145"/>
  <c r="S90" i="145"/>
  <c r="T90" i="145"/>
  <c r="U90" i="145"/>
  <c r="V90" i="145"/>
  <c r="W90" i="145"/>
  <c r="X90" i="145"/>
  <c r="L91" i="145"/>
  <c r="M91" i="145"/>
  <c r="N91" i="145"/>
  <c r="R91" i="145"/>
  <c r="S91" i="145"/>
  <c r="T91" i="145"/>
  <c r="U91" i="145"/>
  <c r="V91" i="145"/>
  <c r="W91" i="145"/>
  <c r="X91" i="145"/>
  <c r="L92" i="145"/>
  <c r="M92" i="145"/>
  <c r="N92" i="145"/>
  <c r="R92" i="145"/>
  <c r="S92" i="145"/>
  <c r="T92" i="145"/>
  <c r="U92" i="145"/>
  <c r="V92" i="145"/>
  <c r="W92" i="145"/>
  <c r="X92" i="145"/>
  <c r="L93" i="145"/>
  <c r="M93" i="145"/>
  <c r="N93" i="145"/>
  <c r="R93" i="145"/>
  <c r="S93" i="145"/>
  <c r="T93" i="145"/>
  <c r="U93" i="145"/>
  <c r="V93" i="145"/>
  <c r="W93" i="145"/>
  <c r="X93" i="145"/>
  <c r="L94" i="145"/>
  <c r="M94" i="145"/>
  <c r="N94" i="145"/>
  <c r="R94" i="145"/>
  <c r="S94" i="145"/>
  <c r="T94" i="145"/>
  <c r="U94" i="145"/>
  <c r="V94" i="145"/>
  <c r="W94" i="145"/>
  <c r="X94" i="145"/>
  <c r="L95" i="145"/>
  <c r="M95" i="145"/>
  <c r="N95" i="145"/>
  <c r="R95" i="145"/>
  <c r="S95" i="145"/>
  <c r="T95" i="145"/>
  <c r="U95" i="145"/>
  <c r="V95" i="145"/>
  <c r="W95" i="145"/>
  <c r="X95" i="145"/>
  <c r="L96" i="145"/>
  <c r="M96" i="145"/>
  <c r="N96" i="145"/>
  <c r="R96" i="145"/>
  <c r="S96" i="145"/>
  <c r="T96" i="145"/>
  <c r="U96" i="145"/>
  <c r="V96" i="145"/>
  <c r="W96" i="145"/>
  <c r="X96" i="145"/>
  <c r="L97" i="145"/>
  <c r="M97" i="145"/>
  <c r="N97" i="145"/>
  <c r="R97" i="145"/>
  <c r="S97" i="145"/>
  <c r="T97" i="145"/>
  <c r="U97" i="145"/>
  <c r="V97" i="145"/>
  <c r="W97" i="145"/>
  <c r="X97" i="145"/>
  <c r="L98" i="145"/>
  <c r="M98" i="145"/>
  <c r="N98" i="145"/>
  <c r="R98" i="145"/>
  <c r="S98" i="145"/>
  <c r="T98" i="145"/>
  <c r="U98" i="145"/>
  <c r="V98" i="145"/>
  <c r="W98" i="145"/>
  <c r="X98" i="145"/>
  <c r="L99" i="145"/>
  <c r="M99" i="145"/>
  <c r="N99" i="145"/>
  <c r="R99" i="145"/>
  <c r="S99" i="145"/>
  <c r="T99" i="145"/>
  <c r="U99" i="145"/>
  <c r="V99" i="145"/>
  <c r="W99" i="145"/>
  <c r="X99" i="145"/>
  <c r="L100" i="145"/>
  <c r="M100" i="145"/>
  <c r="N100" i="145"/>
  <c r="R100" i="145"/>
  <c r="S100" i="145"/>
  <c r="T100" i="145"/>
  <c r="U100" i="145"/>
  <c r="V100" i="145"/>
  <c r="W100" i="145"/>
  <c r="X100" i="145"/>
  <c r="L101" i="145"/>
  <c r="M101" i="145"/>
  <c r="N101" i="145"/>
  <c r="R101" i="145"/>
  <c r="S101" i="145"/>
  <c r="T101" i="145"/>
  <c r="U101" i="145"/>
  <c r="V101" i="145"/>
  <c r="W101" i="145"/>
  <c r="X101" i="145"/>
  <c r="L102" i="145"/>
  <c r="M102" i="145"/>
  <c r="N102" i="145"/>
  <c r="R102" i="145"/>
  <c r="S102" i="145"/>
  <c r="T102" i="145"/>
  <c r="U102" i="145"/>
  <c r="V102" i="145"/>
  <c r="W102" i="145"/>
  <c r="X102" i="145"/>
  <c r="L103" i="145"/>
  <c r="M103" i="145"/>
  <c r="N103" i="145"/>
  <c r="R103" i="145"/>
  <c r="S103" i="145"/>
  <c r="T103" i="145"/>
  <c r="U103" i="145"/>
  <c r="V103" i="145"/>
  <c r="W103" i="145"/>
  <c r="X103" i="145"/>
  <c r="L104" i="145"/>
  <c r="M104" i="145"/>
  <c r="N104" i="145"/>
  <c r="R104" i="145"/>
  <c r="S104" i="145"/>
  <c r="T104" i="145"/>
  <c r="U104" i="145"/>
  <c r="V104" i="145"/>
  <c r="W104" i="145"/>
  <c r="X104" i="145"/>
  <c r="L105" i="145"/>
  <c r="M105" i="145"/>
  <c r="N105" i="145"/>
  <c r="R105" i="145"/>
  <c r="S105" i="145"/>
  <c r="T105" i="145"/>
  <c r="U105" i="145"/>
  <c r="V105" i="145"/>
  <c r="W105" i="145"/>
  <c r="X105" i="145"/>
  <c r="L106" i="145"/>
  <c r="M106" i="145"/>
  <c r="N106" i="145"/>
  <c r="R106" i="145"/>
  <c r="S106" i="145"/>
  <c r="T106" i="145"/>
  <c r="U106" i="145"/>
  <c r="V106" i="145"/>
  <c r="W106" i="145"/>
  <c r="X106" i="145"/>
  <c r="L107" i="145"/>
  <c r="M107" i="145"/>
  <c r="N107" i="145"/>
  <c r="R107" i="145"/>
  <c r="S107" i="145"/>
  <c r="T107" i="145"/>
  <c r="U107" i="145"/>
  <c r="V107" i="145"/>
  <c r="W107" i="145"/>
  <c r="X107" i="145"/>
  <c r="L108" i="145"/>
  <c r="M108" i="145"/>
  <c r="N108" i="145"/>
  <c r="R108" i="145"/>
  <c r="S108" i="145"/>
  <c r="T108" i="145"/>
  <c r="U108" i="145"/>
  <c r="V108" i="145"/>
  <c r="W108" i="145"/>
  <c r="X108" i="145"/>
  <c r="L109" i="145"/>
  <c r="M109" i="145"/>
  <c r="N109" i="145"/>
  <c r="R109" i="145"/>
  <c r="S109" i="145"/>
  <c r="T109" i="145"/>
  <c r="U109" i="145"/>
  <c r="V109" i="145"/>
  <c r="W109" i="145"/>
  <c r="X109" i="145"/>
  <c r="L110" i="145"/>
  <c r="M110" i="145"/>
  <c r="N110" i="145"/>
  <c r="R110" i="145"/>
  <c r="S110" i="145"/>
  <c r="T110" i="145"/>
  <c r="U110" i="145"/>
  <c r="V110" i="145"/>
  <c r="W110" i="145"/>
  <c r="X110" i="145"/>
  <c r="L111" i="145"/>
  <c r="M111" i="145"/>
  <c r="N111" i="145"/>
  <c r="R111" i="145"/>
  <c r="S111" i="145"/>
  <c r="T111" i="145"/>
  <c r="U111" i="145"/>
  <c r="V111" i="145"/>
  <c r="W111" i="145"/>
  <c r="X111" i="145"/>
  <c r="L112" i="145"/>
  <c r="M112" i="145"/>
  <c r="N112" i="145"/>
  <c r="R112" i="145"/>
  <c r="S112" i="145"/>
  <c r="T112" i="145"/>
  <c r="U112" i="145"/>
  <c r="V112" i="145"/>
  <c r="W112" i="145"/>
  <c r="X112" i="145"/>
  <c r="L113" i="145"/>
  <c r="M113" i="145"/>
  <c r="N113" i="145"/>
  <c r="R113" i="145"/>
  <c r="S113" i="145"/>
  <c r="T113" i="145"/>
  <c r="U113" i="145"/>
  <c r="V113" i="145"/>
  <c r="W113" i="145"/>
  <c r="X113" i="145"/>
  <c r="L114" i="145"/>
  <c r="M114" i="145"/>
  <c r="N114" i="145"/>
  <c r="R114" i="145"/>
  <c r="S114" i="145"/>
  <c r="T114" i="145"/>
  <c r="U114" i="145"/>
  <c r="V114" i="145"/>
  <c r="W114" i="145"/>
  <c r="X114" i="145"/>
  <c r="L115" i="145"/>
  <c r="M115" i="145"/>
  <c r="N115" i="145"/>
  <c r="R115" i="145"/>
  <c r="S115" i="145"/>
  <c r="T115" i="145"/>
  <c r="U115" i="145"/>
  <c r="V115" i="145"/>
  <c r="W115" i="145"/>
  <c r="X115" i="145"/>
  <c r="L116" i="145"/>
  <c r="M116" i="145"/>
  <c r="N116" i="145"/>
  <c r="R116" i="145"/>
  <c r="S116" i="145"/>
  <c r="T116" i="145"/>
  <c r="U116" i="145"/>
  <c r="V116" i="145"/>
  <c r="W116" i="145"/>
  <c r="X116" i="145"/>
  <c r="L117" i="145"/>
  <c r="M117" i="145"/>
  <c r="N117" i="145"/>
  <c r="R117" i="145"/>
  <c r="S117" i="145"/>
  <c r="T117" i="145"/>
  <c r="U117" i="145"/>
  <c r="V117" i="145"/>
  <c r="W117" i="145"/>
  <c r="X117" i="145"/>
  <c r="L118" i="145"/>
  <c r="M118" i="145"/>
  <c r="N118" i="145"/>
  <c r="R118" i="145"/>
  <c r="S118" i="145"/>
  <c r="T118" i="145"/>
  <c r="U118" i="145"/>
  <c r="V118" i="145"/>
  <c r="W118" i="145"/>
  <c r="X118" i="145"/>
  <c r="L119" i="145"/>
  <c r="M119" i="145"/>
  <c r="N119" i="145"/>
  <c r="R119" i="145"/>
  <c r="S119" i="145"/>
  <c r="T119" i="145"/>
  <c r="U119" i="145"/>
  <c r="V119" i="145"/>
  <c r="W119" i="145"/>
  <c r="X119" i="145"/>
  <c r="L120" i="145"/>
  <c r="M120" i="145"/>
  <c r="N120" i="145"/>
  <c r="R120" i="145"/>
  <c r="S120" i="145"/>
  <c r="T120" i="145"/>
  <c r="U120" i="145"/>
  <c r="V120" i="145"/>
  <c r="W120" i="145"/>
  <c r="X120" i="145"/>
  <c r="L121" i="145"/>
  <c r="M121" i="145"/>
  <c r="N121" i="145"/>
  <c r="R121" i="145"/>
  <c r="S121" i="145"/>
  <c r="T121" i="145"/>
  <c r="U121" i="145"/>
  <c r="V121" i="145"/>
  <c r="W121" i="145"/>
  <c r="X121" i="145"/>
  <c r="L122" i="145"/>
  <c r="M122" i="145"/>
  <c r="N122" i="145"/>
  <c r="R122" i="145"/>
  <c r="S122" i="145"/>
  <c r="T122" i="145"/>
  <c r="U122" i="145"/>
  <c r="V122" i="145"/>
  <c r="W122" i="145"/>
  <c r="X122" i="145"/>
  <c r="L123" i="145"/>
  <c r="M123" i="145"/>
  <c r="N123" i="145"/>
  <c r="R123" i="145"/>
  <c r="S123" i="145"/>
  <c r="T123" i="145"/>
  <c r="U123" i="145"/>
  <c r="V123" i="145"/>
  <c r="W123" i="145"/>
  <c r="X123" i="145"/>
  <c r="L124" i="145"/>
  <c r="M124" i="145"/>
  <c r="N124" i="145"/>
  <c r="R124" i="145"/>
  <c r="S124" i="145"/>
  <c r="T124" i="145"/>
  <c r="U124" i="145"/>
  <c r="V124" i="145"/>
  <c r="W124" i="145"/>
  <c r="X124" i="145"/>
  <c r="L125" i="145"/>
  <c r="M125" i="145"/>
  <c r="N125" i="145"/>
  <c r="R125" i="145"/>
  <c r="S125" i="145"/>
  <c r="T125" i="145"/>
  <c r="U125" i="145"/>
  <c r="V125" i="145"/>
  <c r="W125" i="145"/>
  <c r="X125" i="145"/>
  <c r="L126" i="145"/>
  <c r="M126" i="145"/>
  <c r="N126" i="145"/>
  <c r="R126" i="145"/>
  <c r="S126" i="145"/>
  <c r="T126" i="145"/>
  <c r="U126" i="145"/>
  <c r="V126" i="145"/>
  <c r="W126" i="145"/>
  <c r="X126" i="145"/>
  <c r="L127" i="145"/>
  <c r="M127" i="145"/>
  <c r="N127" i="145"/>
  <c r="R127" i="145"/>
  <c r="S127" i="145"/>
  <c r="T127" i="145"/>
  <c r="U127" i="145"/>
  <c r="V127" i="145"/>
  <c r="W127" i="145"/>
  <c r="X127" i="145"/>
  <c r="L128" i="145"/>
  <c r="M128" i="145"/>
  <c r="N128" i="145"/>
  <c r="R128" i="145"/>
  <c r="S128" i="145"/>
  <c r="T128" i="145"/>
  <c r="U128" i="145"/>
  <c r="V128" i="145"/>
  <c r="W128" i="145"/>
  <c r="X128" i="145"/>
  <c r="L129" i="145"/>
  <c r="M129" i="145"/>
  <c r="N129" i="145"/>
  <c r="R129" i="145"/>
  <c r="S129" i="145"/>
  <c r="T129" i="145"/>
  <c r="U129" i="145"/>
  <c r="V129" i="145"/>
  <c r="W129" i="145"/>
  <c r="X129" i="145"/>
  <c r="L130" i="145"/>
  <c r="M130" i="145"/>
  <c r="N130" i="145"/>
  <c r="R130" i="145"/>
  <c r="S130" i="145"/>
  <c r="T130" i="145"/>
  <c r="U130" i="145"/>
  <c r="V130" i="145"/>
  <c r="W130" i="145"/>
  <c r="X130" i="145"/>
  <c r="L131" i="145"/>
  <c r="M131" i="145"/>
  <c r="N131" i="145"/>
  <c r="R131" i="145"/>
  <c r="S131" i="145"/>
  <c r="T131" i="145"/>
  <c r="U131" i="145"/>
  <c r="V131" i="145"/>
  <c r="W131" i="145"/>
  <c r="X131" i="145"/>
  <c r="L132" i="145"/>
  <c r="M132" i="145"/>
  <c r="N132" i="145"/>
  <c r="R132" i="145"/>
  <c r="S132" i="145"/>
  <c r="T132" i="145"/>
  <c r="U132" i="145"/>
  <c r="V132" i="145"/>
  <c r="W132" i="145"/>
  <c r="X132" i="145"/>
  <c r="L133" i="145"/>
  <c r="M133" i="145"/>
  <c r="N133" i="145"/>
  <c r="R133" i="145"/>
  <c r="S133" i="145"/>
  <c r="T133" i="145"/>
  <c r="U133" i="145"/>
  <c r="V133" i="145"/>
  <c r="W133" i="145"/>
  <c r="X133" i="145"/>
  <c r="L134" i="145"/>
  <c r="M134" i="145"/>
  <c r="N134" i="145"/>
  <c r="R134" i="145"/>
  <c r="S134" i="145"/>
  <c r="T134" i="145"/>
  <c r="U134" i="145"/>
  <c r="V134" i="145"/>
  <c r="W134" i="145"/>
  <c r="X134" i="145"/>
  <c r="L135" i="145"/>
  <c r="M135" i="145"/>
  <c r="N135" i="145"/>
  <c r="R135" i="145"/>
  <c r="S135" i="145"/>
  <c r="T135" i="145"/>
  <c r="U135" i="145"/>
  <c r="V135" i="145"/>
  <c r="W135" i="145"/>
  <c r="X135" i="145"/>
  <c r="L136" i="145"/>
  <c r="M136" i="145"/>
  <c r="N136" i="145"/>
  <c r="R136" i="145"/>
  <c r="S136" i="145"/>
  <c r="T136" i="145"/>
  <c r="U136" i="145"/>
  <c r="V136" i="145"/>
  <c r="W136" i="145"/>
  <c r="X136" i="145"/>
  <c r="L137" i="145"/>
  <c r="M137" i="145"/>
  <c r="N137" i="145"/>
  <c r="R137" i="145"/>
  <c r="S137" i="145"/>
  <c r="T137" i="145"/>
  <c r="U137" i="145"/>
  <c r="V137" i="145"/>
  <c r="W137" i="145"/>
  <c r="X137" i="145"/>
  <c r="L138" i="145"/>
  <c r="M138" i="145"/>
  <c r="N138" i="145"/>
  <c r="R138" i="145"/>
  <c r="S138" i="145"/>
  <c r="T138" i="145"/>
  <c r="U138" i="145"/>
  <c r="V138" i="145"/>
  <c r="W138" i="145"/>
  <c r="X138" i="145"/>
  <c r="L139" i="145"/>
  <c r="M139" i="145"/>
  <c r="N139" i="145"/>
  <c r="R139" i="145"/>
  <c r="S139" i="145"/>
  <c r="T139" i="145"/>
  <c r="U139" i="145"/>
  <c r="V139" i="145"/>
  <c r="W139" i="145"/>
  <c r="X139" i="145"/>
  <c r="L140" i="145"/>
  <c r="M140" i="145"/>
  <c r="N140" i="145"/>
  <c r="R140" i="145"/>
  <c r="S140" i="145"/>
  <c r="T140" i="145"/>
  <c r="U140" i="145"/>
  <c r="V140" i="145"/>
  <c r="W140" i="145"/>
  <c r="X140" i="145"/>
  <c r="L141" i="145"/>
  <c r="M141" i="145"/>
  <c r="N141" i="145"/>
  <c r="R141" i="145"/>
  <c r="S141" i="145"/>
  <c r="T141" i="145"/>
  <c r="U141" i="145"/>
  <c r="V141" i="145"/>
  <c r="W141" i="145"/>
  <c r="X141" i="145"/>
  <c r="L142" i="145"/>
  <c r="M142" i="145"/>
  <c r="N142" i="145"/>
  <c r="R142" i="145"/>
  <c r="S142" i="145"/>
  <c r="T142" i="145"/>
  <c r="U142" i="145"/>
  <c r="V142" i="145"/>
  <c r="W142" i="145"/>
  <c r="X142" i="145"/>
  <c r="L143" i="145"/>
  <c r="M143" i="145"/>
  <c r="N143" i="145"/>
  <c r="R143" i="145"/>
  <c r="S143" i="145"/>
  <c r="T143" i="145"/>
  <c r="U143" i="145"/>
  <c r="V143" i="145"/>
  <c r="W143" i="145"/>
  <c r="X143" i="145"/>
  <c r="L144" i="145"/>
  <c r="M144" i="145"/>
  <c r="N144" i="145"/>
  <c r="R144" i="145"/>
  <c r="S144" i="145"/>
  <c r="T144" i="145"/>
  <c r="U144" i="145"/>
  <c r="V144" i="145"/>
  <c r="W144" i="145"/>
  <c r="X144" i="145"/>
  <c r="L145" i="145"/>
  <c r="M145" i="145"/>
  <c r="N145" i="145"/>
  <c r="R145" i="145"/>
  <c r="S145" i="145"/>
  <c r="T145" i="145"/>
  <c r="U145" i="145"/>
  <c r="V145" i="145"/>
  <c r="W145" i="145"/>
  <c r="X145" i="145"/>
  <c r="L146" i="145"/>
  <c r="M146" i="145"/>
  <c r="N146" i="145"/>
  <c r="R146" i="145"/>
  <c r="S146" i="145"/>
  <c r="T146" i="145"/>
  <c r="U146" i="145"/>
  <c r="V146" i="145"/>
  <c r="W146" i="145"/>
  <c r="X146" i="145"/>
  <c r="L147" i="145"/>
  <c r="M147" i="145"/>
  <c r="N147" i="145"/>
  <c r="R147" i="145"/>
  <c r="S147" i="145"/>
  <c r="T147" i="145"/>
  <c r="U147" i="145"/>
  <c r="V147" i="145"/>
  <c r="W147" i="145"/>
  <c r="X147" i="145"/>
  <c r="L148" i="145"/>
  <c r="M148" i="145"/>
  <c r="N148" i="145"/>
  <c r="R148" i="145"/>
  <c r="S148" i="145"/>
  <c r="T148" i="145"/>
  <c r="U148" i="145"/>
  <c r="V148" i="145"/>
  <c r="W148" i="145"/>
  <c r="X148" i="145"/>
  <c r="L149" i="145"/>
  <c r="M149" i="145"/>
  <c r="N149" i="145"/>
  <c r="R149" i="145"/>
  <c r="S149" i="145"/>
  <c r="T149" i="145"/>
  <c r="U149" i="145"/>
  <c r="V149" i="145"/>
  <c r="W149" i="145"/>
  <c r="X149" i="145"/>
  <c r="L150" i="145"/>
  <c r="M150" i="145"/>
  <c r="N150" i="145"/>
  <c r="R150" i="145"/>
  <c r="S150" i="145"/>
  <c r="T150" i="145"/>
  <c r="U150" i="145"/>
  <c r="V150" i="145"/>
  <c r="W150" i="145"/>
  <c r="X150" i="145"/>
  <c r="L151" i="145"/>
  <c r="M151" i="145"/>
  <c r="N151" i="145"/>
  <c r="R151" i="145"/>
  <c r="S151" i="145"/>
  <c r="T151" i="145"/>
  <c r="U151" i="145"/>
  <c r="V151" i="145"/>
  <c r="W151" i="145"/>
  <c r="X151" i="145"/>
  <c r="L152" i="145"/>
  <c r="M152" i="145"/>
  <c r="N152" i="145"/>
  <c r="R152" i="145"/>
  <c r="S152" i="145"/>
  <c r="T152" i="145"/>
  <c r="U152" i="145"/>
  <c r="V152" i="145"/>
  <c r="W152" i="145"/>
  <c r="X152" i="145"/>
  <c r="L153" i="145"/>
  <c r="M153" i="145"/>
  <c r="N153" i="145"/>
  <c r="R153" i="145"/>
  <c r="S153" i="145"/>
  <c r="T153" i="145"/>
  <c r="U153" i="145"/>
  <c r="V153" i="145"/>
  <c r="W153" i="145"/>
  <c r="X153" i="145"/>
  <c r="P31" i="145" l="1"/>
  <c r="P34" i="145"/>
  <c r="P38" i="145"/>
  <c r="P42" i="145"/>
  <c r="P33" i="145"/>
  <c r="P37" i="145"/>
  <c r="P41" i="145"/>
  <c r="P32" i="145"/>
  <c r="P36" i="145"/>
  <c r="P40" i="145"/>
  <c r="P35" i="145"/>
  <c r="P39" i="145"/>
  <c r="P43" i="145"/>
  <c r="Q35" i="145"/>
  <c r="Q39" i="145"/>
  <c r="Q43" i="145"/>
  <c r="Q34" i="145"/>
  <c r="Q38" i="145"/>
  <c r="Q42" i="145"/>
  <c r="Q33" i="145"/>
  <c r="Q37" i="145"/>
  <c r="Q41" i="145"/>
  <c r="Q32" i="145"/>
  <c r="Q36" i="145"/>
  <c r="Q40" i="145"/>
  <c r="O33" i="145"/>
  <c r="O37" i="145"/>
  <c r="O41" i="145"/>
  <c r="O32" i="145"/>
  <c r="O36" i="145"/>
  <c r="O40" i="145"/>
  <c r="O35" i="145"/>
  <c r="O39" i="145"/>
  <c r="O43" i="145"/>
  <c r="O34" i="145"/>
  <c r="O38" i="145"/>
  <c r="O42" i="145"/>
  <c r="K40" i="123"/>
  <c r="K47" i="120"/>
  <c r="K45" i="118"/>
  <c r="K44" i="41" l="1"/>
  <c r="K37" i="39"/>
  <c r="K42" i="37"/>
  <c r="K39" i="35"/>
  <c r="K42" i="33"/>
  <c r="K40" i="31"/>
  <c r="K37" i="28"/>
  <c r="K55" i="24"/>
  <c r="K59" i="22" l="1"/>
  <c r="K68" i="20"/>
  <c r="K51" i="18"/>
  <c r="K60" i="16"/>
  <c r="K51" i="14"/>
  <c r="K61" i="11"/>
  <c r="K69" i="9"/>
  <c r="K49" i="7"/>
  <c r="K39" i="123"/>
  <c r="K46" i="120"/>
  <c r="K44" i="118"/>
  <c r="K38" i="123" l="1"/>
  <c r="K37" i="123" l="1"/>
  <c r="K45" i="120"/>
  <c r="K43" i="118"/>
  <c r="P35" i="123" l="1"/>
  <c r="Q35" i="123"/>
  <c r="P36" i="123"/>
  <c r="Q36" i="123"/>
  <c r="P37" i="123"/>
  <c r="Q37" i="123"/>
  <c r="P38" i="123"/>
  <c r="Q38" i="123"/>
  <c r="P39" i="123"/>
  <c r="Q39" i="123"/>
  <c r="P40" i="123"/>
  <c r="Q40" i="123"/>
  <c r="O41" i="123"/>
  <c r="P41" i="123"/>
  <c r="Q41" i="123"/>
  <c r="O42" i="123"/>
  <c r="P42" i="123"/>
  <c r="Q42" i="123"/>
  <c r="O43" i="123"/>
  <c r="P43" i="123"/>
  <c r="Q43" i="123"/>
  <c r="O44" i="123"/>
  <c r="P44" i="123"/>
  <c r="Q44" i="123"/>
  <c r="O45" i="123"/>
  <c r="P45" i="123"/>
  <c r="Q45" i="123"/>
  <c r="O46" i="123"/>
  <c r="P46" i="123"/>
  <c r="Q46" i="123"/>
  <c r="O47" i="123"/>
  <c r="P47" i="123"/>
  <c r="Q47" i="123"/>
  <c r="O48" i="123"/>
  <c r="P48" i="123"/>
  <c r="Q48" i="123"/>
  <c r="O49" i="123"/>
  <c r="P49" i="123"/>
  <c r="Q49" i="123"/>
  <c r="O50" i="123"/>
  <c r="P50" i="123"/>
  <c r="Q50" i="123"/>
  <c r="O51" i="123"/>
  <c r="P51" i="123"/>
  <c r="Q51" i="123"/>
  <c r="O52" i="123"/>
  <c r="P52" i="123"/>
  <c r="Q52" i="123"/>
  <c r="O53" i="123"/>
  <c r="P53" i="123"/>
  <c r="Q53" i="123"/>
  <c r="O54" i="123"/>
  <c r="P54" i="123"/>
  <c r="Q54" i="123"/>
  <c r="O55" i="123"/>
  <c r="P55" i="123"/>
  <c r="Q55" i="123"/>
  <c r="O56" i="123"/>
  <c r="P56" i="123"/>
  <c r="Q56" i="123"/>
  <c r="O57" i="123"/>
  <c r="P57" i="123"/>
  <c r="Q57" i="123"/>
  <c r="O58" i="123"/>
  <c r="P58" i="123"/>
  <c r="Q58" i="123"/>
  <c r="O59" i="123"/>
  <c r="P59" i="123"/>
  <c r="Q59" i="123"/>
  <c r="O60" i="123"/>
  <c r="P60" i="123"/>
  <c r="Q60" i="123"/>
  <c r="O61" i="123"/>
  <c r="P61" i="123"/>
  <c r="Q61" i="123"/>
  <c r="O62" i="123"/>
  <c r="P62" i="123"/>
  <c r="Q62" i="123"/>
  <c r="O63" i="123"/>
  <c r="P63" i="123"/>
  <c r="Q63" i="123"/>
  <c r="O64" i="123"/>
  <c r="P64" i="123"/>
  <c r="Q64" i="123"/>
  <c r="O65" i="123"/>
  <c r="P65" i="123"/>
  <c r="Q65" i="123"/>
  <c r="O66" i="123"/>
  <c r="P66" i="123"/>
  <c r="Q66" i="123"/>
  <c r="O67" i="123"/>
  <c r="P67" i="123"/>
  <c r="Q67" i="123"/>
  <c r="O68" i="123"/>
  <c r="P68" i="123"/>
  <c r="Q68" i="123"/>
  <c r="O69" i="123"/>
  <c r="P69" i="123"/>
  <c r="Q69" i="123"/>
  <c r="O70" i="123"/>
  <c r="P70" i="123"/>
  <c r="Q70" i="123"/>
  <c r="O71" i="123"/>
  <c r="P71" i="123"/>
  <c r="Q71" i="123"/>
  <c r="O72" i="123"/>
  <c r="P72" i="123"/>
  <c r="Q72" i="123"/>
  <c r="O73" i="123"/>
  <c r="P73" i="123"/>
  <c r="Q73" i="123"/>
  <c r="O74" i="123"/>
  <c r="P74" i="123"/>
  <c r="Q74" i="123"/>
  <c r="O75" i="123"/>
  <c r="P75" i="123"/>
  <c r="Q75" i="123"/>
  <c r="O76" i="123"/>
  <c r="P76" i="123"/>
  <c r="Q76" i="123"/>
  <c r="O77" i="123"/>
  <c r="P77" i="123"/>
  <c r="Q77" i="123"/>
  <c r="O78" i="123"/>
  <c r="P78" i="123"/>
  <c r="Q78" i="123"/>
  <c r="O79" i="123"/>
  <c r="P79" i="123"/>
  <c r="Q79" i="123"/>
  <c r="O80" i="123"/>
  <c r="P80" i="123"/>
  <c r="Q80" i="123"/>
  <c r="O81" i="123"/>
  <c r="P81" i="123"/>
  <c r="Q81" i="123"/>
  <c r="O82" i="123"/>
  <c r="P82" i="123"/>
  <c r="Q82" i="123"/>
  <c r="O83" i="123"/>
  <c r="P83" i="123"/>
  <c r="Q83" i="123"/>
  <c r="O84" i="123"/>
  <c r="P84" i="123"/>
  <c r="Q84" i="123"/>
  <c r="O85" i="123"/>
  <c r="P85" i="123"/>
  <c r="Q85" i="123"/>
  <c r="O86" i="123"/>
  <c r="P86" i="123"/>
  <c r="Q86" i="123"/>
  <c r="O87" i="123"/>
  <c r="P87" i="123"/>
  <c r="Q87" i="123"/>
  <c r="O88" i="123"/>
  <c r="P88" i="123"/>
  <c r="Q88" i="123"/>
  <c r="O89" i="123"/>
  <c r="P89" i="123"/>
  <c r="Q89" i="123"/>
  <c r="O90" i="123"/>
  <c r="P90" i="123"/>
  <c r="Q90" i="123"/>
  <c r="O91" i="123"/>
  <c r="P91" i="123"/>
  <c r="Q91" i="123"/>
  <c r="O92" i="123"/>
  <c r="P92" i="123"/>
  <c r="Q92" i="123"/>
  <c r="O93" i="123"/>
  <c r="P93" i="123"/>
  <c r="Q93" i="123"/>
  <c r="O94" i="123"/>
  <c r="P94" i="123"/>
  <c r="Q94" i="123"/>
  <c r="O95" i="123"/>
  <c r="P95" i="123"/>
  <c r="Q95" i="123"/>
  <c r="O96" i="123"/>
  <c r="P96" i="123"/>
  <c r="Q96" i="123"/>
  <c r="O97" i="123"/>
  <c r="P97" i="123"/>
  <c r="Q97" i="123"/>
  <c r="O98" i="123"/>
  <c r="P98" i="123"/>
  <c r="Q98" i="123"/>
  <c r="O99" i="123"/>
  <c r="P99" i="123"/>
  <c r="Q99" i="123"/>
  <c r="O100" i="123"/>
  <c r="P100" i="123"/>
  <c r="Q100" i="123"/>
  <c r="O101" i="123"/>
  <c r="P101" i="123"/>
  <c r="Q101" i="123"/>
  <c r="O102" i="123"/>
  <c r="P102" i="123"/>
  <c r="Q102" i="123"/>
  <c r="O103" i="123"/>
  <c r="P103" i="123"/>
  <c r="Q103" i="123"/>
  <c r="O104" i="123"/>
  <c r="P104" i="123"/>
  <c r="Q104" i="123"/>
  <c r="O105" i="123"/>
  <c r="P105" i="123"/>
  <c r="Q105" i="123"/>
  <c r="O106" i="123"/>
  <c r="P106" i="123"/>
  <c r="Q106" i="123"/>
  <c r="O107" i="123"/>
  <c r="P107" i="123"/>
  <c r="Q107" i="123"/>
  <c r="O108" i="123"/>
  <c r="P108" i="123"/>
  <c r="Q108" i="123"/>
  <c r="O109" i="123"/>
  <c r="P109" i="123"/>
  <c r="Q109" i="123"/>
  <c r="O110" i="123"/>
  <c r="P110" i="123"/>
  <c r="Q110" i="123"/>
  <c r="O111" i="123"/>
  <c r="P111" i="123"/>
  <c r="Q111" i="123"/>
  <c r="O112" i="123"/>
  <c r="P112" i="123"/>
  <c r="Q112" i="123"/>
  <c r="O113" i="123"/>
  <c r="P113" i="123"/>
  <c r="Q113" i="123"/>
  <c r="O114" i="123"/>
  <c r="P114" i="123"/>
  <c r="Q114" i="123"/>
  <c r="O115" i="123"/>
  <c r="P115" i="123"/>
  <c r="Q115" i="123"/>
  <c r="O116" i="123"/>
  <c r="P116" i="123"/>
  <c r="Q116" i="123"/>
  <c r="O117" i="123"/>
  <c r="P117" i="123"/>
  <c r="Q117" i="123"/>
  <c r="O118" i="123"/>
  <c r="P118" i="123"/>
  <c r="Q118" i="123"/>
  <c r="O119" i="123"/>
  <c r="P119" i="123"/>
  <c r="Q119" i="123"/>
  <c r="O120" i="123"/>
  <c r="P120" i="123"/>
  <c r="Q120" i="123"/>
  <c r="O121" i="123"/>
  <c r="P121" i="123"/>
  <c r="Q121" i="123"/>
  <c r="O122" i="123"/>
  <c r="P122" i="123"/>
  <c r="Q122" i="123"/>
  <c r="O123" i="123"/>
  <c r="P123" i="123"/>
  <c r="Q123" i="123"/>
  <c r="O124" i="123"/>
  <c r="P124" i="123"/>
  <c r="Q124" i="123"/>
  <c r="O125" i="123"/>
  <c r="P125" i="123"/>
  <c r="Q125" i="123"/>
  <c r="O126" i="123"/>
  <c r="P126" i="123"/>
  <c r="Q126" i="123"/>
  <c r="O127" i="123"/>
  <c r="P127" i="123"/>
  <c r="Q127" i="123"/>
  <c r="O128" i="123"/>
  <c r="P128" i="123"/>
  <c r="Q128" i="123"/>
  <c r="O129" i="123"/>
  <c r="P129" i="123"/>
  <c r="Q129" i="123"/>
  <c r="O130" i="123"/>
  <c r="P130" i="123"/>
  <c r="Q130" i="123"/>
  <c r="O131" i="123"/>
  <c r="P131" i="123"/>
  <c r="Q131" i="123"/>
  <c r="O132" i="123"/>
  <c r="P132" i="123"/>
  <c r="Q132" i="123"/>
  <c r="O133" i="123"/>
  <c r="P133" i="123"/>
  <c r="Q133" i="123"/>
  <c r="O134" i="123"/>
  <c r="P134" i="123"/>
  <c r="Q134" i="123"/>
  <c r="O135" i="123"/>
  <c r="P135" i="123"/>
  <c r="Q135" i="123"/>
  <c r="O136" i="123"/>
  <c r="P136" i="123"/>
  <c r="Q136" i="123"/>
  <c r="O137" i="123"/>
  <c r="P137" i="123"/>
  <c r="Q137" i="123"/>
  <c r="O138" i="123"/>
  <c r="P138" i="123"/>
  <c r="Q138" i="123"/>
  <c r="O139" i="123"/>
  <c r="P139" i="123"/>
  <c r="Q139" i="123"/>
  <c r="O140" i="123"/>
  <c r="P140" i="123"/>
  <c r="Q140" i="123"/>
  <c r="O141" i="123"/>
  <c r="P141" i="123"/>
  <c r="Q141" i="123"/>
  <c r="O142" i="123"/>
  <c r="P142" i="123"/>
  <c r="Q142" i="123"/>
  <c r="O143" i="123"/>
  <c r="P143" i="123"/>
  <c r="Q143" i="123"/>
  <c r="O144" i="123"/>
  <c r="P144" i="123"/>
  <c r="Q144" i="123"/>
  <c r="O145" i="123"/>
  <c r="P145" i="123"/>
  <c r="Q145" i="123"/>
  <c r="O146" i="123"/>
  <c r="P146" i="123"/>
  <c r="Q146" i="123"/>
  <c r="O147" i="123"/>
  <c r="P147" i="123"/>
  <c r="Q147" i="123"/>
  <c r="O148" i="123"/>
  <c r="P148" i="123"/>
  <c r="Q148" i="123"/>
  <c r="O149" i="123"/>
  <c r="P149" i="123"/>
  <c r="Q149" i="123"/>
  <c r="O150" i="123"/>
  <c r="P150" i="123"/>
  <c r="Q150" i="123"/>
  <c r="O151" i="123"/>
  <c r="P151" i="123"/>
  <c r="Q151" i="123"/>
  <c r="O152" i="123"/>
  <c r="P152" i="123"/>
  <c r="Q152" i="123"/>
  <c r="O153" i="123"/>
  <c r="P153" i="123"/>
  <c r="Q153" i="123"/>
  <c r="Q34" i="123"/>
  <c r="P34" i="123"/>
  <c r="K36" i="123" l="1"/>
  <c r="K35" i="123"/>
  <c r="K34" i="123"/>
  <c r="K44" i="120"/>
  <c r="K43" i="120"/>
  <c r="K42" i="120"/>
  <c r="K42" i="118"/>
  <c r="K41" i="118"/>
  <c r="K40" i="118"/>
  <c r="K32" i="123" l="1"/>
  <c r="K33" i="123"/>
  <c r="K35" i="122"/>
  <c r="K34" i="122"/>
  <c r="K33" i="122"/>
  <c r="K40" i="120"/>
  <c r="K41" i="120"/>
  <c r="K38" i="118"/>
  <c r="K39" i="118"/>
  <c r="L40" i="120"/>
  <c r="L41" i="120"/>
  <c r="L42" i="120"/>
  <c r="L43" i="120"/>
  <c r="L44" i="120"/>
  <c r="L45" i="120"/>
  <c r="L46" i="120"/>
  <c r="L47" i="120"/>
  <c r="L48" i="120"/>
  <c r="L49" i="120"/>
  <c r="L50" i="120"/>
  <c r="L51" i="120"/>
  <c r="L52" i="120"/>
  <c r="L53" i="120"/>
  <c r="L54" i="120"/>
  <c r="L55" i="120"/>
  <c r="L56" i="120"/>
  <c r="L57" i="120"/>
  <c r="L58" i="120"/>
  <c r="L59" i="120"/>
  <c r="L60" i="120"/>
  <c r="L61" i="120"/>
  <c r="L62" i="120"/>
  <c r="L63" i="120"/>
  <c r="L64" i="120"/>
  <c r="L65" i="120"/>
  <c r="L66" i="120"/>
  <c r="L67" i="120"/>
  <c r="L68" i="120"/>
  <c r="L69" i="120"/>
  <c r="L70" i="120"/>
  <c r="L71" i="120"/>
  <c r="L72" i="120"/>
  <c r="L73" i="120"/>
  <c r="L74" i="120"/>
  <c r="L75" i="120"/>
  <c r="L76" i="120"/>
  <c r="L77" i="120"/>
  <c r="L78" i="120"/>
  <c r="L79" i="120"/>
  <c r="L80" i="120"/>
  <c r="L81" i="120"/>
  <c r="L82" i="120"/>
  <c r="L83" i="120"/>
  <c r="L84" i="120"/>
  <c r="L85" i="120"/>
  <c r="L86" i="120"/>
  <c r="L87" i="120"/>
  <c r="L88" i="120"/>
  <c r="L89" i="120"/>
  <c r="L90" i="120"/>
  <c r="L91" i="120"/>
  <c r="L92" i="120"/>
  <c r="L93" i="120"/>
  <c r="L94" i="120"/>
  <c r="L95" i="120"/>
  <c r="L96" i="120"/>
  <c r="L97" i="120"/>
  <c r="L98" i="120"/>
  <c r="L99" i="120"/>
  <c r="L100" i="120"/>
  <c r="L101" i="120"/>
  <c r="L102" i="120"/>
  <c r="L103" i="120"/>
  <c r="L104" i="120"/>
  <c r="L105" i="120"/>
  <c r="L106" i="120"/>
  <c r="L107" i="120"/>
  <c r="L108" i="120"/>
  <c r="L109" i="120"/>
  <c r="L110" i="120"/>
  <c r="L111" i="120"/>
  <c r="L112" i="120"/>
  <c r="L113" i="120"/>
  <c r="L114" i="120"/>
  <c r="L115" i="120"/>
  <c r="L116" i="120"/>
  <c r="L117" i="120"/>
  <c r="L118" i="120"/>
  <c r="L119" i="120"/>
  <c r="L120" i="120"/>
  <c r="L121" i="120"/>
  <c r="L122" i="120"/>
  <c r="L123" i="120"/>
  <c r="L124" i="120"/>
  <c r="L125" i="120"/>
  <c r="L126" i="120"/>
  <c r="L127" i="120"/>
  <c r="L128" i="120"/>
  <c r="L129" i="120"/>
  <c r="L130" i="120"/>
  <c r="L131" i="120"/>
  <c r="L132" i="120"/>
  <c r="L133" i="120"/>
  <c r="L134" i="120"/>
  <c r="L135" i="120"/>
  <c r="L136" i="120"/>
  <c r="L137" i="120"/>
  <c r="L138" i="120"/>
  <c r="L139" i="120"/>
  <c r="L140" i="120"/>
  <c r="L141" i="120"/>
  <c r="L142" i="120"/>
  <c r="L143" i="120"/>
  <c r="L144" i="120"/>
  <c r="L145" i="120"/>
  <c r="L146" i="120"/>
  <c r="L147" i="120"/>
  <c r="L148" i="120"/>
  <c r="L149" i="120"/>
  <c r="L150" i="120"/>
  <c r="L151" i="120"/>
  <c r="L152" i="120"/>
  <c r="L153" i="120"/>
  <c r="L39" i="120"/>
  <c r="K31" i="123" l="1"/>
  <c r="K39" i="120"/>
  <c r="K37" i="118"/>
  <c r="O39" i="120"/>
  <c r="P39" i="120"/>
  <c r="Q39" i="120"/>
  <c r="O40" i="120"/>
  <c r="P40" i="120"/>
  <c r="Q40" i="120"/>
  <c r="O41" i="120"/>
  <c r="P41" i="120"/>
  <c r="Q41" i="120"/>
  <c r="O42" i="120"/>
  <c r="P42" i="120"/>
  <c r="Q42" i="120"/>
  <c r="O43" i="120"/>
  <c r="P43" i="120"/>
  <c r="Q43" i="120"/>
  <c r="O44" i="120"/>
  <c r="P44" i="120"/>
  <c r="Q44" i="120"/>
  <c r="O45" i="120"/>
  <c r="P45" i="120"/>
  <c r="Q45" i="120"/>
  <c r="O46" i="120"/>
  <c r="P46" i="120"/>
  <c r="Q46" i="120"/>
  <c r="O47" i="120"/>
  <c r="P47" i="120"/>
  <c r="Q47" i="120"/>
  <c r="O48" i="120"/>
  <c r="P48" i="120"/>
  <c r="Q48" i="120"/>
  <c r="O49" i="120"/>
  <c r="P49" i="120"/>
  <c r="Q49" i="120"/>
  <c r="O50" i="120"/>
  <c r="P50" i="120"/>
  <c r="Q50" i="120"/>
  <c r="O51" i="120"/>
  <c r="P51" i="120"/>
  <c r="Q51" i="120"/>
  <c r="O52" i="120"/>
  <c r="P52" i="120"/>
  <c r="Q52" i="120"/>
  <c r="O53" i="120"/>
  <c r="P53" i="120"/>
  <c r="Q53" i="120"/>
  <c r="O54" i="120"/>
  <c r="P54" i="120"/>
  <c r="Q54" i="120"/>
  <c r="O55" i="120"/>
  <c r="P55" i="120"/>
  <c r="Q55" i="120"/>
  <c r="O56" i="120"/>
  <c r="P56" i="120"/>
  <c r="Q56" i="120"/>
  <c r="O57" i="120"/>
  <c r="P57" i="120"/>
  <c r="Q57" i="120"/>
  <c r="O58" i="120"/>
  <c r="P58" i="120"/>
  <c r="Q58" i="120"/>
  <c r="O59" i="120"/>
  <c r="P59" i="120"/>
  <c r="Q59" i="120"/>
  <c r="O60" i="120"/>
  <c r="P60" i="120"/>
  <c r="Q60" i="120"/>
  <c r="O61" i="120"/>
  <c r="P61" i="120"/>
  <c r="Q61" i="120"/>
  <c r="O62" i="120"/>
  <c r="P62" i="120"/>
  <c r="Q62" i="120"/>
  <c r="O63" i="120"/>
  <c r="P63" i="120"/>
  <c r="Q63" i="120"/>
  <c r="O64" i="120"/>
  <c r="P64" i="120"/>
  <c r="Q64" i="120"/>
  <c r="O65" i="120"/>
  <c r="P65" i="120"/>
  <c r="Q65" i="120"/>
  <c r="O66" i="120"/>
  <c r="P66" i="120"/>
  <c r="Q66" i="120"/>
  <c r="O67" i="120"/>
  <c r="P67" i="120"/>
  <c r="Q67" i="120"/>
  <c r="O68" i="120"/>
  <c r="P68" i="120"/>
  <c r="Q68" i="120"/>
  <c r="O69" i="120"/>
  <c r="P69" i="120"/>
  <c r="Q69" i="120"/>
  <c r="O70" i="120"/>
  <c r="P70" i="120"/>
  <c r="Q70" i="120"/>
  <c r="O71" i="120"/>
  <c r="P71" i="120"/>
  <c r="Q71" i="120"/>
  <c r="O72" i="120"/>
  <c r="P72" i="120"/>
  <c r="Q72" i="120"/>
  <c r="O73" i="120"/>
  <c r="P73" i="120"/>
  <c r="Q73" i="120"/>
  <c r="O74" i="120"/>
  <c r="P74" i="120"/>
  <c r="Q74" i="120"/>
  <c r="O75" i="120"/>
  <c r="P75" i="120"/>
  <c r="Q75" i="120"/>
  <c r="O76" i="120"/>
  <c r="P76" i="120"/>
  <c r="Q76" i="120"/>
  <c r="O77" i="120"/>
  <c r="P77" i="120"/>
  <c r="Q77" i="120"/>
  <c r="O78" i="120"/>
  <c r="P78" i="120"/>
  <c r="Q78" i="120"/>
  <c r="O79" i="120"/>
  <c r="P79" i="120"/>
  <c r="Q79" i="120"/>
  <c r="O80" i="120"/>
  <c r="P80" i="120"/>
  <c r="Q80" i="120"/>
  <c r="O81" i="120"/>
  <c r="P81" i="120"/>
  <c r="Q81" i="120"/>
  <c r="O82" i="120"/>
  <c r="P82" i="120"/>
  <c r="Q82" i="120"/>
  <c r="O83" i="120"/>
  <c r="P83" i="120"/>
  <c r="Q83" i="120"/>
  <c r="O84" i="120"/>
  <c r="P84" i="120"/>
  <c r="Q84" i="120"/>
  <c r="O85" i="120"/>
  <c r="P85" i="120"/>
  <c r="Q85" i="120"/>
  <c r="O86" i="120"/>
  <c r="P86" i="120"/>
  <c r="Q86" i="120"/>
  <c r="O87" i="120"/>
  <c r="P87" i="120"/>
  <c r="Q87" i="120"/>
  <c r="O88" i="120"/>
  <c r="P88" i="120"/>
  <c r="Q88" i="120"/>
  <c r="O89" i="120"/>
  <c r="P89" i="120"/>
  <c r="Q89" i="120"/>
  <c r="O90" i="120"/>
  <c r="P90" i="120"/>
  <c r="Q90" i="120"/>
  <c r="O91" i="120"/>
  <c r="P91" i="120"/>
  <c r="Q91" i="120"/>
  <c r="O92" i="120"/>
  <c r="P92" i="120"/>
  <c r="Q92" i="120"/>
  <c r="O93" i="120"/>
  <c r="P93" i="120"/>
  <c r="Q93" i="120"/>
  <c r="O94" i="120"/>
  <c r="P94" i="120"/>
  <c r="Q94" i="120"/>
  <c r="O95" i="120"/>
  <c r="P95" i="120"/>
  <c r="Q95" i="120"/>
  <c r="O96" i="120"/>
  <c r="P96" i="120"/>
  <c r="Q96" i="120"/>
  <c r="O97" i="120"/>
  <c r="P97" i="120"/>
  <c r="Q97" i="120"/>
  <c r="O98" i="120"/>
  <c r="P98" i="120"/>
  <c r="Q98" i="120"/>
  <c r="O99" i="120"/>
  <c r="P99" i="120"/>
  <c r="Q99" i="120"/>
  <c r="O100" i="120"/>
  <c r="P100" i="120"/>
  <c r="Q100" i="120"/>
  <c r="O101" i="120"/>
  <c r="P101" i="120"/>
  <c r="Q101" i="120"/>
  <c r="O102" i="120"/>
  <c r="P102" i="120"/>
  <c r="Q102" i="120"/>
  <c r="O103" i="120"/>
  <c r="P103" i="120"/>
  <c r="Q103" i="120"/>
  <c r="O104" i="120"/>
  <c r="P104" i="120"/>
  <c r="Q104" i="120"/>
  <c r="O105" i="120"/>
  <c r="P105" i="120"/>
  <c r="Q105" i="120"/>
  <c r="O106" i="120"/>
  <c r="P106" i="120"/>
  <c r="Q106" i="120"/>
  <c r="O107" i="120"/>
  <c r="P107" i="120"/>
  <c r="Q107" i="120"/>
  <c r="O108" i="120"/>
  <c r="P108" i="120"/>
  <c r="Q108" i="120"/>
  <c r="O109" i="120"/>
  <c r="P109" i="120"/>
  <c r="Q109" i="120"/>
  <c r="O110" i="120"/>
  <c r="P110" i="120"/>
  <c r="Q110" i="120"/>
  <c r="O111" i="120"/>
  <c r="P111" i="120"/>
  <c r="Q111" i="120"/>
  <c r="O112" i="120"/>
  <c r="P112" i="120"/>
  <c r="Q112" i="120"/>
  <c r="O113" i="120"/>
  <c r="P113" i="120"/>
  <c r="Q113" i="120"/>
  <c r="O114" i="120"/>
  <c r="P114" i="120"/>
  <c r="Q114" i="120"/>
  <c r="O115" i="120"/>
  <c r="P115" i="120"/>
  <c r="Q115" i="120"/>
  <c r="O116" i="120"/>
  <c r="P116" i="120"/>
  <c r="Q116" i="120"/>
  <c r="O117" i="120"/>
  <c r="P117" i="120"/>
  <c r="Q117" i="120"/>
  <c r="O118" i="120"/>
  <c r="P118" i="120"/>
  <c r="Q118" i="120"/>
  <c r="O119" i="120"/>
  <c r="P119" i="120"/>
  <c r="Q119" i="120"/>
  <c r="O120" i="120"/>
  <c r="P120" i="120"/>
  <c r="Q120" i="120"/>
  <c r="O121" i="120"/>
  <c r="P121" i="120"/>
  <c r="Q121" i="120"/>
  <c r="O122" i="120"/>
  <c r="P122" i="120"/>
  <c r="Q122" i="120"/>
  <c r="O123" i="120"/>
  <c r="P123" i="120"/>
  <c r="Q123" i="120"/>
  <c r="O124" i="120"/>
  <c r="P124" i="120"/>
  <c r="Q124" i="120"/>
  <c r="O125" i="120"/>
  <c r="P125" i="120"/>
  <c r="Q125" i="120"/>
  <c r="O126" i="120"/>
  <c r="P126" i="120"/>
  <c r="Q126" i="120"/>
  <c r="O127" i="120"/>
  <c r="P127" i="120"/>
  <c r="Q127" i="120"/>
  <c r="O128" i="120"/>
  <c r="P128" i="120"/>
  <c r="Q128" i="120"/>
  <c r="O129" i="120"/>
  <c r="P129" i="120"/>
  <c r="Q129" i="120"/>
  <c r="O130" i="120"/>
  <c r="P130" i="120"/>
  <c r="Q130" i="120"/>
  <c r="O131" i="120"/>
  <c r="P131" i="120"/>
  <c r="Q131" i="120"/>
  <c r="O132" i="120"/>
  <c r="P132" i="120"/>
  <c r="Q132" i="120"/>
  <c r="O133" i="120"/>
  <c r="P133" i="120"/>
  <c r="Q133" i="120"/>
  <c r="O134" i="120"/>
  <c r="P134" i="120"/>
  <c r="Q134" i="120"/>
  <c r="O135" i="120"/>
  <c r="P135" i="120"/>
  <c r="Q135" i="120"/>
  <c r="O136" i="120"/>
  <c r="P136" i="120"/>
  <c r="Q136" i="120"/>
  <c r="O137" i="120"/>
  <c r="P137" i="120"/>
  <c r="Q137" i="120"/>
  <c r="O138" i="120"/>
  <c r="P138" i="120"/>
  <c r="Q138" i="120"/>
  <c r="O139" i="120"/>
  <c r="P139" i="120"/>
  <c r="Q139" i="120"/>
  <c r="O140" i="120"/>
  <c r="P140" i="120"/>
  <c r="Q140" i="120"/>
  <c r="O141" i="120"/>
  <c r="P141" i="120"/>
  <c r="Q141" i="120"/>
  <c r="O142" i="120"/>
  <c r="P142" i="120"/>
  <c r="Q142" i="120"/>
  <c r="O143" i="120"/>
  <c r="P143" i="120"/>
  <c r="Q143" i="120"/>
  <c r="O144" i="120"/>
  <c r="P144" i="120"/>
  <c r="Q144" i="120"/>
  <c r="O145" i="120"/>
  <c r="P145" i="120"/>
  <c r="Q145" i="120"/>
  <c r="O146" i="120"/>
  <c r="P146" i="120"/>
  <c r="Q146" i="120"/>
  <c r="O147" i="120"/>
  <c r="P147" i="120"/>
  <c r="Q147" i="120"/>
  <c r="O148" i="120"/>
  <c r="P148" i="120"/>
  <c r="Q148" i="120"/>
  <c r="O149" i="120"/>
  <c r="P149" i="120"/>
  <c r="Q149" i="120"/>
  <c r="O150" i="120"/>
  <c r="P150" i="120"/>
  <c r="Q150" i="120"/>
  <c r="O151" i="120"/>
  <c r="P151" i="120"/>
  <c r="Q151" i="120"/>
  <c r="O152" i="120"/>
  <c r="P152" i="120"/>
  <c r="Q152" i="120"/>
  <c r="O153" i="120"/>
  <c r="P153" i="120"/>
  <c r="Q153" i="120"/>
  <c r="Q38" i="120"/>
  <c r="P38" i="120"/>
  <c r="O38" i="120"/>
  <c r="O46" i="118" l="1"/>
  <c r="P46" i="118"/>
  <c r="Q46" i="118"/>
  <c r="O47" i="118"/>
  <c r="P47" i="118"/>
  <c r="Q47" i="118"/>
  <c r="O48" i="118"/>
  <c r="P48" i="118"/>
  <c r="Q48" i="118"/>
  <c r="O49" i="118"/>
  <c r="P49" i="118"/>
  <c r="Q49" i="118"/>
  <c r="O50" i="118"/>
  <c r="P50" i="118"/>
  <c r="Q50" i="118"/>
  <c r="O51" i="118"/>
  <c r="P51" i="118"/>
  <c r="Q51" i="118"/>
  <c r="O52" i="118"/>
  <c r="P52" i="118"/>
  <c r="Q52" i="118"/>
  <c r="O53" i="118"/>
  <c r="P53" i="118"/>
  <c r="Q53" i="118"/>
  <c r="O54" i="118"/>
  <c r="P54" i="118"/>
  <c r="Q54" i="118"/>
  <c r="O55" i="118"/>
  <c r="P55" i="118"/>
  <c r="Q55" i="118"/>
  <c r="O56" i="118"/>
  <c r="P56" i="118"/>
  <c r="Q56" i="118"/>
  <c r="O57" i="118"/>
  <c r="P57" i="118"/>
  <c r="Q57" i="118"/>
  <c r="O58" i="118"/>
  <c r="P58" i="118"/>
  <c r="Q58" i="118"/>
  <c r="O59" i="118"/>
  <c r="P59" i="118"/>
  <c r="Q59" i="118"/>
  <c r="O60" i="118"/>
  <c r="P60" i="118"/>
  <c r="Q60" i="118"/>
  <c r="O61" i="118"/>
  <c r="P61" i="118"/>
  <c r="Q61" i="118"/>
  <c r="O62" i="118"/>
  <c r="P62" i="118"/>
  <c r="Q62" i="118"/>
  <c r="O63" i="118"/>
  <c r="P63" i="118"/>
  <c r="Q63" i="118"/>
  <c r="O64" i="118"/>
  <c r="P64" i="118"/>
  <c r="Q64" i="118"/>
  <c r="O65" i="118"/>
  <c r="P65" i="118"/>
  <c r="Q65" i="118"/>
  <c r="O66" i="118"/>
  <c r="P66" i="118"/>
  <c r="Q66" i="118"/>
  <c r="O67" i="118"/>
  <c r="P67" i="118"/>
  <c r="Q67" i="118"/>
  <c r="O68" i="118"/>
  <c r="P68" i="118"/>
  <c r="Q68" i="118"/>
  <c r="O69" i="118"/>
  <c r="P69" i="118"/>
  <c r="Q69" i="118"/>
  <c r="O70" i="118"/>
  <c r="P70" i="118"/>
  <c r="Q70" i="118"/>
  <c r="O71" i="118"/>
  <c r="P71" i="118"/>
  <c r="Q71" i="118"/>
  <c r="O72" i="118"/>
  <c r="P72" i="118"/>
  <c r="Q72" i="118"/>
  <c r="O73" i="118"/>
  <c r="P73" i="118"/>
  <c r="Q73" i="118"/>
  <c r="O74" i="118"/>
  <c r="P74" i="118"/>
  <c r="Q74" i="118"/>
  <c r="O75" i="118"/>
  <c r="P75" i="118"/>
  <c r="Q75" i="118"/>
  <c r="O76" i="118"/>
  <c r="P76" i="118"/>
  <c r="Q76" i="118"/>
  <c r="O77" i="118"/>
  <c r="P77" i="118"/>
  <c r="Q77" i="118"/>
  <c r="O78" i="118"/>
  <c r="P78" i="118"/>
  <c r="Q78" i="118"/>
  <c r="O79" i="118"/>
  <c r="P79" i="118"/>
  <c r="Q79" i="118"/>
  <c r="O80" i="118"/>
  <c r="P80" i="118"/>
  <c r="Q80" i="118"/>
  <c r="O81" i="118"/>
  <c r="P81" i="118"/>
  <c r="Q81" i="118"/>
  <c r="O82" i="118"/>
  <c r="P82" i="118"/>
  <c r="Q82" i="118"/>
  <c r="O83" i="118"/>
  <c r="P83" i="118"/>
  <c r="Q83" i="118"/>
  <c r="O84" i="118"/>
  <c r="P84" i="118"/>
  <c r="Q84" i="118"/>
  <c r="O85" i="118"/>
  <c r="P85" i="118"/>
  <c r="Q85" i="118"/>
  <c r="O86" i="118"/>
  <c r="P86" i="118"/>
  <c r="Q86" i="118"/>
  <c r="O87" i="118"/>
  <c r="P87" i="118"/>
  <c r="Q87" i="118"/>
  <c r="O88" i="118"/>
  <c r="P88" i="118"/>
  <c r="Q88" i="118"/>
  <c r="O89" i="118"/>
  <c r="P89" i="118"/>
  <c r="Q89" i="118"/>
  <c r="O90" i="118"/>
  <c r="P90" i="118"/>
  <c r="Q90" i="118"/>
  <c r="O91" i="118"/>
  <c r="P91" i="118"/>
  <c r="Q91" i="118"/>
  <c r="O92" i="118"/>
  <c r="P92" i="118"/>
  <c r="Q92" i="118"/>
  <c r="O93" i="118"/>
  <c r="P93" i="118"/>
  <c r="Q93" i="118"/>
  <c r="O94" i="118"/>
  <c r="P94" i="118"/>
  <c r="Q94" i="118"/>
  <c r="O95" i="118"/>
  <c r="P95" i="118"/>
  <c r="Q95" i="118"/>
  <c r="O96" i="118"/>
  <c r="P96" i="118"/>
  <c r="Q96" i="118"/>
  <c r="O97" i="118"/>
  <c r="P97" i="118"/>
  <c r="Q97" i="118"/>
  <c r="O98" i="118"/>
  <c r="P98" i="118"/>
  <c r="Q98" i="118"/>
  <c r="O99" i="118"/>
  <c r="P99" i="118"/>
  <c r="Q99" i="118"/>
  <c r="O100" i="118"/>
  <c r="P100" i="118"/>
  <c r="Q100" i="118"/>
  <c r="O101" i="118"/>
  <c r="P101" i="118"/>
  <c r="Q101" i="118"/>
  <c r="O102" i="118"/>
  <c r="P102" i="118"/>
  <c r="Q102" i="118"/>
  <c r="O103" i="118"/>
  <c r="P103" i="118"/>
  <c r="Q103" i="118"/>
  <c r="O104" i="118"/>
  <c r="P104" i="118"/>
  <c r="Q104" i="118"/>
  <c r="O105" i="118"/>
  <c r="P105" i="118"/>
  <c r="Q105" i="118"/>
  <c r="O106" i="118"/>
  <c r="P106" i="118"/>
  <c r="Q106" i="118"/>
  <c r="O107" i="118"/>
  <c r="P107" i="118"/>
  <c r="Q107" i="118"/>
  <c r="O108" i="118"/>
  <c r="P108" i="118"/>
  <c r="Q108" i="118"/>
  <c r="O109" i="118"/>
  <c r="P109" i="118"/>
  <c r="Q109" i="118"/>
  <c r="O110" i="118"/>
  <c r="P110" i="118"/>
  <c r="Q110" i="118"/>
  <c r="O111" i="118"/>
  <c r="P111" i="118"/>
  <c r="Q111" i="118"/>
  <c r="O112" i="118"/>
  <c r="P112" i="118"/>
  <c r="Q112" i="118"/>
  <c r="O113" i="118"/>
  <c r="P113" i="118"/>
  <c r="Q113" i="118"/>
  <c r="O114" i="118"/>
  <c r="P114" i="118"/>
  <c r="Q114" i="118"/>
  <c r="O115" i="118"/>
  <c r="P115" i="118"/>
  <c r="Q115" i="118"/>
  <c r="O116" i="118"/>
  <c r="P116" i="118"/>
  <c r="Q116" i="118"/>
  <c r="O117" i="118"/>
  <c r="P117" i="118"/>
  <c r="Q117" i="118"/>
  <c r="O118" i="118"/>
  <c r="P118" i="118"/>
  <c r="Q118" i="118"/>
  <c r="O119" i="118"/>
  <c r="P119" i="118"/>
  <c r="Q119" i="118"/>
  <c r="O120" i="118"/>
  <c r="P120" i="118"/>
  <c r="Q120" i="118"/>
  <c r="O121" i="118"/>
  <c r="P121" i="118"/>
  <c r="Q121" i="118"/>
  <c r="O122" i="118"/>
  <c r="P122" i="118"/>
  <c r="Q122" i="118"/>
  <c r="O123" i="118"/>
  <c r="P123" i="118"/>
  <c r="Q123" i="118"/>
  <c r="O124" i="118"/>
  <c r="P124" i="118"/>
  <c r="Q124" i="118"/>
  <c r="O125" i="118"/>
  <c r="P125" i="118"/>
  <c r="Q125" i="118"/>
  <c r="O126" i="118"/>
  <c r="P126" i="118"/>
  <c r="Q126" i="118"/>
  <c r="O127" i="118"/>
  <c r="P127" i="118"/>
  <c r="Q127" i="118"/>
  <c r="O128" i="118"/>
  <c r="P128" i="118"/>
  <c r="Q128" i="118"/>
  <c r="O129" i="118"/>
  <c r="P129" i="118"/>
  <c r="Q129" i="118"/>
  <c r="O130" i="118"/>
  <c r="P130" i="118"/>
  <c r="Q130" i="118"/>
  <c r="O131" i="118"/>
  <c r="P131" i="118"/>
  <c r="Q131" i="118"/>
  <c r="O132" i="118"/>
  <c r="P132" i="118"/>
  <c r="Q132" i="118"/>
  <c r="O133" i="118"/>
  <c r="P133" i="118"/>
  <c r="Q133" i="118"/>
  <c r="O134" i="118"/>
  <c r="P134" i="118"/>
  <c r="Q134" i="118"/>
  <c r="O135" i="118"/>
  <c r="P135" i="118"/>
  <c r="Q135" i="118"/>
  <c r="O136" i="118"/>
  <c r="P136" i="118"/>
  <c r="Q136" i="118"/>
  <c r="O137" i="118"/>
  <c r="P137" i="118"/>
  <c r="Q137" i="118"/>
  <c r="O138" i="118"/>
  <c r="P138" i="118"/>
  <c r="Q138" i="118"/>
  <c r="O139" i="118"/>
  <c r="P139" i="118"/>
  <c r="Q139" i="118"/>
  <c r="O140" i="118"/>
  <c r="P140" i="118"/>
  <c r="Q140" i="118"/>
  <c r="O141" i="118"/>
  <c r="P141" i="118"/>
  <c r="Q141" i="118"/>
  <c r="O142" i="118"/>
  <c r="P142" i="118"/>
  <c r="Q142" i="118"/>
  <c r="O143" i="118"/>
  <c r="P143" i="118"/>
  <c r="Q143" i="118"/>
  <c r="O144" i="118"/>
  <c r="P144" i="118"/>
  <c r="Q144" i="118"/>
  <c r="O145" i="118"/>
  <c r="P145" i="118"/>
  <c r="Q145" i="118"/>
  <c r="O146" i="118"/>
  <c r="P146" i="118"/>
  <c r="Q146" i="118"/>
  <c r="O147" i="118"/>
  <c r="P147" i="118"/>
  <c r="Q147" i="118"/>
  <c r="O148" i="118"/>
  <c r="P148" i="118"/>
  <c r="Q148" i="118"/>
  <c r="O149" i="118"/>
  <c r="P149" i="118"/>
  <c r="Q149" i="118"/>
  <c r="O150" i="118"/>
  <c r="P150" i="118"/>
  <c r="Q150" i="118"/>
  <c r="O151" i="118"/>
  <c r="P151" i="118"/>
  <c r="Q151" i="118"/>
  <c r="O152" i="118"/>
  <c r="P152" i="118"/>
  <c r="Q152" i="118"/>
  <c r="O153" i="118"/>
  <c r="P153" i="118"/>
  <c r="Q153" i="118"/>
  <c r="M39" i="120"/>
  <c r="M40" i="120"/>
  <c r="M41" i="120"/>
  <c r="M42" i="120"/>
  <c r="M43" i="120"/>
  <c r="M44" i="120"/>
  <c r="M45" i="120"/>
  <c r="M46" i="120"/>
  <c r="M47" i="120"/>
  <c r="M48" i="120"/>
  <c r="M49" i="120"/>
  <c r="M50" i="120"/>
  <c r="M51" i="120"/>
  <c r="M52" i="120"/>
  <c r="M53" i="120"/>
  <c r="M54" i="120"/>
  <c r="M55" i="120"/>
  <c r="M56" i="120"/>
  <c r="M57" i="120"/>
  <c r="M58" i="120"/>
  <c r="M59" i="120"/>
  <c r="M60" i="120"/>
  <c r="M61" i="120"/>
  <c r="M62" i="120"/>
  <c r="M63" i="120"/>
  <c r="M64" i="120"/>
  <c r="M65" i="120"/>
  <c r="M66" i="120"/>
  <c r="M67" i="120"/>
  <c r="M68" i="120"/>
  <c r="M69" i="120"/>
  <c r="M70" i="120"/>
  <c r="M71" i="120"/>
  <c r="M72" i="120"/>
  <c r="M73" i="120"/>
  <c r="M74" i="120"/>
  <c r="M75" i="120"/>
  <c r="M76" i="120"/>
  <c r="M77" i="120"/>
  <c r="M78" i="120"/>
  <c r="M79" i="120"/>
  <c r="M80" i="120"/>
  <c r="M81" i="120"/>
  <c r="M82" i="120"/>
  <c r="M83" i="120"/>
  <c r="M84" i="120"/>
  <c r="M85" i="120"/>
  <c r="M86" i="120"/>
  <c r="M87" i="120"/>
  <c r="M88" i="120"/>
  <c r="M89" i="120"/>
  <c r="M90" i="120"/>
  <c r="M91" i="120"/>
  <c r="M92" i="120"/>
  <c r="M93" i="120"/>
  <c r="M94" i="120"/>
  <c r="M95" i="120"/>
  <c r="M96" i="120"/>
  <c r="M97" i="120"/>
  <c r="M98" i="120"/>
  <c r="M99" i="120"/>
  <c r="M100" i="120"/>
  <c r="M101" i="120"/>
  <c r="M102" i="120"/>
  <c r="M103" i="120"/>
  <c r="M104" i="120"/>
  <c r="M105" i="120"/>
  <c r="M106" i="120"/>
  <c r="M107" i="120"/>
  <c r="M108" i="120"/>
  <c r="M109" i="120"/>
  <c r="M110" i="120"/>
  <c r="M111" i="120"/>
  <c r="M112" i="120"/>
  <c r="M113" i="120"/>
  <c r="M114" i="120"/>
  <c r="M115" i="120"/>
  <c r="M116" i="120"/>
  <c r="M117" i="120"/>
  <c r="M118" i="120"/>
  <c r="M119" i="120"/>
  <c r="M120" i="120"/>
  <c r="M121" i="120"/>
  <c r="M122" i="120"/>
  <c r="M123" i="120"/>
  <c r="M124" i="120"/>
  <c r="M125" i="120"/>
  <c r="M126" i="120"/>
  <c r="M127" i="120"/>
  <c r="M128" i="120"/>
  <c r="M129" i="120"/>
  <c r="M130" i="120"/>
  <c r="M131" i="120"/>
  <c r="M132" i="120"/>
  <c r="M133" i="120"/>
  <c r="M134" i="120"/>
  <c r="M135" i="120"/>
  <c r="M136" i="120"/>
  <c r="M137" i="120"/>
  <c r="M138" i="120"/>
  <c r="M139" i="120"/>
  <c r="M140" i="120"/>
  <c r="M141" i="120"/>
  <c r="M142" i="120"/>
  <c r="M143" i="120"/>
  <c r="M144" i="120"/>
  <c r="M145" i="120"/>
  <c r="M146" i="120"/>
  <c r="M147" i="120"/>
  <c r="M148" i="120"/>
  <c r="M149" i="120"/>
  <c r="M150" i="120"/>
  <c r="M151" i="120"/>
  <c r="M152" i="120"/>
  <c r="M153" i="120"/>
  <c r="M38" i="120"/>
  <c r="K30" i="123"/>
  <c r="K32" i="122"/>
  <c r="K38" i="120"/>
  <c r="K36" i="118"/>
  <c r="K29" i="123"/>
  <c r="K31" i="122"/>
  <c r="K37" i="120"/>
  <c r="K35" i="118"/>
  <c r="K36" i="120"/>
  <c r="K34" i="118"/>
  <c r="K35" i="120"/>
  <c r="K33" i="118" l="1"/>
  <c r="K28" i="123" l="1"/>
  <c r="K30" i="122"/>
  <c r="K34" i="120"/>
  <c r="K27" i="123" l="1"/>
  <c r="K29" i="122"/>
  <c r="K33" i="120"/>
  <c r="K32" i="118"/>
  <c r="K26" i="123" l="1"/>
  <c r="K28" i="122"/>
  <c r="K32" i="120"/>
  <c r="K41" i="37" l="1"/>
  <c r="K38" i="35"/>
  <c r="K25" i="123" l="1"/>
  <c r="K27" i="122"/>
  <c r="K31" i="120"/>
  <c r="K41" i="33" l="1"/>
  <c r="K39" i="31"/>
  <c r="K36" i="28"/>
  <c r="K54" i="24"/>
  <c r="K58" i="22"/>
  <c r="K57" i="22"/>
  <c r="K67" i="20"/>
  <c r="K31" i="118"/>
  <c r="K24" i="123" l="1"/>
  <c r="K26" i="122"/>
  <c r="K30" i="120"/>
  <c r="K23" i="123"/>
  <c r="K25" i="122"/>
  <c r="K29" i="120"/>
  <c r="K30" i="118"/>
  <c r="K22" i="123"/>
  <c r="K24" i="122"/>
  <c r="K28" i="120"/>
  <c r="K21" i="123"/>
  <c r="K23" i="122"/>
  <c r="K27" i="120"/>
  <c r="K20" i="123"/>
  <c r="K22" i="122"/>
  <c r="K26" i="120"/>
  <c r="K43" i="41"/>
  <c r="K36" i="39"/>
  <c r="K50" i="18"/>
  <c r="K59" i="16"/>
  <c r="K50" i="14"/>
  <c r="K60" i="11"/>
  <c r="K68" i="9"/>
  <c r="K48" i="7"/>
  <c r="K19" i="123"/>
  <c r="K21" i="122"/>
  <c r="K25" i="120"/>
  <c r="M19" i="123"/>
  <c r="N19" i="123"/>
  <c r="O19" i="123"/>
  <c r="P19" i="123"/>
  <c r="Q19" i="123"/>
  <c r="R19" i="123"/>
  <c r="M20" i="123"/>
  <c r="N20" i="123"/>
  <c r="O20" i="123"/>
  <c r="P20" i="123"/>
  <c r="Q20" i="123"/>
  <c r="R20" i="123"/>
  <c r="M21" i="123"/>
  <c r="N21" i="123"/>
  <c r="O21" i="123"/>
  <c r="P21" i="123"/>
  <c r="Q21" i="123"/>
  <c r="R21" i="123"/>
  <c r="M22" i="123"/>
  <c r="N22" i="123"/>
  <c r="O22" i="123"/>
  <c r="P22" i="123"/>
  <c r="Q22" i="123"/>
  <c r="R22" i="123"/>
  <c r="M23" i="123"/>
  <c r="N23" i="123"/>
  <c r="O23" i="123"/>
  <c r="P23" i="123"/>
  <c r="Q23" i="123"/>
  <c r="R23" i="123"/>
  <c r="M24" i="123"/>
  <c r="N24" i="123"/>
  <c r="O24" i="123"/>
  <c r="P24" i="123"/>
  <c r="Q24" i="123"/>
  <c r="R24" i="123"/>
  <c r="M25" i="123"/>
  <c r="N25" i="123"/>
  <c r="O25" i="123"/>
  <c r="P25" i="123"/>
  <c r="Q25" i="123"/>
  <c r="R25" i="123"/>
  <c r="M26" i="123"/>
  <c r="N26" i="123"/>
  <c r="O26" i="123"/>
  <c r="P26" i="123"/>
  <c r="Q26" i="123"/>
  <c r="R26" i="123"/>
  <c r="M27" i="123"/>
  <c r="N27" i="123"/>
  <c r="O27" i="123"/>
  <c r="P27" i="123"/>
  <c r="Q27" i="123"/>
  <c r="R27" i="123"/>
  <c r="M28" i="123"/>
  <c r="N28" i="123"/>
  <c r="O28" i="123"/>
  <c r="P28" i="123"/>
  <c r="Q28" i="123"/>
  <c r="R28" i="123"/>
  <c r="M29" i="123"/>
  <c r="N29" i="123"/>
  <c r="O29" i="123"/>
  <c r="P29" i="123"/>
  <c r="Q29" i="123"/>
  <c r="R29" i="123"/>
  <c r="M30" i="123"/>
  <c r="N30" i="123"/>
  <c r="O30" i="123"/>
  <c r="P30" i="123"/>
  <c r="Q30" i="123"/>
  <c r="R30" i="123"/>
  <c r="M31" i="123"/>
  <c r="N31" i="123"/>
  <c r="O31" i="123"/>
  <c r="P31" i="123"/>
  <c r="Q31" i="123"/>
  <c r="R31" i="123"/>
  <c r="M32" i="123"/>
  <c r="N32" i="123"/>
  <c r="O32" i="123"/>
  <c r="P32" i="123"/>
  <c r="Q32" i="123"/>
  <c r="R32" i="123"/>
  <c r="M33" i="123"/>
  <c r="N33" i="123"/>
  <c r="O33" i="123"/>
  <c r="P33" i="123"/>
  <c r="Q33" i="123"/>
  <c r="R33" i="123"/>
  <c r="M34" i="123"/>
  <c r="N34" i="123"/>
  <c r="R34" i="123"/>
  <c r="M35" i="123"/>
  <c r="N35" i="123"/>
  <c r="R35" i="123"/>
  <c r="M36" i="123"/>
  <c r="N36" i="123"/>
  <c r="R36" i="123"/>
  <c r="M37" i="123"/>
  <c r="N37" i="123"/>
  <c r="R37" i="123"/>
  <c r="M38" i="123"/>
  <c r="N38" i="123"/>
  <c r="R38" i="123"/>
  <c r="M39" i="123"/>
  <c r="N39" i="123"/>
  <c r="R39" i="123"/>
  <c r="M40" i="123"/>
  <c r="N40" i="123"/>
  <c r="R40" i="123"/>
  <c r="M41" i="123"/>
  <c r="N41" i="123"/>
  <c r="R41" i="123"/>
  <c r="M42" i="123"/>
  <c r="N42" i="123"/>
  <c r="R42" i="123"/>
  <c r="M43" i="123"/>
  <c r="N43" i="123"/>
  <c r="R43" i="123"/>
  <c r="M44" i="123"/>
  <c r="N44" i="123"/>
  <c r="R44" i="123"/>
  <c r="M45" i="123"/>
  <c r="N45" i="123"/>
  <c r="R45" i="123"/>
  <c r="M46" i="123"/>
  <c r="N46" i="123"/>
  <c r="R46" i="123"/>
  <c r="M47" i="123"/>
  <c r="N47" i="123"/>
  <c r="R47" i="123"/>
  <c r="M48" i="123"/>
  <c r="N48" i="123"/>
  <c r="R48" i="123"/>
  <c r="M49" i="123"/>
  <c r="N49" i="123"/>
  <c r="R49" i="123"/>
  <c r="M50" i="123"/>
  <c r="N50" i="123"/>
  <c r="R50" i="123"/>
  <c r="M51" i="123"/>
  <c r="N51" i="123"/>
  <c r="R51" i="123"/>
  <c r="M52" i="123"/>
  <c r="N52" i="123"/>
  <c r="R52" i="123"/>
  <c r="M53" i="123"/>
  <c r="N53" i="123"/>
  <c r="R53" i="123"/>
  <c r="M54" i="123"/>
  <c r="N54" i="123"/>
  <c r="R54" i="123"/>
  <c r="M55" i="123"/>
  <c r="N55" i="123"/>
  <c r="R55" i="123"/>
  <c r="M56" i="123"/>
  <c r="N56" i="123"/>
  <c r="R56" i="123"/>
  <c r="M57" i="123"/>
  <c r="N57" i="123"/>
  <c r="R57" i="123"/>
  <c r="M58" i="123"/>
  <c r="N58" i="123"/>
  <c r="R58" i="123"/>
  <c r="M59" i="123"/>
  <c r="N59" i="123"/>
  <c r="R59" i="123"/>
  <c r="M60" i="123"/>
  <c r="N60" i="123"/>
  <c r="R60" i="123"/>
  <c r="M61" i="123"/>
  <c r="N61" i="123"/>
  <c r="R61" i="123"/>
  <c r="M62" i="123"/>
  <c r="N62" i="123"/>
  <c r="R62" i="123"/>
  <c r="M63" i="123"/>
  <c r="N63" i="123"/>
  <c r="R63" i="123"/>
  <c r="M64" i="123"/>
  <c r="N64" i="123"/>
  <c r="R64" i="123"/>
  <c r="M65" i="123"/>
  <c r="N65" i="123"/>
  <c r="R65" i="123"/>
  <c r="M66" i="123"/>
  <c r="N66" i="123"/>
  <c r="R66" i="123"/>
  <c r="M67" i="123"/>
  <c r="N67" i="123"/>
  <c r="R67" i="123"/>
  <c r="M68" i="123"/>
  <c r="N68" i="123"/>
  <c r="R68" i="123"/>
  <c r="M69" i="123"/>
  <c r="N69" i="123"/>
  <c r="R69" i="123"/>
  <c r="M70" i="123"/>
  <c r="N70" i="123"/>
  <c r="R70" i="123"/>
  <c r="M71" i="123"/>
  <c r="N71" i="123"/>
  <c r="R71" i="123"/>
  <c r="M72" i="123"/>
  <c r="N72" i="123"/>
  <c r="R72" i="123"/>
  <c r="M73" i="123"/>
  <c r="N73" i="123"/>
  <c r="R73" i="123"/>
  <c r="M74" i="123"/>
  <c r="N74" i="123"/>
  <c r="R74" i="123"/>
  <c r="M75" i="123"/>
  <c r="N75" i="123"/>
  <c r="R75" i="123"/>
  <c r="M76" i="123"/>
  <c r="N76" i="123"/>
  <c r="R76" i="123"/>
  <c r="M77" i="123"/>
  <c r="N77" i="123"/>
  <c r="R77" i="123"/>
  <c r="M78" i="123"/>
  <c r="N78" i="123"/>
  <c r="R78" i="123"/>
  <c r="M79" i="123"/>
  <c r="N79" i="123"/>
  <c r="R79" i="123"/>
  <c r="M80" i="123"/>
  <c r="N80" i="123"/>
  <c r="R80" i="123"/>
  <c r="M81" i="123"/>
  <c r="N81" i="123"/>
  <c r="R81" i="123"/>
  <c r="M82" i="123"/>
  <c r="N82" i="123"/>
  <c r="R82" i="123"/>
  <c r="M83" i="123"/>
  <c r="N83" i="123"/>
  <c r="R83" i="123"/>
  <c r="M84" i="123"/>
  <c r="N84" i="123"/>
  <c r="R84" i="123"/>
  <c r="M85" i="123"/>
  <c r="N85" i="123"/>
  <c r="R85" i="123"/>
  <c r="M86" i="123"/>
  <c r="N86" i="123"/>
  <c r="R86" i="123"/>
  <c r="M87" i="123"/>
  <c r="N87" i="123"/>
  <c r="R87" i="123"/>
  <c r="M88" i="123"/>
  <c r="N88" i="123"/>
  <c r="R88" i="123"/>
  <c r="M89" i="123"/>
  <c r="N89" i="123"/>
  <c r="R89" i="123"/>
  <c r="M90" i="123"/>
  <c r="N90" i="123"/>
  <c r="R90" i="123"/>
  <c r="M91" i="123"/>
  <c r="N91" i="123"/>
  <c r="R91" i="123"/>
  <c r="M92" i="123"/>
  <c r="N92" i="123"/>
  <c r="R92" i="123"/>
  <c r="M93" i="123"/>
  <c r="N93" i="123"/>
  <c r="R93" i="123"/>
  <c r="M94" i="123"/>
  <c r="N94" i="123"/>
  <c r="R94" i="123"/>
  <c r="M95" i="123"/>
  <c r="N95" i="123"/>
  <c r="R95" i="123"/>
  <c r="M96" i="123"/>
  <c r="N96" i="123"/>
  <c r="R96" i="123"/>
  <c r="M97" i="123"/>
  <c r="N97" i="123"/>
  <c r="R97" i="123"/>
  <c r="M98" i="123"/>
  <c r="N98" i="123"/>
  <c r="R98" i="123"/>
  <c r="M99" i="123"/>
  <c r="N99" i="123"/>
  <c r="R99" i="123"/>
  <c r="M100" i="123"/>
  <c r="N100" i="123"/>
  <c r="R100" i="123"/>
  <c r="M101" i="123"/>
  <c r="N101" i="123"/>
  <c r="R101" i="123"/>
  <c r="M102" i="123"/>
  <c r="N102" i="123"/>
  <c r="R102" i="123"/>
  <c r="M103" i="123"/>
  <c r="N103" i="123"/>
  <c r="R103" i="123"/>
  <c r="M104" i="123"/>
  <c r="N104" i="123"/>
  <c r="R104" i="123"/>
  <c r="M105" i="123"/>
  <c r="N105" i="123"/>
  <c r="R105" i="123"/>
  <c r="M106" i="123"/>
  <c r="N106" i="123"/>
  <c r="R106" i="123"/>
  <c r="M107" i="123"/>
  <c r="N107" i="123"/>
  <c r="R107" i="123"/>
  <c r="M108" i="123"/>
  <c r="N108" i="123"/>
  <c r="R108" i="123"/>
  <c r="M109" i="123"/>
  <c r="N109" i="123"/>
  <c r="R109" i="123"/>
  <c r="M110" i="123"/>
  <c r="N110" i="123"/>
  <c r="R110" i="123"/>
  <c r="M111" i="123"/>
  <c r="N111" i="123"/>
  <c r="R111" i="123"/>
  <c r="M112" i="123"/>
  <c r="N112" i="123"/>
  <c r="R112" i="123"/>
  <c r="M113" i="123"/>
  <c r="N113" i="123"/>
  <c r="R113" i="123"/>
  <c r="M114" i="123"/>
  <c r="N114" i="123"/>
  <c r="R114" i="123"/>
  <c r="M115" i="123"/>
  <c r="N115" i="123"/>
  <c r="R115" i="123"/>
  <c r="M116" i="123"/>
  <c r="N116" i="123"/>
  <c r="R116" i="123"/>
  <c r="M117" i="123"/>
  <c r="N117" i="123"/>
  <c r="R117" i="123"/>
  <c r="M118" i="123"/>
  <c r="N118" i="123"/>
  <c r="R118" i="123"/>
  <c r="M119" i="123"/>
  <c r="N119" i="123"/>
  <c r="R119" i="123"/>
  <c r="M120" i="123"/>
  <c r="N120" i="123"/>
  <c r="R120" i="123"/>
  <c r="M121" i="123"/>
  <c r="N121" i="123"/>
  <c r="R121" i="123"/>
  <c r="M122" i="123"/>
  <c r="N122" i="123"/>
  <c r="R122" i="123"/>
  <c r="M123" i="123"/>
  <c r="N123" i="123"/>
  <c r="R123" i="123"/>
  <c r="M124" i="123"/>
  <c r="N124" i="123"/>
  <c r="R124" i="123"/>
  <c r="M125" i="123"/>
  <c r="N125" i="123"/>
  <c r="R125" i="123"/>
  <c r="M126" i="123"/>
  <c r="N126" i="123"/>
  <c r="R126" i="123"/>
  <c r="M127" i="123"/>
  <c r="N127" i="123"/>
  <c r="R127" i="123"/>
  <c r="M128" i="123"/>
  <c r="N128" i="123"/>
  <c r="R128" i="123"/>
  <c r="M129" i="123"/>
  <c r="N129" i="123"/>
  <c r="R129" i="123"/>
  <c r="M130" i="123"/>
  <c r="N130" i="123"/>
  <c r="R130" i="123"/>
  <c r="M131" i="123"/>
  <c r="N131" i="123"/>
  <c r="R131" i="123"/>
  <c r="M132" i="123"/>
  <c r="N132" i="123"/>
  <c r="R132" i="123"/>
  <c r="M133" i="123"/>
  <c r="N133" i="123"/>
  <c r="R133" i="123"/>
  <c r="M134" i="123"/>
  <c r="N134" i="123"/>
  <c r="R134" i="123"/>
  <c r="M135" i="123"/>
  <c r="N135" i="123"/>
  <c r="R135" i="123"/>
  <c r="M136" i="123"/>
  <c r="N136" i="123"/>
  <c r="R136" i="123"/>
  <c r="M137" i="123"/>
  <c r="N137" i="123"/>
  <c r="R137" i="123"/>
  <c r="M138" i="123"/>
  <c r="N138" i="123"/>
  <c r="R138" i="123"/>
  <c r="M139" i="123"/>
  <c r="N139" i="123"/>
  <c r="R139" i="123"/>
  <c r="M140" i="123"/>
  <c r="N140" i="123"/>
  <c r="R140" i="123"/>
  <c r="M141" i="123"/>
  <c r="N141" i="123"/>
  <c r="R141" i="123"/>
  <c r="M142" i="123"/>
  <c r="N142" i="123"/>
  <c r="R142" i="123"/>
  <c r="M143" i="123"/>
  <c r="N143" i="123"/>
  <c r="R143" i="123"/>
  <c r="M144" i="123"/>
  <c r="N144" i="123"/>
  <c r="R144" i="123"/>
  <c r="M145" i="123"/>
  <c r="N145" i="123"/>
  <c r="R145" i="123"/>
  <c r="M146" i="123"/>
  <c r="N146" i="123"/>
  <c r="R146" i="123"/>
  <c r="M147" i="123"/>
  <c r="N147" i="123"/>
  <c r="R147" i="123"/>
  <c r="M148" i="123"/>
  <c r="N148" i="123"/>
  <c r="R148" i="123"/>
  <c r="M149" i="123"/>
  <c r="N149" i="123"/>
  <c r="R149" i="123"/>
  <c r="M150" i="123"/>
  <c r="N150" i="123"/>
  <c r="R150" i="123"/>
  <c r="M151" i="123"/>
  <c r="N151" i="123"/>
  <c r="R151" i="123"/>
  <c r="M152" i="123"/>
  <c r="N152" i="123"/>
  <c r="R152" i="123"/>
  <c r="M153" i="123"/>
  <c r="N153" i="123"/>
  <c r="R153" i="123"/>
  <c r="R18" i="123"/>
  <c r="N18" i="123"/>
  <c r="M18" i="123"/>
  <c r="K18" i="123"/>
  <c r="K17" i="123"/>
  <c r="K16" i="123"/>
  <c r="X153" i="123"/>
  <c r="W153" i="123"/>
  <c r="V153" i="123"/>
  <c r="U153" i="123"/>
  <c r="T153" i="123"/>
  <c r="S153" i="123"/>
  <c r="L153" i="123"/>
  <c r="X152" i="123"/>
  <c r="W152" i="123"/>
  <c r="V152" i="123"/>
  <c r="U152" i="123"/>
  <c r="T152" i="123"/>
  <c r="S152" i="123"/>
  <c r="L152" i="123"/>
  <c r="X151" i="123"/>
  <c r="W151" i="123"/>
  <c r="V151" i="123"/>
  <c r="U151" i="123"/>
  <c r="T151" i="123"/>
  <c r="S151" i="123"/>
  <c r="L151" i="123"/>
  <c r="X150" i="123"/>
  <c r="W150" i="123"/>
  <c r="V150" i="123"/>
  <c r="U150" i="123"/>
  <c r="T150" i="123"/>
  <c r="S150" i="123"/>
  <c r="L150" i="123"/>
  <c r="X149" i="123"/>
  <c r="W149" i="123"/>
  <c r="V149" i="123"/>
  <c r="U149" i="123"/>
  <c r="T149" i="123"/>
  <c r="S149" i="123"/>
  <c r="L149" i="123"/>
  <c r="X148" i="123"/>
  <c r="W148" i="123"/>
  <c r="V148" i="123"/>
  <c r="U148" i="123"/>
  <c r="T148" i="123"/>
  <c r="S148" i="123"/>
  <c r="L148" i="123"/>
  <c r="X147" i="123"/>
  <c r="W147" i="123"/>
  <c r="V147" i="123"/>
  <c r="U147" i="123"/>
  <c r="T147" i="123"/>
  <c r="S147" i="123"/>
  <c r="L147" i="123"/>
  <c r="X146" i="123"/>
  <c r="W146" i="123"/>
  <c r="V146" i="123"/>
  <c r="U146" i="123"/>
  <c r="T146" i="123"/>
  <c r="S146" i="123"/>
  <c r="L146" i="123"/>
  <c r="X145" i="123"/>
  <c r="W145" i="123"/>
  <c r="V145" i="123"/>
  <c r="U145" i="123"/>
  <c r="T145" i="123"/>
  <c r="S145" i="123"/>
  <c r="L145" i="123"/>
  <c r="X144" i="123"/>
  <c r="W144" i="123"/>
  <c r="V144" i="123"/>
  <c r="U144" i="123"/>
  <c r="T144" i="123"/>
  <c r="S144" i="123"/>
  <c r="L144" i="123"/>
  <c r="X143" i="123"/>
  <c r="W143" i="123"/>
  <c r="V143" i="123"/>
  <c r="U143" i="123"/>
  <c r="T143" i="123"/>
  <c r="S143" i="123"/>
  <c r="L143" i="123"/>
  <c r="X142" i="123"/>
  <c r="W142" i="123"/>
  <c r="V142" i="123"/>
  <c r="U142" i="123"/>
  <c r="T142" i="123"/>
  <c r="S142" i="123"/>
  <c r="L142" i="123"/>
  <c r="X141" i="123"/>
  <c r="W141" i="123"/>
  <c r="V141" i="123"/>
  <c r="U141" i="123"/>
  <c r="T141" i="123"/>
  <c r="S141" i="123"/>
  <c r="L141" i="123"/>
  <c r="X140" i="123"/>
  <c r="W140" i="123"/>
  <c r="V140" i="123"/>
  <c r="U140" i="123"/>
  <c r="T140" i="123"/>
  <c r="S140" i="123"/>
  <c r="L140" i="123"/>
  <c r="X139" i="123"/>
  <c r="W139" i="123"/>
  <c r="V139" i="123"/>
  <c r="U139" i="123"/>
  <c r="T139" i="123"/>
  <c r="S139" i="123"/>
  <c r="L139" i="123"/>
  <c r="X138" i="123"/>
  <c r="W138" i="123"/>
  <c r="V138" i="123"/>
  <c r="U138" i="123"/>
  <c r="T138" i="123"/>
  <c r="S138" i="123"/>
  <c r="L138" i="123"/>
  <c r="X137" i="123"/>
  <c r="W137" i="123"/>
  <c r="V137" i="123"/>
  <c r="U137" i="123"/>
  <c r="T137" i="123"/>
  <c r="S137" i="123"/>
  <c r="L137" i="123"/>
  <c r="X136" i="123"/>
  <c r="W136" i="123"/>
  <c r="V136" i="123"/>
  <c r="U136" i="123"/>
  <c r="T136" i="123"/>
  <c r="S136" i="123"/>
  <c r="L136" i="123"/>
  <c r="X135" i="123"/>
  <c r="W135" i="123"/>
  <c r="V135" i="123"/>
  <c r="U135" i="123"/>
  <c r="T135" i="123"/>
  <c r="S135" i="123"/>
  <c r="L135" i="123"/>
  <c r="X134" i="123"/>
  <c r="W134" i="123"/>
  <c r="V134" i="123"/>
  <c r="U134" i="123"/>
  <c r="T134" i="123"/>
  <c r="S134" i="123"/>
  <c r="L134" i="123"/>
  <c r="X133" i="123"/>
  <c r="W133" i="123"/>
  <c r="V133" i="123"/>
  <c r="U133" i="123"/>
  <c r="T133" i="123"/>
  <c r="S133" i="123"/>
  <c r="L133" i="123"/>
  <c r="X132" i="123"/>
  <c r="W132" i="123"/>
  <c r="V132" i="123"/>
  <c r="U132" i="123"/>
  <c r="T132" i="123"/>
  <c r="S132" i="123"/>
  <c r="L132" i="123"/>
  <c r="X131" i="123"/>
  <c r="W131" i="123"/>
  <c r="V131" i="123"/>
  <c r="U131" i="123"/>
  <c r="T131" i="123"/>
  <c r="S131" i="123"/>
  <c r="L131" i="123"/>
  <c r="X130" i="123"/>
  <c r="W130" i="123"/>
  <c r="V130" i="123"/>
  <c r="U130" i="123"/>
  <c r="T130" i="123"/>
  <c r="S130" i="123"/>
  <c r="L130" i="123"/>
  <c r="X129" i="123"/>
  <c r="W129" i="123"/>
  <c r="V129" i="123"/>
  <c r="U129" i="123"/>
  <c r="T129" i="123"/>
  <c r="S129" i="123"/>
  <c r="L129" i="123"/>
  <c r="X128" i="123"/>
  <c r="W128" i="123"/>
  <c r="V128" i="123"/>
  <c r="U128" i="123"/>
  <c r="T128" i="123"/>
  <c r="S128" i="123"/>
  <c r="L128" i="123"/>
  <c r="X127" i="123"/>
  <c r="W127" i="123"/>
  <c r="V127" i="123"/>
  <c r="U127" i="123"/>
  <c r="T127" i="123"/>
  <c r="S127" i="123"/>
  <c r="L127" i="123"/>
  <c r="X126" i="123"/>
  <c r="W126" i="123"/>
  <c r="V126" i="123"/>
  <c r="U126" i="123"/>
  <c r="T126" i="123"/>
  <c r="S126" i="123"/>
  <c r="L126" i="123"/>
  <c r="X125" i="123"/>
  <c r="W125" i="123"/>
  <c r="V125" i="123"/>
  <c r="U125" i="123"/>
  <c r="T125" i="123"/>
  <c r="S125" i="123"/>
  <c r="L125" i="123"/>
  <c r="X124" i="123"/>
  <c r="W124" i="123"/>
  <c r="V124" i="123"/>
  <c r="U124" i="123"/>
  <c r="T124" i="123"/>
  <c r="S124" i="123"/>
  <c r="L124" i="123"/>
  <c r="X123" i="123"/>
  <c r="W123" i="123"/>
  <c r="V123" i="123"/>
  <c r="U123" i="123"/>
  <c r="T123" i="123"/>
  <c r="S123" i="123"/>
  <c r="L123" i="123"/>
  <c r="X122" i="123"/>
  <c r="W122" i="123"/>
  <c r="V122" i="123"/>
  <c r="U122" i="123"/>
  <c r="T122" i="123"/>
  <c r="S122" i="123"/>
  <c r="L122" i="123"/>
  <c r="X121" i="123"/>
  <c r="W121" i="123"/>
  <c r="V121" i="123"/>
  <c r="U121" i="123"/>
  <c r="T121" i="123"/>
  <c r="S121" i="123"/>
  <c r="L121" i="123"/>
  <c r="X120" i="123"/>
  <c r="W120" i="123"/>
  <c r="V120" i="123"/>
  <c r="U120" i="123"/>
  <c r="T120" i="123"/>
  <c r="S120" i="123"/>
  <c r="L120" i="123"/>
  <c r="X119" i="123"/>
  <c r="W119" i="123"/>
  <c r="V119" i="123"/>
  <c r="U119" i="123"/>
  <c r="T119" i="123"/>
  <c r="S119" i="123"/>
  <c r="L119" i="123"/>
  <c r="X118" i="123"/>
  <c r="W118" i="123"/>
  <c r="V118" i="123"/>
  <c r="U118" i="123"/>
  <c r="T118" i="123"/>
  <c r="S118" i="123"/>
  <c r="L118" i="123"/>
  <c r="X117" i="123"/>
  <c r="W117" i="123"/>
  <c r="V117" i="123"/>
  <c r="U117" i="123"/>
  <c r="T117" i="123"/>
  <c r="S117" i="123"/>
  <c r="L117" i="123"/>
  <c r="X116" i="123"/>
  <c r="W116" i="123"/>
  <c r="V116" i="123"/>
  <c r="U116" i="123"/>
  <c r="T116" i="123"/>
  <c r="S116" i="123"/>
  <c r="L116" i="123"/>
  <c r="X115" i="123"/>
  <c r="W115" i="123"/>
  <c r="V115" i="123"/>
  <c r="U115" i="123"/>
  <c r="T115" i="123"/>
  <c r="S115" i="123"/>
  <c r="L115" i="123"/>
  <c r="X114" i="123"/>
  <c r="W114" i="123"/>
  <c r="V114" i="123"/>
  <c r="U114" i="123"/>
  <c r="T114" i="123"/>
  <c r="S114" i="123"/>
  <c r="L114" i="123"/>
  <c r="X113" i="123"/>
  <c r="W113" i="123"/>
  <c r="V113" i="123"/>
  <c r="U113" i="123"/>
  <c r="T113" i="123"/>
  <c r="S113" i="123"/>
  <c r="L113" i="123"/>
  <c r="X112" i="123"/>
  <c r="W112" i="123"/>
  <c r="V112" i="123"/>
  <c r="U112" i="123"/>
  <c r="T112" i="123"/>
  <c r="S112" i="123"/>
  <c r="L112" i="123"/>
  <c r="X111" i="123"/>
  <c r="W111" i="123"/>
  <c r="V111" i="123"/>
  <c r="U111" i="123"/>
  <c r="T111" i="123"/>
  <c r="S111" i="123"/>
  <c r="L111" i="123"/>
  <c r="X110" i="123"/>
  <c r="W110" i="123"/>
  <c r="V110" i="123"/>
  <c r="U110" i="123"/>
  <c r="T110" i="123"/>
  <c r="S110" i="123"/>
  <c r="L110" i="123"/>
  <c r="X109" i="123"/>
  <c r="W109" i="123"/>
  <c r="V109" i="123"/>
  <c r="U109" i="123"/>
  <c r="T109" i="123"/>
  <c r="S109" i="123"/>
  <c r="L109" i="123"/>
  <c r="X108" i="123"/>
  <c r="W108" i="123"/>
  <c r="V108" i="123"/>
  <c r="U108" i="123"/>
  <c r="T108" i="123"/>
  <c r="S108" i="123"/>
  <c r="L108" i="123"/>
  <c r="X107" i="123"/>
  <c r="W107" i="123"/>
  <c r="V107" i="123"/>
  <c r="U107" i="123"/>
  <c r="T107" i="123"/>
  <c r="S107" i="123"/>
  <c r="L107" i="123"/>
  <c r="X106" i="123"/>
  <c r="W106" i="123"/>
  <c r="V106" i="123"/>
  <c r="U106" i="123"/>
  <c r="T106" i="123"/>
  <c r="S106" i="123"/>
  <c r="L106" i="123"/>
  <c r="X105" i="123"/>
  <c r="W105" i="123"/>
  <c r="V105" i="123"/>
  <c r="U105" i="123"/>
  <c r="T105" i="123"/>
  <c r="S105" i="123"/>
  <c r="L105" i="123"/>
  <c r="X104" i="123"/>
  <c r="W104" i="123"/>
  <c r="V104" i="123"/>
  <c r="U104" i="123"/>
  <c r="T104" i="123"/>
  <c r="S104" i="123"/>
  <c r="L104" i="123"/>
  <c r="X103" i="123"/>
  <c r="W103" i="123"/>
  <c r="V103" i="123"/>
  <c r="U103" i="123"/>
  <c r="T103" i="123"/>
  <c r="S103" i="123"/>
  <c r="L103" i="123"/>
  <c r="X102" i="123"/>
  <c r="W102" i="123"/>
  <c r="V102" i="123"/>
  <c r="U102" i="123"/>
  <c r="T102" i="123"/>
  <c r="S102" i="123"/>
  <c r="L102" i="123"/>
  <c r="X101" i="123"/>
  <c r="W101" i="123"/>
  <c r="V101" i="123"/>
  <c r="U101" i="123"/>
  <c r="T101" i="123"/>
  <c r="S101" i="123"/>
  <c r="L101" i="123"/>
  <c r="X100" i="123"/>
  <c r="W100" i="123"/>
  <c r="V100" i="123"/>
  <c r="U100" i="123"/>
  <c r="T100" i="123"/>
  <c r="S100" i="123"/>
  <c r="L100" i="123"/>
  <c r="X99" i="123"/>
  <c r="W99" i="123"/>
  <c r="V99" i="123"/>
  <c r="U99" i="123"/>
  <c r="T99" i="123"/>
  <c r="S99" i="123"/>
  <c r="L99" i="123"/>
  <c r="X98" i="123"/>
  <c r="W98" i="123"/>
  <c r="V98" i="123"/>
  <c r="U98" i="123"/>
  <c r="T98" i="123"/>
  <c r="S98" i="123"/>
  <c r="L98" i="123"/>
  <c r="X97" i="123"/>
  <c r="W97" i="123"/>
  <c r="V97" i="123"/>
  <c r="U97" i="123"/>
  <c r="T97" i="123"/>
  <c r="S97" i="123"/>
  <c r="L97" i="123"/>
  <c r="X96" i="123"/>
  <c r="W96" i="123"/>
  <c r="V96" i="123"/>
  <c r="U96" i="123"/>
  <c r="T96" i="123"/>
  <c r="S96" i="123"/>
  <c r="L96" i="123"/>
  <c r="X95" i="123"/>
  <c r="W95" i="123"/>
  <c r="V95" i="123"/>
  <c r="U95" i="123"/>
  <c r="T95" i="123"/>
  <c r="S95" i="123"/>
  <c r="L95" i="123"/>
  <c r="X94" i="123"/>
  <c r="W94" i="123"/>
  <c r="V94" i="123"/>
  <c r="U94" i="123"/>
  <c r="T94" i="123"/>
  <c r="S94" i="123"/>
  <c r="L94" i="123"/>
  <c r="X93" i="123"/>
  <c r="W93" i="123"/>
  <c r="V93" i="123"/>
  <c r="U93" i="123"/>
  <c r="T93" i="123"/>
  <c r="S93" i="123"/>
  <c r="L93" i="123"/>
  <c r="X92" i="123"/>
  <c r="W92" i="123"/>
  <c r="V92" i="123"/>
  <c r="U92" i="123"/>
  <c r="T92" i="123"/>
  <c r="S92" i="123"/>
  <c r="L92" i="123"/>
  <c r="X91" i="123"/>
  <c r="W91" i="123"/>
  <c r="V91" i="123"/>
  <c r="U91" i="123"/>
  <c r="T91" i="123"/>
  <c r="S91" i="123"/>
  <c r="L91" i="123"/>
  <c r="X90" i="123"/>
  <c r="W90" i="123"/>
  <c r="V90" i="123"/>
  <c r="U90" i="123"/>
  <c r="T90" i="123"/>
  <c r="S90" i="123"/>
  <c r="L90" i="123"/>
  <c r="X89" i="123"/>
  <c r="W89" i="123"/>
  <c r="V89" i="123"/>
  <c r="U89" i="123"/>
  <c r="T89" i="123"/>
  <c r="S89" i="123"/>
  <c r="L89" i="123"/>
  <c r="X88" i="123"/>
  <c r="W88" i="123"/>
  <c r="V88" i="123"/>
  <c r="U88" i="123"/>
  <c r="T88" i="123"/>
  <c r="S88" i="123"/>
  <c r="L88" i="123"/>
  <c r="X87" i="123"/>
  <c r="W87" i="123"/>
  <c r="V87" i="123"/>
  <c r="U87" i="123"/>
  <c r="T87" i="123"/>
  <c r="S87" i="123"/>
  <c r="L87" i="123"/>
  <c r="X86" i="123"/>
  <c r="W86" i="123"/>
  <c r="V86" i="123"/>
  <c r="U86" i="123"/>
  <c r="T86" i="123"/>
  <c r="S86" i="123"/>
  <c r="L86" i="123"/>
  <c r="X85" i="123"/>
  <c r="W85" i="123"/>
  <c r="V85" i="123"/>
  <c r="U85" i="123"/>
  <c r="T85" i="123"/>
  <c r="S85" i="123"/>
  <c r="L85" i="123"/>
  <c r="X84" i="123"/>
  <c r="W84" i="123"/>
  <c r="V84" i="123"/>
  <c r="U84" i="123"/>
  <c r="T84" i="123"/>
  <c r="S84" i="123"/>
  <c r="L84" i="123"/>
  <c r="X83" i="123"/>
  <c r="W83" i="123"/>
  <c r="V83" i="123"/>
  <c r="U83" i="123"/>
  <c r="T83" i="123"/>
  <c r="S83" i="123"/>
  <c r="L83" i="123"/>
  <c r="X82" i="123"/>
  <c r="W82" i="123"/>
  <c r="V82" i="123"/>
  <c r="U82" i="123"/>
  <c r="T82" i="123"/>
  <c r="S82" i="123"/>
  <c r="L82" i="123"/>
  <c r="X81" i="123"/>
  <c r="W81" i="123"/>
  <c r="V81" i="123"/>
  <c r="U81" i="123"/>
  <c r="T81" i="123"/>
  <c r="S81" i="123"/>
  <c r="L81" i="123"/>
  <c r="X80" i="123"/>
  <c r="W80" i="123"/>
  <c r="V80" i="123"/>
  <c r="U80" i="123"/>
  <c r="T80" i="123"/>
  <c r="S80" i="123"/>
  <c r="L80" i="123"/>
  <c r="X79" i="123"/>
  <c r="W79" i="123"/>
  <c r="V79" i="123"/>
  <c r="U79" i="123"/>
  <c r="T79" i="123"/>
  <c r="S79" i="123"/>
  <c r="L79" i="123"/>
  <c r="X78" i="123"/>
  <c r="W78" i="123"/>
  <c r="V78" i="123"/>
  <c r="U78" i="123"/>
  <c r="T78" i="123"/>
  <c r="S78" i="123"/>
  <c r="L78" i="123"/>
  <c r="X77" i="123"/>
  <c r="W77" i="123"/>
  <c r="V77" i="123"/>
  <c r="U77" i="123"/>
  <c r="T77" i="123"/>
  <c r="S77" i="123"/>
  <c r="L77" i="123"/>
  <c r="X76" i="123"/>
  <c r="W76" i="123"/>
  <c r="V76" i="123"/>
  <c r="U76" i="123"/>
  <c r="T76" i="123"/>
  <c r="S76" i="123"/>
  <c r="L76" i="123"/>
  <c r="X75" i="123"/>
  <c r="W75" i="123"/>
  <c r="V75" i="123"/>
  <c r="U75" i="123"/>
  <c r="T75" i="123"/>
  <c r="S75" i="123"/>
  <c r="L75" i="123"/>
  <c r="X74" i="123"/>
  <c r="W74" i="123"/>
  <c r="V74" i="123"/>
  <c r="U74" i="123"/>
  <c r="T74" i="123"/>
  <c r="S74" i="123"/>
  <c r="L74" i="123"/>
  <c r="X73" i="123"/>
  <c r="W73" i="123"/>
  <c r="V73" i="123"/>
  <c r="U73" i="123"/>
  <c r="T73" i="123"/>
  <c r="S73" i="123"/>
  <c r="L73" i="123"/>
  <c r="X72" i="123"/>
  <c r="W72" i="123"/>
  <c r="V72" i="123"/>
  <c r="U72" i="123"/>
  <c r="T72" i="123"/>
  <c r="S72" i="123"/>
  <c r="L72" i="123"/>
  <c r="X71" i="123"/>
  <c r="W71" i="123"/>
  <c r="V71" i="123"/>
  <c r="U71" i="123"/>
  <c r="T71" i="123"/>
  <c r="S71" i="123"/>
  <c r="L71" i="123"/>
  <c r="X70" i="123"/>
  <c r="W70" i="123"/>
  <c r="V70" i="123"/>
  <c r="U70" i="123"/>
  <c r="T70" i="123"/>
  <c r="S70" i="123"/>
  <c r="L70" i="123"/>
  <c r="X69" i="123"/>
  <c r="W69" i="123"/>
  <c r="V69" i="123"/>
  <c r="U69" i="123"/>
  <c r="T69" i="123"/>
  <c r="S69" i="123"/>
  <c r="L69" i="123"/>
  <c r="X68" i="123"/>
  <c r="W68" i="123"/>
  <c r="V68" i="123"/>
  <c r="U68" i="123"/>
  <c r="T68" i="123"/>
  <c r="S68" i="123"/>
  <c r="L68" i="123"/>
  <c r="X67" i="123"/>
  <c r="W67" i="123"/>
  <c r="V67" i="123"/>
  <c r="U67" i="123"/>
  <c r="T67" i="123"/>
  <c r="S67" i="123"/>
  <c r="L67" i="123"/>
  <c r="X66" i="123"/>
  <c r="W66" i="123"/>
  <c r="V66" i="123"/>
  <c r="U66" i="123"/>
  <c r="T66" i="123"/>
  <c r="S66" i="123"/>
  <c r="L66" i="123"/>
  <c r="X65" i="123"/>
  <c r="W65" i="123"/>
  <c r="V65" i="123"/>
  <c r="U65" i="123"/>
  <c r="T65" i="123"/>
  <c r="S65" i="123"/>
  <c r="L65" i="123"/>
  <c r="X64" i="123"/>
  <c r="W64" i="123"/>
  <c r="V64" i="123"/>
  <c r="U64" i="123"/>
  <c r="T64" i="123"/>
  <c r="S64" i="123"/>
  <c r="L64" i="123"/>
  <c r="X63" i="123"/>
  <c r="W63" i="123"/>
  <c r="V63" i="123"/>
  <c r="U63" i="123"/>
  <c r="T63" i="123"/>
  <c r="S63" i="123"/>
  <c r="L63" i="123"/>
  <c r="X62" i="123"/>
  <c r="W62" i="123"/>
  <c r="V62" i="123"/>
  <c r="U62" i="123"/>
  <c r="T62" i="123"/>
  <c r="S62" i="123"/>
  <c r="L62" i="123"/>
  <c r="X61" i="123"/>
  <c r="W61" i="123"/>
  <c r="V61" i="123"/>
  <c r="U61" i="123"/>
  <c r="T61" i="123"/>
  <c r="S61" i="123"/>
  <c r="L61" i="123"/>
  <c r="X60" i="123"/>
  <c r="W60" i="123"/>
  <c r="V60" i="123"/>
  <c r="U60" i="123"/>
  <c r="T60" i="123"/>
  <c r="S60" i="123"/>
  <c r="L60" i="123"/>
  <c r="X59" i="123"/>
  <c r="W59" i="123"/>
  <c r="V59" i="123"/>
  <c r="U59" i="123"/>
  <c r="T59" i="123"/>
  <c r="S59" i="123"/>
  <c r="L59" i="123"/>
  <c r="X58" i="123"/>
  <c r="W58" i="123"/>
  <c r="V58" i="123"/>
  <c r="U58" i="123"/>
  <c r="T58" i="123"/>
  <c r="S58" i="123"/>
  <c r="L58" i="123"/>
  <c r="X57" i="123"/>
  <c r="W57" i="123"/>
  <c r="V57" i="123"/>
  <c r="U57" i="123"/>
  <c r="T57" i="123"/>
  <c r="S57" i="123"/>
  <c r="L57" i="123"/>
  <c r="X56" i="123"/>
  <c r="W56" i="123"/>
  <c r="V56" i="123"/>
  <c r="U56" i="123"/>
  <c r="T56" i="123"/>
  <c r="S56" i="123"/>
  <c r="L56" i="123"/>
  <c r="X55" i="123"/>
  <c r="W55" i="123"/>
  <c r="V55" i="123"/>
  <c r="U55" i="123"/>
  <c r="T55" i="123"/>
  <c r="S55" i="123"/>
  <c r="L55" i="123"/>
  <c r="X54" i="123"/>
  <c r="W54" i="123"/>
  <c r="V54" i="123"/>
  <c r="U54" i="123"/>
  <c r="T54" i="123"/>
  <c r="S54" i="123"/>
  <c r="L54" i="123"/>
  <c r="X53" i="123"/>
  <c r="W53" i="123"/>
  <c r="V53" i="123"/>
  <c r="U53" i="123"/>
  <c r="T53" i="123"/>
  <c r="S53" i="123"/>
  <c r="L53" i="123"/>
  <c r="X52" i="123"/>
  <c r="W52" i="123"/>
  <c r="V52" i="123"/>
  <c r="U52" i="123"/>
  <c r="T52" i="123"/>
  <c r="S52" i="123"/>
  <c r="L52" i="123"/>
  <c r="X51" i="123"/>
  <c r="W51" i="123"/>
  <c r="V51" i="123"/>
  <c r="U51" i="123"/>
  <c r="T51" i="123"/>
  <c r="S51" i="123"/>
  <c r="L51" i="123"/>
  <c r="X50" i="123"/>
  <c r="W50" i="123"/>
  <c r="V50" i="123"/>
  <c r="U50" i="123"/>
  <c r="T50" i="123"/>
  <c r="S50" i="123"/>
  <c r="L50" i="123"/>
  <c r="X49" i="123"/>
  <c r="W49" i="123"/>
  <c r="V49" i="123"/>
  <c r="U49" i="123"/>
  <c r="T49" i="123"/>
  <c r="S49" i="123"/>
  <c r="L49" i="123"/>
  <c r="X48" i="123"/>
  <c r="W48" i="123"/>
  <c r="V48" i="123"/>
  <c r="U48" i="123"/>
  <c r="T48" i="123"/>
  <c r="S48" i="123"/>
  <c r="L48" i="123"/>
  <c r="X47" i="123"/>
  <c r="W47" i="123"/>
  <c r="V47" i="123"/>
  <c r="U47" i="123"/>
  <c r="T47" i="123"/>
  <c r="S47" i="123"/>
  <c r="L47" i="123"/>
  <c r="X46" i="123"/>
  <c r="W46" i="123"/>
  <c r="V46" i="123"/>
  <c r="U46" i="123"/>
  <c r="T46" i="123"/>
  <c r="S46" i="123"/>
  <c r="L46" i="123"/>
  <c r="X45" i="123"/>
  <c r="W45" i="123"/>
  <c r="V45" i="123"/>
  <c r="U45" i="123"/>
  <c r="T45" i="123"/>
  <c r="S45" i="123"/>
  <c r="L45" i="123"/>
  <c r="X44" i="123"/>
  <c r="W44" i="123"/>
  <c r="V44" i="123"/>
  <c r="U44" i="123"/>
  <c r="T44" i="123"/>
  <c r="S44" i="123"/>
  <c r="L44" i="123"/>
  <c r="X43" i="123"/>
  <c r="W43" i="123"/>
  <c r="V43" i="123"/>
  <c r="U43" i="123"/>
  <c r="T43" i="123"/>
  <c r="S43" i="123"/>
  <c r="L43" i="123"/>
  <c r="X42" i="123"/>
  <c r="W42" i="123"/>
  <c r="V42" i="123"/>
  <c r="U42" i="123"/>
  <c r="T42" i="123"/>
  <c r="S42" i="123"/>
  <c r="L42" i="123"/>
  <c r="X41" i="123"/>
  <c r="W41" i="123"/>
  <c r="V41" i="123"/>
  <c r="U41" i="123"/>
  <c r="T41" i="123"/>
  <c r="S41" i="123"/>
  <c r="L41" i="123"/>
  <c r="X40" i="123"/>
  <c r="W40" i="123"/>
  <c r="V40" i="123"/>
  <c r="U40" i="123"/>
  <c r="T40" i="123"/>
  <c r="S40" i="123"/>
  <c r="L40" i="123"/>
  <c r="X39" i="123"/>
  <c r="W39" i="123"/>
  <c r="V39" i="123"/>
  <c r="U39" i="123"/>
  <c r="T39" i="123"/>
  <c r="S39" i="123"/>
  <c r="L39" i="123"/>
  <c r="X38" i="123"/>
  <c r="W38" i="123"/>
  <c r="V38" i="123"/>
  <c r="U38" i="123"/>
  <c r="T38" i="123"/>
  <c r="S38" i="123"/>
  <c r="L38" i="123"/>
  <c r="X37" i="123"/>
  <c r="W37" i="123"/>
  <c r="V37" i="123"/>
  <c r="U37" i="123"/>
  <c r="T37" i="123"/>
  <c r="S37" i="123"/>
  <c r="L37" i="123"/>
  <c r="X36" i="123"/>
  <c r="W36" i="123"/>
  <c r="V36" i="123"/>
  <c r="U36" i="123"/>
  <c r="T36" i="123"/>
  <c r="S36" i="123"/>
  <c r="L36" i="123"/>
  <c r="X35" i="123"/>
  <c r="W35" i="123"/>
  <c r="V35" i="123"/>
  <c r="U35" i="123"/>
  <c r="T35" i="123"/>
  <c r="S35" i="123"/>
  <c r="L35" i="123"/>
  <c r="U34" i="123"/>
  <c r="T34" i="123"/>
  <c r="S34" i="123"/>
  <c r="L34" i="123"/>
  <c r="X33" i="123"/>
  <c r="W33" i="123"/>
  <c r="V33" i="123"/>
  <c r="U33" i="123"/>
  <c r="T33" i="123"/>
  <c r="S33" i="123"/>
  <c r="L33" i="123"/>
  <c r="X32" i="123"/>
  <c r="W32" i="123"/>
  <c r="V32" i="123"/>
  <c r="U32" i="123"/>
  <c r="T32" i="123"/>
  <c r="S32" i="123"/>
  <c r="L32" i="123"/>
  <c r="X31" i="123"/>
  <c r="W31" i="123"/>
  <c r="V31" i="123"/>
  <c r="U31" i="123"/>
  <c r="T31" i="123"/>
  <c r="S31" i="123"/>
  <c r="L31" i="123"/>
  <c r="X30" i="123"/>
  <c r="W30" i="123"/>
  <c r="V30" i="123"/>
  <c r="U30" i="123"/>
  <c r="T30" i="123"/>
  <c r="S30" i="123"/>
  <c r="L30" i="123"/>
  <c r="X29" i="123"/>
  <c r="W29" i="123"/>
  <c r="V29" i="123"/>
  <c r="U29" i="123"/>
  <c r="T29" i="123"/>
  <c r="S29" i="123"/>
  <c r="L29" i="123"/>
  <c r="X28" i="123"/>
  <c r="W28" i="123"/>
  <c r="V28" i="123"/>
  <c r="U28" i="123"/>
  <c r="T28" i="123"/>
  <c r="S28" i="123"/>
  <c r="L28" i="123"/>
  <c r="X27" i="123"/>
  <c r="W27" i="123"/>
  <c r="V27" i="123"/>
  <c r="U27" i="123"/>
  <c r="T27" i="123"/>
  <c r="S27" i="123"/>
  <c r="L27" i="123"/>
  <c r="X26" i="123"/>
  <c r="W26" i="123"/>
  <c r="V26" i="123"/>
  <c r="U26" i="123"/>
  <c r="T26" i="123"/>
  <c r="S26" i="123"/>
  <c r="L26" i="123"/>
  <c r="X25" i="123"/>
  <c r="W25" i="123"/>
  <c r="V25" i="123"/>
  <c r="U25" i="123"/>
  <c r="T25" i="123"/>
  <c r="S25" i="123"/>
  <c r="L25" i="123"/>
  <c r="X24" i="123"/>
  <c r="W24" i="123"/>
  <c r="V24" i="123"/>
  <c r="U24" i="123"/>
  <c r="T24" i="123"/>
  <c r="S24" i="123"/>
  <c r="L24" i="123"/>
  <c r="X23" i="123"/>
  <c r="W23" i="123"/>
  <c r="V23" i="123"/>
  <c r="U23" i="123"/>
  <c r="T23" i="123"/>
  <c r="S23" i="123"/>
  <c r="L23" i="123"/>
  <c r="X22" i="123"/>
  <c r="W22" i="123"/>
  <c r="V22" i="123"/>
  <c r="U22" i="123"/>
  <c r="T22" i="123"/>
  <c r="S22" i="123"/>
  <c r="L22" i="123"/>
  <c r="X21" i="123"/>
  <c r="W21" i="123"/>
  <c r="V21" i="123"/>
  <c r="U21" i="123"/>
  <c r="T21" i="123"/>
  <c r="S21" i="123"/>
  <c r="L21" i="123"/>
  <c r="X20" i="123"/>
  <c r="W20" i="123"/>
  <c r="V20" i="123"/>
  <c r="U20" i="123"/>
  <c r="T20" i="123"/>
  <c r="S20" i="123"/>
  <c r="L20" i="123"/>
  <c r="X19" i="123"/>
  <c r="W19" i="123"/>
  <c r="V19" i="123"/>
  <c r="U19" i="123"/>
  <c r="T19" i="123"/>
  <c r="S19" i="123"/>
  <c r="L19" i="123"/>
  <c r="X18" i="123"/>
  <c r="W18" i="123"/>
  <c r="V18" i="123"/>
  <c r="S18" i="123"/>
  <c r="Q18" i="123"/>
  <c r="P18" i="123"/>
  <c r="O18" i="123"/>
  <c r="L18" i="123"/>
  <c r="X17" i="123"/>
  <c r="W17" i="123"/>
  <c r="V17" i="123"/>
  <c r="S17" i="123"/>
  <c r="R17" i="123"/>
  <c r="Q17" i="123"/>
  <c r="P17" i="123"/>
  <c r="O17" i="123"/>
  <c r="N17" i="123"/>
  <c r="M17" i="123"/>
  <c r="L17" i="123"/>
  <c r="R16" i="123"/>
  <c r="N16" i="123"/>
  <c r="M16" i="123"/>
  <c r="L16" i="123"/>
  <c r="W7" i="123"/>
  <c r="Y2" i="123"/>
  <c r="O35" i="123" l="1"/>
  <c r="O39" i="123"/>
  <c r="O38" i="123"/>
  <c r="O40" i="123"/>
  <c r="O34" i="123"/>
  <c r="O37" i="123"/>
  <c r="O36" i="123"/>
  <c r="K20" i="122"/>
  <c r="K24" i="120"/>
  <c r="W7" i="122"/>
  <c r="X153" i="122"/>
  <c r="W153" i="122"/>
  <c r="V153" i="122"/>
  <c r="U153" i="122"/>
  <c r="T153" i="122"/>
  <c r="S153" i="122"/>
  <c r="R153" i="122"/>
  <c r="Q153" i="122"/>
  <c r="P153" i="122"/>
  <c r="O153" i="122"/>
  <c r="N153" i="122"/>
  <c r="M153" i="122"/>
  <c r="L153" i="122"/>
  <c r="X152" i="122"/>
  <c r="W152" i="122"/>
  <c r="V152" i="122"/>
  <c r="U152" i="122"/>
  <c r="T152" i="122"/>
  <c r="S152" i="122"/>
  <c r="R152" i="122"/>
  <c r="Q152" i="122"/>
  <c r="P152" i="122"/>
  <c r="O152" i="122"/>
  <c r="N152" i="122"/>
  <c r="M152" i="122"/>
  <c r="L152" i="122"/>
  <c r="X151" i="122"/>
  <c r="W151" i="122"/>
  <c r="V151" i="122"/>
  <c r="U151" i="122"/>
  <c r="T151" i="122"/>
  <c r="S151" i="122"/>
  <c r="R151" i="122"/>
  <c r="Q151" i="122"/>
  <c r="P151" i="122"/>
  <c r="O151" i="122"/>
  <c r="N151" i="122"/>
  <c r="M151" i="122"/>
  <c r="L151" i="122"/>
  <c r="X150" i="122"/>
  <c r="W150" i="122"/>
  <c r="V150" i="122"/>
  <c r="U150" i="122"/>
  <c r="T150" i="122"/>
  <c r="S150" i="122"/>
  <c r="R150" i="122"/>
  <c r="Q150" i="122"/>
  <c r="P150" i="122"/>
  <c r="O150" i="122"/>
  <c r="N150" i="122"/>
  <c r="M150" i="122"/>
  <c r="L150" i="122"/>
  <c r="X149" i="122"/>
  <c r="W149" i="122"/>
  <c r="V149" i="122"/>
  <c r="U149" i="122"/>
  <c r="T149" i="122"/>
  <c r="S149" i="122"/>
  <c r="R149" i="122"/>
  <c r="Q149" i="122"/>
  <c r="P149" i="122"/>
  <c r="O149" i="122"/>
  <c r="N149" i="122"/>
  <c r="M149" i="122"/>
  <c r="L149" i="122"/>
  <c r="X148" i="122"/>
  <c r="W148" i="122"/>
  <c r="V148" i="122"/>
  <c r="U148" i="122"/>
  <c r="T148" i="122"/>
  <c r="S148" i="122"/>
  <c r="R148" i="122"/>
  <c r="Q148" i="122"/>
  <c r="P148" i="122"/>
  <c r="O148" i="122"/>
  <c r="N148" i="122"/>
  <c r="M148" i="122"/>
  <c r="L148" i="122"/>
  <c r="X147" i="122"/>
  <c r="W147" i="122"/>
  <c r="V147" i="122"/>
  <c r="U147" i="122"/>
  <c r="T147" i="122"/>
  <c r="S147" i="122"/>
  <c r="R147" i="122"/>
  <c r="Q147" i="122"/>
  <c r="P147" i="122"/>
  <c r="O147" i="122"/>
  <c r="N147" i="122"/>
  <c r="M147" i="122"/>
  <c r="L147" i="122"/>
  <c r="X146" i="122"/>
  <c r="W146" i="122"/>
  <c r="V146" i="122"/>
  <c r="U146" i="122"/>
  <c r="T146" i="122"/>
  <c r="S146" i="122"/>
  <c r="R146" i="122"/>
  <c r="Q146" i="122"/>
  <c r="P146" i="122"/>
  <c r="O146" i="122"/>
  <c r="N146" i="122"/>
  <c r="M146" i="122"/>
  <c r="L146" i="122"/>
  <c r="X145" i="122"/>
  <c r="W145" i="122"/>
  <c r="V145" i="122"/>
  <c r="U145" i="122"/>
  <c r="T145" i="122"/>
  <c r="S145" i="122"/>
  <c r="R145" i="122"/>
  <c r="Q145" i="122"/>
  <c r="P145" i="122"/>
  <c r="O145" i="122"/>
  <c r="N145" i="122"/>
  <c r="M145" i="122"/>
  <c r="L145" i="122"/>
  <c r="X144" i="122"/>
  <c r="W144" i="122"/>
  <c r="V144" i="122"/>
  <c r="U144" i="122"/>
  <c r="T144" i="122"/>
  <c r="S144" i="122"/>
  <c r="R144" i="122"/>
  <c r="Q144" i="122"/>
  <c r="P144" i="122"/>
  <c r="O144" i="122"/>
  <c r="N144" i="122"/>
  <c r="M144" i="122"/>
  <c r="L144" i="122"/>
  <c r="X143" i="122"/>
  <c r="W143" i="122"/>
  <c r="V143" i="122"/>
  <c r="U143" i="122"/>
  <c r="T143" i="122"/>
  <c r="S143" i="122"/>
  <c r="R143" i="122"/>
  <c r="Q143" i="122"/>
  <c r="P143" i="122"/>
  <c r="O143" i="122"/>
  <c r="N143" i="122"/>
  <c r="M143" i="122"/>
  <c r="L143" i="122"/>
  <c r="X142" i="122"/>
  <c r="W142" i="122"/>
  <c r="V142" i="122"/>
  <c r="U142" i="122"/>
  <c r="T142" i="122"/>
  <c r="S142" i="122"/>
  <c r="R142" i="122"/>
  <c r="Q142" i="122"/>
  <c r="P142" i="122"/>
  <c r="O142" i="122"/>
  <c r="N142" i="122"/>
  <c r="M142" i="122"/>
  <c r="L142" i="122"/>
  <c r="X141" i="122"/>
  <c r="W141" i="122"/>
  <c r="V141" i="122"/>
  <c r="U141" i="122"/>
  <c r="T141" i="122"/>
  <c r="S141" i="122"/>
  <c r="R141" i="122"/>
  <c r="Q141" i="122"/>
  <c r="P141" i="122"/>
  <c r="O141" i="122"/>
  <c r="N141" i="122"/>
  <c r="M141" i="122"/>
  <c r="L141" i="122"/>
  <c r="X140" i="122"/>
  <c r="W140" i="122"/>
  <c r="V140" i="122"/>
  <c r="U140" i="122"/>
  <c r="T140" i="122"/>
  <c r="S140" i="122"/>
  <c r="R140" i="122"/>
  <c r="Q140" i="122"/>
  <c r="P140" i="122"/>
  <c r="O140" i="122"/>
  <c r="N140" i="122"/>
  <c r="M140" i="122"/>
  <c r="L140" i="122"/>
  <c r="X139" i="122"/>
  <c r="W139" i="122"/>
  <c r="V139" i="122"/>
  <c r="U139" i="122"/>
  <c r="T139" i="122"/>
  <c r="S139" i="122"/>
  <c r="R139" i="122"/>
  <c r="Q139" i="122"/>
  <c r="P139" i="122"/>
  <c r="O139" i="122"/>
  <c r="N139" i="122"/>
  <c r="M139" i="122"/>
  <c r="L139" i="122"/>
  <c r="X138" i="122"/>
  <c r="W138" i="122"/>
  <c r="V138" i="122"/>
  <c r="U138" i="122"/>
  <c r="T138" i="122"/>
  <c r="S138" i="122"/>
  <c r="R138" i="122"/>
  <c r="Q138" i="122"/>
  <c r="P138" i="122"/>
  <c r="O138" i="122"/>
  <c r="N138" i="122"/>
  <c r="M138" i="122"/>
  <c r="L138" i="122"/>
  <c r="X137" i="122"/>
  <c r="W137" i="122"/>
  <c r="V137" i="122"/>
  <c r="U137" i="122"/>
  <c r="T137" i="122"/>
  <c r="S137" i="122"/>
  <c r="R137" i="122"/>
  <c r="Q137" i="122"/>
  <c r="P137" i="122"/>
  <c r="O137" i="122"/>
  <c r="N137" i="122"/>
  <c r="M137" i="122"/>
  <c r="L137" i="122"/>
  <c r="X136" i="122"/>
  <c r="W136" i="122"/>
  <c r="V136" i="122"/>
  <c r="U136" i="122"/>
  <c r="T136" i="122"/>
  <c r="S136" i="122"/>
  <c r="R136" i="122"/>
  <c r="Q136" i="122"/>
  <c r="P136" i="122"/>
  <c r="O136" i="122"/>
  <c r="N136" i="122"/>
  <c r="M136" i="122"/>
  <c r="L136" i="122"/>
  <c r="X135" i="122"/>
  <c r="W135" i="122"/>
  <c r="V135" i="122"/>
  <c r="U135" i="122"/>
  <c r="T135" i="122"/>
  <c r="S135" i="122"/>
  <c r="R135" i="122"/>
  <c r="Q135" i="122"/>
  <c r="P135" i="122"/>
  <c r="O135" i="122"/>
  <c r="N135" i="122"/>
  <c r="M135" i="122"/>
  <c r="L135" i="122"/>
  <c r="X134" i="122"/>
  <c r="W134" i="122"/>
  <c r="V134" i="122"/>
  <c r="U134" i="122"/>
  <c r="T134" i="122"/>
  <c r="S134" i="122"/>
  <c r="R134" i="122"/>
  <c r="Q134" i="122"/>
  <c r="P134" i="122"/>
  <c r="O134" i="122"/>
  <c r="N134" i="122"/>
  <c r="M134" i="122"/>
  <c r="L134" i="122"/>
  <c r="X133" i="122"/>
  <c r="W133" i="122"/>
  <c r="V133" i="122"/>
  <c r="U133" i="122"/>
  <c r="T133" i="122"/>
  <c r="S133" i="122"/>
  <c r="R133" i="122"/>
  <c r="Q133" i="122"/>
  <c r="P133" i="122"/>
  <c r="O133" i="122"/>
  <c r="N133" i="122"/>
  <c r="M133" i="122"/>
  <c r="L133" i="122"/>
  <c r="X132" i="122"/>
  <c r="W132" i="122"/>
  <c r="V132" i="122"/>
  <c r="U132" i="122"/>
  <c r="T132" i="122"/>
  <c r="S132" i="122"/>
  <c r="R132" i="122"/>
  <c r="Q132" i="122"/>
  <c r="P132" i="122"/>
  <c r="O132" i="122"/>
  <c r="N132" i="122"/>
  <c r="M132" i="122"/>
  <c r="L132" i="122"/>
  <c r="X131" i="122"/>
  <c r="W131" i="122"/>
  <c r="V131" i="122"/>
  <c r="U131" i="122"/>
  <c r="T131" i="122"/>
  <c r="S131" i="122"/>
  <c r="R131" i="122"/>
  <c r="Q131" i="122"/>
  <c r="P131" i="122"/>
  <c r="O131" i="122"/>
  <c r="N131" i="122"/>
  <c r="M131" i="122"/>
  <c r="L131" i="122"/>
  <c r="X130" i="122"/>
  <c r="W130" i="122"/>
  <c r="V130" i="122"/>
  <c r="U130" i="122"/>
  <c r="T130" i="122"/>
  <c r="S130" i="122"/>
  <c r="R130" i="122"/>
  <c r="Q130" i="122"/>
  <c r="P130" i="122"/>
  <c r="O130" i="122"/>
  <c r="N130" i="122"/>
  <c r="M130" i="122"/>
  <c r="L130" i="122"/>
  <c r="X129" i="122"/>
  <c r="W129" i="122"/>
  <c r="V129" i="122"/>
  <c r="U129" i="122"/>
  <c r="T129" i="122"/>
  <c r="S129" i="122"/>
  <c r="R129" i="122"/>
  <c r="Q129" i="122"/>
  <c r="P129" i="122"/>
  <c r="O129" i="122"/>
  <c r="N129" i="122"/>
  <c r="M129" i="122"/>
  <c r="L129" i="122"/>
  <c r="X128" i="122"/>
  <c r="W128" i="122"/>
  <c r="V128" i="122"/>
  <c r="U128" i="122"/>
  <c r="T128" i="122"/>
  <c r="S128" i="122"/>
  <c r="R128" i="122"/>
  <c r="Q128" i="122"/>
  <c r="P128" i="122"/>
  <c r="O128" i="122"/>
  <c r="N128" i="122"/>
  <c r="M128" i="122"/>
  <c r="L128" i="122"/>
  <c r="X127" i="122"/>
  <c r="W127" i="122"/>
  <c r="V127" i="122"/>
  <c r="U127" i="122"/>
  <c r="T127" i="122"/>
  <c r="S127" i="122"/>
  <c r="R127" i="122"/>
  <c r="Q127" i="122"/>
  <c r="P127" i="122"/>
  <c r="O127" i="122"/>
  <c r="N127" i="122"/>
  <c r="M127" i="122"/>
  <c r="L127" i="122"/>
  <c r="X126" i="122"/>
  <c r="W126" i="122"/>
  <c r="V126" i="122"/>
  <c r="U126" i="122"/>
  <c r="T126" i="122"/>
  <c r="S126" i="122"/>
  <c r="R126" i="122"/>
  <c r="Q126" i="122"/>
  <c r="P126" i="122"/>
  <c r="O126" i="122"/>
  <c r="N126" i="122"/>
  <c r="M126" i="122"/>
  <c r="L126" i="122"/>
  <c r="X125" i="122"/>
  <c r="W125" i="122"/>
  <c r="V125" i="122"/>
  <c r="U125" i="122"/>
  <c r="T125" i="122"/>
  <c r="S125" i="122"/>
  <c r="R125" i="122"/>
  <c r="Q125" i="122"/>
  <c r="P125" i="122"/>
  <c r="O125" i="122"/>
  <c r="N125" i="122"/>
  <c r="M125" i="122"/>
  <c r="L125" i="122"/>
  <c r="X124" i="122"/>
  <c r="W124" i="122"/>
  <c r="V124" i="122"/>
  <c r="U124" i="122"/>
  <c r="T124" i="122"/>
  <c r="S124" i="122"/>
  <c r="R124" i="122"/>
  <c r="Q124" i="122"/>
  <c r="P124" i="122"/>
  <c r="O124" i="122"/>
  <c r="N124" i="122"/>
  <c r="M124" i="122"/>
  <c r="L124" i="122"/>
  <c r="X123" i="122"/>
  <c r="W123" i="122"/>
  <c r="V123" i="122"/>
  <c r="U123" i="122"/>
  <c r="T123" i="122"/>
  <c r="S123" i="122"/>
  <c r="R123" i="122"/>
  <c r="Q123" i="122"/>
  <c r="P123" i="122"/>
  <c r="O123" i="122"/>
  <c r="N123" i="122"/>
  <c r="M123" i="122"/>
  <c r="L123" i="122"/>
  <c r="X122" i="122"/>
  <c r="W122" i="122"/>
  <c r="V122" i="122"/>
  <c r="U122" i="122"/>
  <c r="T122" i="122"/>
  <c r="S122" i="122"/>
  <c r="R122" i="122"/>
  <c r="Q122" i="122"/>
  <c r="P122" i="122"/>
  <c r="O122" i="122"/>
  <c r="N122" i="122"/>
  <c r="M122" i="122"/>
  <c r="L122" i="122"/>
  <c r="X121" i="122"/>
  <c r="W121" i="122"/>
  <c r="V121" i="122"/>
  <c r="U121" i="122"/>
  <c r="T121" i="122"/>
  <c r="S121" i="122"/>
  <c r="R121" i="122"/>
  <c r="Q121" i="122"/>
  <c r="P121" i="122"/>
  <c r="O121" i="122"/>
  <c r="N121" i="122"/>
  <c r="M121" i="122"/>
  <c r="L121" i="122"/>
  <c r="X120" i="122"/>
  <c r="W120" i="122"/>
  <c r="V120" i="122"/>
  <c r="U120" i="122"/>
  <c r="T120" i="122"/>
  <c r="S120" i="122"/>
  <c r="R120" i="122"/>
  <c r="Q120" i="122"/>
  <c r="P120" i="122"/>
  <c r="O120" i="122"/>
  <c r="N120" i="122"/>
  <c r="M120" i="122"/>
  <c r="L120" i="122"/>
  <c r="X119" i="122"/>
  <c r="W119" i="122"/>
  <c r="V119" i="122"/>
  <c r="U119" i="122"/>
  <c r="T119" i="122"/>
  <c r="S119" i="122"/>
  <c r="R119" i="122"/>
  <c r="Q119" i="122"/>
  <c r="P119" i="122"/>
  <c r="O119" i="122"/>
  <c r="N119" i="122"/>
  <c r="M119" i="122"/>
  <c r="L119" i="122"/>
  <c r="X118" i="122"/>
  <c r="W118" i="122"/>
  <c r="V118" i="122"/>
  <c r="U118" i="122"/>
  <c r="T118" i="122"/>
  <c r="S118" i="122"/>
  <c r="R118" i="122"/>
  <c r="Q118" i="122"/>
  <c r="P118" i="122"/>
  <c r="O118" i="122"/>
  <c r="N118" i="122"/>
  <c r="M118" i="122"/>
  <c r="L118" i="122"/>
  <c r="X117" i="122"/>
  <c r="W117" i="122"/>
  <c r="V117" i="122"/>
  <c r="U117" i="122"/>
  <c r="T117" i="122"/>
  <c r="S117" i="122"/>
  <c r="R117" i="122"/>
  <c r="Q117" i="122"/>
  <c r="P117" i="122"/>
  <c r="O117" i="122"/>
  <c r="N117" i="122"/>
  <c r="M117" i="122"/>
  <c r="L117" i="122"/>
  <c r="X116" i="122"/>
  <c r="W116" i="122"/>
  <c r="V116" i="122"/>
  <c r="U116" i="122"/>
  <c r="T116" i="122"/>
  <c r="S116" i="122"/>
  <c r="R116" i="122"/>
  <c r="Q116" i="122"/>
  <c r="P116" i="122"/>
  <c r="O116" i="122"/>
  <c r="N116" i="122"/>
  <c r="M116" i="122"/>
  <c r="L116" i="122"/>
  <c r="X115" i="122"/>
  <c r="W115" i="122"/>
  <c r="V115" i="122"/>
  <c r="U115" i="122"/>
  <c r="T115" i="122"/>
  <c r="S115" i="122"/>
  <c r="R115" i="122"/>
  <c r="Q115" i="122"/>
  <c r="P115" i="122"/>
  <c r="O115" i="122"/>
  <c r="N115" i="122"/>
  <c r="M115" i="122"/>
  <c r="L115" i="122"/>
  <c r="X114" i="122"/>
  <c r="W114" i="122"/>
  <c r="V114" i="122"/>
  <c r="U114" i="122"/>
  <c r="T114" i="122"/>
  <c r="S114" i="122"/>
  <c r="R114" i="122"/>
  <c r="Q114" i="122"/>
  <c r="P114" i="122"/>
  <c r="O114" i="122"/>
  <c r="N114" i="122"/>
  <c r="M114" i="122"/>
  <c r="L114" i="122"/>
  <c r="X113" i="122"/>
  <c r="W113" i="122"/>
  <c r="V113" i="122"/>
  <c r="U113" i="122"/>
  <c r="T113" i="122"/>
  <c r="S113" i="122"/>
  <c r="R113" i="122"/>
  <c r="Q113" i="122"/>
  <c r="P113" i="122"/>
  <c r="O113" i="122"/>
  <c r="N113" i="122"/>
  <c r="M113" i="122"/>
  <c r="L113" i="122"/>
  <c r="X112" i="122"/>
  <c r="W112" i="122"/>
  <c r="V112" i="122"/>
  <c r="U112" i="122"/>
  <c r="T112" i="122"/>
  <c r="S112" i="122"/>
  <c r="R112" i="122"/>
  <c r="Q112" i="122"/>
  <c r="P112" i="122"/>
  <c r="O112" i="122"/>
  <c r="N112" i="122"/>
  <c r="M112" i="122"/>
  <c r="L112" i="122"/>
  <c r="X111" i="122"/>
  <c r="W111" i="122"/>
  <c r="V111" i="122"/>
  <c r="U111" i="122"/>
  <c r="T111" i="122"/>
  <c r="S111" i="122"/>
  <c r="R111" i="122"/>
  <c r="Q111" i="122"/>
  <c r="P111" i="122"/>
  <c r="O111" i="122"/>
  <c r="N111" i="122"/>
  <c r="M111" i="122"/>
  <c r="L111" i="122"/>
  <c r="X110" i="122"/>
  <c r="W110" i="122"/>
  <c r="V110" i="122"/>
  <c r="U110" i="122"/>
  <c r="T110" i="122"/>
  <c r="S110" i="122"/>
  <c r="R110" i="122"/>
  <c r="Q110" i="122"/>
  <c r="P110" i="122"/>
  <c r="O110" i="122"/>
  <c r="N110" i="122"/>
  <c r="M110" i="122"/>
  <c r="L110" i="122"/>
  <c r="X109" i="122"/>
  <c r="W109" i="122"/>
  <c r="V109" i="122"/>
  <c r="U109" i="122"/>
  <c r="T109" i="122"/>
  <c r="S109" i="122"/>
  <c r="R109" i="122"/>
  <c r="Q109" i="122"/>
  <c r="P109" i="122"/>
  <c r="O109" i="122"/>
  <c r="N109" i="122"/>
  <c r="M109" i="122"/>
  <c r="L109" i="122"/>
  <c r="X108" i="122"/>
  <c r="W108" i="122"/>
  <c r="V108" i="122"/>
  <c r="U108" i="122"/>
  <c r="T108" i="122"/>
  <c r="S108" i="122"/>
  <c r="R108" i="122"/>
  <c r="Q108" i="122"/>
  <c r="P108" i="122"/>
  <c r="O108" i="122"/>
  <c r="N108" i="122"/>
  <c r="M108" i="122"/>
  <c r="L108" i="122"/>
  <c r="X107" i="122"/>
  <c r="W107" i="122"/>
  <c r="V107" i="122"/>
  <c r="U107" i="122"/>
  <c r="T107" i="122"/>
  <c r="S107" i="122"/>
  <c r="R107" i="122"/>
  <c r="Q107" i="122"/>
  <c r="P107" i="122"/>
  <c r="O107" i="122"/>
  <c r="N107" i="122"/>
  <c r="M107" i="122"/>
  <c r="L107" i="122"/>
  <c r="X106" i="122"/>
  <c r="W106" i="122"/>
  <c r="V106" i="122"/>
  <c r="U106" i="122"/>
  <c r="T106" i="122"/>
  <c r="S106" i="122"/>
  <c r="R106" i="122"/>
  <c r="Q106" i="122"/>
  <c r="P106" i="122"/>
  <c r="O106" i="122"/>
  <c r="N106" i="122"/>
  <c r="M106" i="122"/>
  <c r="L106" i="122"/>
  <c r="X105" i="122"/>
  <c r="W105" i="122"/>
  <c r="V105" i="122"/>
  <c r="U105" i="122"/>
  <c r="T105" i="122"/>
  <c r="S105" i="122"/>
  <c r="R105" i="122"/>
  <c r="Q105" i="122"/>
  <c r="P105" i="122"/>
  <c r="O105" i="122"/>
  <c r="N105" i="122"/>
  <c r="M105" i="122"/>
  <c r="L105" i="122"/>
  <c r="X104" i="122"/>
  <c r="W104" i="122"/>
  <c r="V104" i="122"/>
  <c r="U104" i="122"/>
  <c r="T104" i="122"/>
  <c r="S104" i="122"/>
  <c r="R104" i="122"/>
  <c r="Q104" i="122"/>
  <c r="P104" i="122"/>
  <c r="O104" i="122"/>
  <c r="N104" i="122"/>
  <c r="M104" i="122"/>
  <c r="L104" i="122"/>
  <c r="X103" i="122"/>
  <c r="W103" i="122"/>
  <c r="V103" i="122"/>
  <c r="U103" i="122"/>
  <c r="T103" i="122"/>
  <c r="S103" i="122"/>
  <c r="R103" i="122"/>
  <c r="Q103" i="122"/>
  <c r="P103" i="122"/>
  <c r="O103" i="122"/>
  <c r="N103" i="122"/>
  <c r="M103" i="122"/>
  <c r="L103" i="122"/>
  <c r="X102" i="122"/>
  <c r="W102" i="122"/>
  <c r="V102" i="122"/>
  <c r="U102" i="122"/>
  <c r="T102" i="122"/>
  <c r="S102" i="122"/>
  <c r="R102" i="122"/>
  <c r="Q102" i="122"/>
  <c r="P102" i="122"/>
  <c r="O102" i="122"/>
  <c r="N102" i="122"/>
  <c r="M102" i="122"/>
  <c r="L102" i="122"/>
  <c r="X101" i="122"/>
  <c r="W101" i="122"/>
  <c r="V101" i="122"/>
  <c r="U101" i="122"/>
  <c r="T101" i="122"/>
  <c r="S101" i="122"/>
  <c r="R101" i="122"/>
  <c r="Q101" i="122"/>
  <c r="P101" i="122"/>
  <c r="O101" i="122"/>
  <c r="N101" i="122"/>
  <c r="M101" i="122"/>
  <c r="L101" i="122"/>
  <c r="X100" i="122"/>
  <c r="W100" i="122"/>
  <c r="V100" i="122"/>
  <c r="U100" i="122"/>
  <c r="T100" i="122"/>
  <c r="S100" i="122"/>
  <c r="R100" i="122"/>
  <c r="Q100" i="122"/>
  <c r="P100" i="122"/>
  <c r="O100" i="122"/>
  <c r="N100" i="122"/>
  <c r="M100" i="122"/>
  <c r="L100" i="122"/>
  <c r="X99" i="122"/>
  <c r="W99" i="122"/>
  <c r="V99" i="122"/>
  <c r="U99" i="122"/>
  <c r="T99" i="122"/>
  <c r="S99" i="122"/>
  <c r="R99" i="122"/>
  <c r="Q99" i="122"/>
  <c r="P99" i="122"/>
  <c r="O99" i="122"/>
  <c r="N99" i="122"/>
  <c r="M99" i="122"/>
  <c r="L99" i="122"/>
  <c r="X98" i="122"/>
  <c r="W98" i="122"/>
  <c r="V98" i="122"/>
  <c r="U98" i="122"/>
  <c r="T98" i="122"/>
  <c r="S98" i="122"/>
  <c r="R98" i="122"/>
  <c r="Q98" i="122"/>
  <c r="P98" i="122"/>
  <c r="O98" i="122"/>
  <c r="N98" i="122"/>
  <c r="M98" i="122"/>
  <c r="L98" i="122"/>
  <c r="X97" i="122"/>
  <c r="W97" i="122"/>
  <c r="V97" i="122"/>
  <c r="U97" i="122"/>
  <c r="T97" i="122"/>
  <c r="S97" i="122"/>
  <c r="R97" i="122"/>
  <c r="Q97" i="122"/>
  <c r="P97" i="122"/>
  <c r="O97" i="122"/>
  <c r="N97" i="122"/>
  <c r="M97" i="122"/>
  <c r="L97" i="122"/>
  <c r="X96" i="122"/>
  <c r="W96" i="122"/>
  <c r="V96" i="122"/>
  <c r="U96" i="122"/>
  <c r="T96" i="122"/>
  <c r="S96" i="122"/>
  <c r="R96" i="122"/>
  <c r="Q96" i="122"/>
  <c r="P96" i="122"/>
  <c r="O96" i="122"/>
  <c r="N96" i="122"/>
  <c r="M96" i="122"/>
  <c r="L96" i="122"/>
  <c r="X95" i="122"/>
  <c r="W95" i="122"/>
  <c r="V95" i="122"/>
  <c r="U95" i="122"/>
  <c r="T95" i="122"/>
  <c r="S95" i="122"/>
  <c r="R95" i="122"/>
  <c r="Q95" i="122"/>
  <c r="P95" i="122"/>
  <c r="O95" i="122"/>
  <c r="N95" i="122"/>
  <c r="M95" i="122"/>
  <c r="L95" i="122"/>
  <c r="X94" i="122"/>
  <c r="W94" i="122"/>
  <c r="V94" i="122"/>
  <c r="U94" i="122"/>
  <c r="T94" i="122"/>
  <c r="S94" i="122"/>
  <c r="R94" i="122"/>
  <c r="Q94" i="122"/>
  <c r="P94" i="122"/>
  <c r="O94" i="122"/>
  <c r="N94" i="122"/>
  <c r="M94" i="122"/>
  <c r="L94" i="122"/>
  <c r="X93" i="122"/>
  <c r="W93" i="122"/>
  <c r="V93" i="122"/>
  <c r="U93" i="122"/>
  <c r="T93" i="122"/>
  <c r="S93" i="122"/>
  <c r="R93" i="122"/>
  <c r="Q93" i="122"/>
  <c r="P93" i="122"/>
  <c r="O93" i="122"/>
  <c r="N93" i="122"/>
  <c r="M93" i="122"/>
  <c r="L93" i="122"/>
  <c r="X92" i="122"/>
  <c r="W92" i="122"/>
  <c r="V92" i="122"/>
  <c r="U92" i="122"/>
  <c r="T92" i="122"/>
  <c r="S92" i="122"/>
  <c r="R92" i="122"/>
  <c r="Q92" i="122"/>
  <c r="P92" i="122"/>
  <c r="O92" i="122"/>
  <c r="N92" i="122"/>
  <c r="M92" i="122"/>
  <c r="L92" i="122"/>
  <c r="X91" i="122"/>
  <c r="W91" i="122"/>
  <c r="V91" i="122"/>
  <c r="U91" i="122"/>
  <c r="T91" i="122"/>
  <c r="S91" i="122"/>
  <c r="R91" i="122"/>
  <c r="Q91" i="122"/>
  <c r="P91" i="122"/>
  <c r="O91" i="122"/>
  <c r="N91" i="122"/>
  <c r="M91" i="122"/>
  <c r="L91" i="122"/>
  <c r="X90" i="122"/>
  <c r="W90" i="122"/>
  <c r="V90" i="122"/>
  <c r="U90" i="122"/>
  <c r="T90" i="122"/>
  <c r="S90" i="122"/>
  <c r="R90" i="122"/>
  <c r="Q90" i="122"/>
  <c r="P90" i="122"/>
  <c r="O90" i="122"/>
  <c r="N90" i="122"/>
  <c r="M90" i="122"/>
  <c r="L90" i="122"/>
  <c r="X89" i="122"/>
  <c r="W89" i="122"/>
  <c r="V89" i="122"/>
  <c r="U89" i="122"/>
  <c r="T89" i="122"/>
  <c r="S89" i="122"/>
  <c r="R89" i="122"/>
  <c r="Q89" i="122"/>
  <c r="P89" i="122"/>
  <c r="O89" i="122"/>
  <c r="N89" i="122"/>
  <c r="M89" i="122"/>
  <c r="L89" i="122"/>
  <c r="X88" i="122"/>
  <c r="W88" i="122"/>
  <c r="V88" i="122"/>
  <c r="U88" i="122"/>
  <c r="T88" i="122"/>
  <c r="S88" i="122"/>
  <c r="R88" i="122"/>
  <c r="Q88" i="122"/>
  <c r="P88" i="122"/>
  <c r="O88" i="122"/>
  <c r="N88" i="122"/>
  <c r="M88" i="122"/>
  <c r="L88" i="122"/>
  <c r="X87" i="122"/>
  <c r="W87" i="122"/>
  <c r="V87" i="122"/>
  <c r="U87" i="122"/>
  <c r="T87" i="122"/>
  <c r="S87" i="122"/>
  <c r="R87" i="122"/>
  <c r="Q87" i="122"/>
  <c r="P87" i="122"/>
  <c r="O87" i="122"/>
  <c r="N87" i="122"/>
  <c r="M87" i="122"/>
  <c r="L87" i="122"/>
  <c r="X86" i="122"/>
  <c r="W86" i="122"/>
  <c r="V86" i="122"/>
  <c r="U86" i="122"/>
  <c r="T86" i="122"/>
  <c r="S86" i="122"/>
  <c r="R86" i="122"/>
  <c r="Q86" i="122"/>
  <c r="P86" i="122"/>
  <c r="O86" i="122"/>
  <c r="N86" i="122"/>
  <c r="M86" i="122"/>
  <c r="L86" i="122"/>
  <c r="X85" i="122"/>
  <c r="W85" i="122"/>
  <c r="V85" i="122"/>
  <c r="U85" i="122"/>
  <c r="T85" i="122"/>
  <c r="S85" i="122"/>
  <c r="R85" i="122"/>
  <c r="Q85" i="122"/>
  <c r="P85" i="122"/>
  <c r="O85" i="122"/>
  <c r="N85" i="122"/>
  <c r="M85" i="122"/>
  <c r="L85" i="122"/>
  <c r="X84" i="122"/>
  <c r="W84" i="122"/>
  <c r="V84" i="122"/>
  <c r="U84" i="122"/>
  <c r="T84" i="122"/>
  <c r="S84" i="122"/>
  <c r="R84" i="122"/>
  <c r="Q84" i="122"/>
  <c r="P84" i="122"/>
  <c r="O84" i="122"/>
  <c r="N84" i="122"/>
  <c r="M84" i="122"/>
  <c r="L84" i="122"/>
  <c r="X83" i="122"/>
  <c r="W83" i="122"/>
  <c r="V83" i="122"/>
  <c r="U83" i="122"/>
  <c r="T83" i="122"/>
  <c r="S83" i="122"/>
  <c r="R83" i="122"/>
  <c r="Q83" i="122"/>
  <c r="P83" i="122"/>
  <c r="O83" i="122"/>
  <c r="N83" i="122"/>
  <c r="M83" i="122"/>
  <c r="L83" i="122"/>
  <c r="X82" i="122"/>
  <c r="W82" i="122"/>
  <c r="V82" i="122"/>
  <c r="U82" i="122"/>
  <c r="T82" i="122"/>
  <c r="S82" i="122"/>
  <c r="R82" i="122"/>
  <c r="Q82" i="122"/>
  <c r="P82" i="122"/>
  <c r="O82" i="122"/>
  <c r="N82" i="122"/>
  <c r="M82" i="122"/>
  <c r="L82" i="122"/>
  <c r="X81" i="122"/>
  <c r="W81" i="122"/>
  <c r="V81" i="122"/>
  <c r="U81" i="122"/>
  <c r="T81" i="122"/>
  <c r="S81" i="122"/>
  <c r="R81" i="122"/>
  <c r="Q81" i="122"/>
  <c r="P81" i="122"/>
  <c r="O81" i="122"/>
  <c r="N81" i="122"/>
  <c r="M81" i="122"/>
  <c r="L81" i="122"/>
  <c r="X80" i="122"/>
  <c r="W80" i="122"/>
  <c r="V80" i="122"/>
  <c r="U80" i="122"/>
  <c r="T80" i="122"/>
  <c r="S80" i="122"/>
  <c r="R80" i="122"/>
  <c r="Q80" i="122"/>
  <c r="P80" i="122"/>
  <c r="O80" i="122"/>
  <c r="N80" i="122"/>
  <c r="M80" i="122"/>
  <c r="L80" i="122"/>
  <c r="X79" i="122"/>
  <c r="W79" i="122"/>
  <c r="V79" i="122"/>
  <c r="U79" i="122"/>
  <c r="T79" i="122"/>
  <c r="S79" i="122"/>
  <c r="R79" i="122"/>
  <c r="Q79" i="122"/>
  <c r="P79" i="122"/>
  <c r="O79" i="122"/>
  <c r="N79" i="122"/>
  <c r="M79" i="122"/>
  <c r="L79" i="122"/>
  <c r="X78" i="122"/>
  <c r="W78" i="122"/>
  <c r="V78" i="122"/>
  <c r="U78" i="122"/>
  <c r="T78" i="122"/>
  <c r="S78" i="122"/>
  <c r="R78" i="122"/>
  <c r="Q78" i="122"/>
  <c r="P78" i="122"/>
  <c r="O78" i="122"/>
  <c r="N78" i="122"/>
  <c r="M78" i="122"/>
  <c r="L78" i="122"/>
  <c r="X77" i="122"/>
  <c r="W77" i="122"/>
  <c r="V77" i="122"/>
  <c r="U77" i="122"/>
  <c r="T77" i="122"/>
  <c r="S77" i="122"/>
  <c r="R77" i="122"/>
  <c r="Q77" i="122"/>
  <c r="P77" i="122"/>
  <c r="O77" i="122"/>
  <c r="N77" i="122"/>
  <c r="M77" i="122"/>
  <c r="L77" i="122"/>
  <c r="X76" i="122"/>
  <c r="W76" i="122"/>
  <c r="V76" i="122"/>
  <c r="U76" i="122"/>
  <c r="T76" i="122"/>
  <c r="S76" i="122"/>
  <c r="R76" i="122"/>
  <c r="Q76" i="122"/>
  <c r="P76" i="122"/>
  <c r="O76" i="122"/>
  <c r="N76" i="122"/>
  <c r="M76" i="122"/>
  <c r="L76" i="122"/>
  <c r="X75" i="122"/>
  <c r="W75" i="122"/>
  <c r="V75" i="122"/>
  <c r="U75" i="122"/>
  <c r="T75" i="122"/>
  <c r="S75" i="122"/>
  <c r="R75" i="122"/>
  <c r="Q75" i="122"/>
  <c r="P75" i="122"/>
  <c r="O75" i="122"/>
  <c r="N75" i="122"/>
  <c r="M75" i="122"/>
  <c r="L75" i="122"/>
  <c r="X74" i="122"/>
  <c r="W74" i="122"/>
  <c r="V74" i="122"/>
  <c r="U74" i="122"/>
  <c r="T74" i="122"/>
  <c r="S74" i="122"/>
  <c r="R74" i="122"/>
  <c r="Q74" i="122"/>
  <c r="P74" i="122"/>
  <c r="O74" i="122"/>
  <c r="N74" i="122"/>
  <c r="M74" i="122"/>
  <c r="L74" i="122"/>
  <c r="X73" i="122"/>
  <c r="W73" i="122"/>
  <c r="V73" i="122"/>
  <c r="U73" i="122"/>
  <c r="T73" i="122"/>
  <c r="S73" i="122"/>
  <c r="R73" i="122"/>
  <c r="Q73" i="122"/>
  <c r="P73" i="122"/>
  <c r="O73" i="122"/>
  <c r="N73" i="122"/>
  <c r="M73" i="122"/>
  <c r="L73" i="122"/>
  <c r="X72" i="122"/>
  <c r="W72" i="122"/>
  <c r="V72" i="122"/>
  <c r="U72" i="122"/>
  <c r="T72" i="122"/>
  <c r="S72" i="122"/>
  <c r="R72" i="122"/>
  <c r="Q72" i="122"/>
  <c r="P72" i="122"/>
  <c r="O72" i="122"/>
  <c r="N72" i="122"/>
  <c r="M72" i="122"/>
  <c r="L72" i="122"/>
  <c r="X71" i="122"/>
  <c r="W71" i="122"/>
  <c r="V71" i="122"/>
  <c r="U71" i="122"/>
  <c r="T71" i="122"/>
  <c r="S71" i="122"/>
  <c r="R71" i="122"/>
  <c r="Q71" i="122"/>
  <c r="P71" i="122"/>
  <c r="O71" i="122"/>
  <c r="N71" i="122"/>
  <c r="M71" i="122"/>
  <c r="L71" i="122"/>
  <c r="X70" i="122"/>
  <c r="W70" i="122"/>
  <c r="V70" i="122"/>
  <c r="U70" i="122"/>
  <c r="T70" i="122"/>
  <c r="S70" i="122"/>
  <c r="R70" i="122"/>
  <c r="Q70" i="122"/>
  <c r="P70" i="122"/>
  <c r="O70" i="122"/>
  <c r="N70" i="122"/>
  <c r="M70" i="122"/>
  <c r="L70" i="122"/>
  <c r="X69" i="122"/>
  <c r="W69" i="122"/>
  <c r="V69" i="122"/>
  <c r="U69" i="122"/>
  <c r="T69" i="122"/>
  <c r="S69" i="122"/>
  <c r="R69" i="122"/>
  <c r="Q69" i="122"/>
  <c r="P69" i="122"/>
  <c r="O69" i="122"/>
  <c r="N69" i="122"/>
  <c r="M69" i="122"/>
  <c r="L69" i="122"/>
  <c r="X68" i="122"/>
  <c r="W68" i="122"/>
  <c r="V68" i="122"/>
  <c r="U68" i="122"/>
  <c r="T68" i="122"/>
  <c r="S68" i="122"/>
  <c r="R68" i="122"/>
  <c r="Q68" i="122"/>
  <c r="P68" i="122"/>
  <c r="O68" i="122"/>
  <c r="N68" i="122"/>
  <c r="M68" i="122"/>
  <c r="L68" i="122"/>
  <c r="X67" i="122"/>
  <c r="W67" i="122"/>
  <c r="V67" i="122"/>
  <c r="U67" i="122"/>
  <c r="T67" i="122"/>
  <c r="S67" i="122"/>
  <c r="R67" i="122"/>
  <c r="Q67" i="122"/>
  <c r="P67" i="122"/>
  <c r="O67" i="122"/>
  <c r="N67" i="122"/>
  <c r="M67" i="122"/>
  <c r="L67" i="122"/>
  <c r="X66" i="122"/>
  <c r="W66" i="122"/>
  <c r="V66" i="122"/>
  <c r="U66" i="122"/>
  <c r="T66" i="122"/>
  <c r="S66" i="122"/>
  <c r="R66" i="122"/>
  <c r="Q66" i="122"/>
  <c r="P66" i="122"/>
  <c r="O66" i="122"/>
  <c r="N66" i="122"/>
  <c r="M66" i="122"/>
  <c r="L66" i="122"/>
  <c r="X65" i="122"/>
  <c r="W65" i="122"/>
  <c r="V65" i="122"/>
  <c r="U65" i="122"/>
  <c r="T65" i="122"/>
  <c r="S65" i="122"/>
  <c r="R65" i="122"/>
  <c r="Q65" i="122"/>
  <c r="P65" i="122"/>
  <c r="O65" i="122"/>
  <c r="N65" i="122"/>
  <c r="M65" i="122"/>
  <c r="L65" i="122"/>
  <c r="X64" i="122"/>
  <c r="W64" i="122"/>
  <c r="V64" i="122"/>
  <c r="U64" i="122"/>
  <c r="T64" i="122"/>
  <c r="S64" i="122"/>
  <c r="R64" i="122"/>
  <c r="Q64" i="122"/>
  <c r="P64" i="122"/>
  <c r="O64" i="122"/>
  <c r="N64" i="122"/>
  <c r="M64" i="122"/>
  <c r="L64" i="122"/>
  <c r="X63" i="122"/>
  <c r="W63" i="122"/>
  <c r="V63" i="122"/>
  <c r="U63" i="122"/>
  <c r="T63" i="122"/>
  <c r="S63" i="122"/>
  <c r="R63" i="122"/>
  <c r="Q63" i="122"/>
  <c r="P63" i="122"/>
  <c r="O63" i="122"/>
  <c r="N63" i="122"/>
  <c r="M63" i="122"/>
  <c r="L63" i="122"/>
  <c r="X62" i="122"/>
  <c r="W62" i="122"/>
  <c r="V62" i="122"/>
  <c r="U62" i="122"/>
  <c r="T62" i="122"/>
  <c r="S62" i="122"/>
  <c r="R62" i="122"/>
  <c r="Q62" i="122"/>
  <c r="P62" i="122"/>
  <c r="O62" i="122"/>
  <c r="N62" i="122"/>
  <c r="M62" i="122"/>
  <c r="L62" i="122"/>
  <c r="X61" i="122"/>
  <c r="W61" i="122"/>
  <c r="V61" i="122"/>
  <c r="U61" i="122"/>
  <c r="T61" i="122"/>
  <c r="S61" i="122"/>
  <c r="R61" i="122"/>
  <c r="Q61" i="122"/>
  <c r="P61" i="122"/>
  <c r="O61" i="122"/>
  <c r="N61" i="122"/>
  <c r="M61" i="122"/>
  <c r="L61" i="122"/>
  <c r="X60" i="122"/>
  <c r="W60" i="122"/>
  <c r="V60" i="122"/>
  <c r="U60" i="122"/>
  <c r="T60" i="122"/>
  <c r="S60" i="122"/>
  <c r="R60" i="122"/>
  <c r="Q60" i="122"/>
  <c r="P60" i="122"/>
  <c r="O60" i="122"/>
  <c r="N60" i="122"/>
  <c r="M60" i="122"/>
  <c r="L60" i="122"/>
  <c r="X59" i="122"/>
  <c r="W59" i="122"/>
  <c r="V59" i="122"/>
  <c r="U59" i="122"/>
  <c r="T59" i="122"/>
  <c r="S59" i="122"/>
  <c r="R59" i="122"/>
  <c r="Q59" i="122"/>
  <c r="P59" i="122"/>
  <c r="O59" i="122"/>
  <c r="N59" i="122"/>
  <c r="M59" i="122"/>
  <c r="L59" i="122"/>
  <c r="X58" i="122"/>
  <c r="W58" i="122"/>
  <c r="V58" i="122"/>
  <c r="U58" i="122"/>
  <c r="T58" i="122"/>
  <c r="S58" i="122"/>
  <c r="R58" i="122"/>
  <c r="Q58" i="122"/>
  <c r="P58" i="122"/>
  <c r="O58" i="122"/>
  <c r="N58" i="122"/>
  <c r="M58" i="122"/>
  <c r="L58" i="122"/>
  <c r="X57" i="122"/>
  <c r="W57" i="122"/>
  <c r="V57" i="122"/>
  <c r="U57" i="122"/>
  <c r="T57" i="122"/>
  <c r="S57" i="122"/>
  <c r="R57" i="122"/>
  <c r="Q57" i="122"/>
  <c r="P57" i="122"/>
  <c r="O57" i="122"/>
  <c r="N57" i="122"/>
  <c r="M57" i="122"/>
  <c r="L57" i="122"/>
  <c r="X56" i="122"/>
  <c r="W56" i="122"/>
  <c r="V56" i="122"/>
  <c r="U56" i="122"/>
  <c r="T56" i="122"/>
  <c r="S56" i="122"/>
  <c r="R56" i="122"/>
  <c r="Q56" i="122"/>
  <c r="P56" i="122"/>
  <c r="O56" i="122"/>
  <c r="N56" i="122"/>
  <c r="M56" i="122"/>
  <c r="L56" i="122"/>
  <c r="X55" i="122"/>
  <c r="W55" i="122"/>
  <c r="V55" i="122"/>
  <c r="U55" i="122"/>
  <c r="T55" i="122"/>
  <c r="S55" i="122"/>
  <c r="R55" i="122"/>
  <c r="Q55" i="122"/>
  <c r="P55" i="122"/>
  <c r="O55" i="122"/>
  <c r="N55" i="122"/>
  <c r="M55" i="122"/>
  <c r="L55" i="122"/>
  <c r="X54" i="122"/>
  <c r="W54" i="122"/>
  <c r="V54" i="122"/>
  <c r="U54" i="122"/>
  <c r="T54" i="122"/>
  <c r="S54" i="122"/>
  <c r="R54" i="122"/>
  <c r="Q54" i="122"/>
  <c r="P54" i="122"/>
  <c r="O54" i="122"/>
  <c r="N54" i="122"/>
  <c r="M54" i="122"/>
  <c r="L54" i="122"/>
  <c r="X53" i="122"/>
  <c r="W53" i="122"/>
  <c r="V53" i="122"/>
  <c r="U53" i="122"/>
  <c r="T53" i="122"/>
  <c r="S53" i="122"/>
  <c r="R53" i="122"/>
  <c r="Q53" i="122"/>
  <c r="P53" i="122"/>
  <c r="O53" i="122"/>
  <c r="N53" i="122"/>
  <c r="M53" i="122"/>
  <c r="L53" i="122"/>
  <c r="X52" i="122"/>
  <c r="W52" i="122"/>
  <c r="V52" i="122"/>
  <c r="U52" i="122"/>
  <c r="T52" i="122"/>
  <c r="S52" i="122"/>
  <c r="R52" i="122"/>
  <c r="Q52" i="122"/>
  <c r="P52" i="122"/>
  <c r="O52" i="122"/>
  <c r="N52" i="122"/>
  <c r="M52" i="122"/>
  <c r="L52" i="122"/>
  <c r="X51" i="122"/>
  <c r="W51" i="122"/>
  <c r="V51" i="122"/>
  <c r="U51" i="122"/>
  <c r="T51" i="122"/>
  <c r="S51" i="122"/>
  <c r="R51" i="122"/>
  <c r="Q51" i="122"/>
  <c r="P51" i="122"/>
  <c r="O51" i="122"/>
  <c r="N51" i="122"/>
  <c r="M51" i="122"/>
  <c r="L51" i="122"/>
  <c r="X50" i="122"/>
  <c r="W50" i="122"/>
  <c r="V50" i="122"/>
  <c r="U50" i="122"/>
  <c r="T50" i="122"/>
  <c r="S50" i="122"/>
  <c r="R50" i="122"/>
  <c r="Q50" i="122"/>
  <c r="P50" i="122"/>
  <c r="O50" i="122"/>
  <c r="N50" i="122"/>
  <c r="M50" i="122"/>
  <c r="L50" i="122"/>
  <c r="X49" i="122"/>
  <c r="W49" i="122"/>
  <c r="V49" i="122"/>
  <c r="U49" i="122"/>
  <c r="T49" i="122"/>
  <c r="S49" i="122"/>
  <c r="R49" i="122"/>
  <c r="Q49" i="122"/>
  <c r="P49" i="122"/>
  <c r="O49" i="122"/>
  <c r="N49" i="122"/>
  <c r="M49" i="122"/>
  <c r="L49" i="122"/>
  <c r="X48" i="122"/>
  <c r="W48" i="122"/>
  <c r="V48" i="122"/>
  <c r="U48" i="122"/>
  <c r="T48" i="122"/>
  <c r="S48" i="122"/>
  <c r="R48" i="122"/>
  <c r="Q48" i="122"/>
  <c r="P48" i="122"/>
  <c r="O48" i="122"/>
  <c r="N48" i="122"/>
  <c r="M48" i="122"/>
  <c r="L48" i="122"/>
  <c r="X47" i="122"/>
  <c r="W47" i="122"/>
  <c r="V47" i="122"/>
  <c r="U47" i="122"/>
  <c r="T47" i="122"/>
  <c r="S47" i="122"/>
  <c r="R47" i="122"/>
  <c r="Q47" i="122"/>
  <c r="P47" i="122"/>
  <c r="O47" i="122"/>
  <c r="N47" i="122"/>
  <c r="M47" i="122"/>
  <c r="L47" i="122"/>
  <c r="X46" i="122"/>
  <c r="W46" i="122"/>
  <c r="V46" i="122"/>
  <c r="U46" i="122"/>
  <c r="T46" i="122"/>
  <c r="S46" i="122"/>
  <c r="R46" i="122"/>
  <c r="Q46" i="122"/>
  <c r="P46" i="122"/>
  <c r="O46" i="122"/>
  <c r="N46" i="122"/>
  <c r="M46" i="122"/>
  <c r="L46" i="122"/>
  <c r="X45" i="122"/>
  <c r="W45" i="122"/>
  <c r="V45" i="122"/>
  <c r="U45" i="122"/>
  <c r="T45" i="122"/>
  <c r="S45" i="122"/>
  <c r="R45" i="122"/>
  <c r="Q45" i="122"/>
  <c r="P45" i="122"/>
  <c r="O45" i="122"/>
  <c r="N45" i="122"/>
  <c r="M45" i="122"/>
  <c r="L45" i="122"/>
  <c r="X44" i="122"/>
  <c r="W44" i="122"/>
  <c r="V44" i="122"/>
  <c r="U44" i="122"/>
  <c r="T44" i="122"/>
  <c r="S44" i="122"/>
  <c r="R44" i="122"/>
  <c r="Q44" i="122"/>
  <c r="P44" i="122"/>
  <c r="O44" i="122"/>
  <c r="N44" i="122"/>
  <c r="M44" i="122"/>
  <c r="L44" i="122"/>
  <c r="X43" i="122"/>
  <c r="W43" i="122"/>
  <c r="V43" i="122"/>
  <c r="U43" i="122"/>
  <c r="T43" i="122"/>
  <c r="S43" i="122"/>
  <c r="R43" i="122"/>
  <c r="Q43" i="122"/>
  <c r="P43" i="122"/>
  <c r="O43" i="122"/>
  <c r="N43" i="122"/>
  <c r="M43" i="122"/>
  <c r="L43" i="122"/>
  <c r="X42" i="122"/>
  <c r="W42" i="122"/>
  <c r="V42" i="122"/>
  <c r="U42" i="122"/>
  <c r="T42" i="122"/>
  <c r="S42" i="122"/>
  <c r="R42" i="122"/>
  <c r="Q42" i="122"/>
  <c r="P42" i="122"/>
  <c r="O42" i="122"/>
  <c r="N42" i="122"/>
  <c r="M42" i="122"/>
  <c r="L42" i="122"/>
  <c r="X41" i="122"/>
  <c r="W41" i="122"/>
  <c r="V41" i="122"/>
  <c r="U41" i="122"/>
  <c r="T41" i="122"/>
  <c r="S41" i="122"/>
  <c r="R41" i="122"/>
  <c r="Q41" i="122"/>
  <c r="P41" i="122"/>
  <c r="O41" i="122"/>
  <c r="N41" i="122"/>
  <c r="M41" i="122"/>
  <c r="L41" i="122"/>
  <c r="X40" i="122"/>
  <c r="W40" i="122"/>
  <c r="V40" i="122"/>
  <c r="U40" i="122"/>
  <c r="T40" i="122"/>
  <c r="S40" i="122"/>
  <c r="R40" i="122"/>
  <c r="Q40" i="122"/>
  <c r="P40" i="122"/>
  <c r="O40" i="122"/>
  <c r="N40" i="122"/>
  <c r="M40" i="122"/>
  <c r="L40" i="122"/>
  <c r="X39" i="122"/>
  <c r="W39" i="122"/>
  <c r="V39" i="122"/>
  <c r="U39" i="122"/>
  <c r="T39" i="122"/>
  <c r="S39" i="122"/>
  <c r="R39" i="122"/>
  <c r="Q39" i="122"/>
  <c r="P39" i="122"/>
  <c r="O39" i="122"/>
  <c r="N39" i="122"/>
  <c r="M39" i="122"/>
  <c r="L39" i="122"/>
  <c r="X38" i="122"/>
  <c r="W38" i="122"/>
  <c r="V38" i="122"/>
  <c r="U38" i="122"/>
  <c r="T38" i="122"/>
  <c r="S38" i="122"/>
  <c r="R38" i="122"/>
  <c r="Q38" i="122"/>
  <c r="P38" i="122"/>
  <c r="O38" i="122"/>
  <c r="N38" i="122"/>
  <c r="M38" i="122"/>
  <c r="L38" i="122"/>
  <c r="X37" i="122"/>
  <c r="W37" i="122"/>
  <c r="V37" i="122"/>
  <c r="U37" i="122"/>
  <c r="T37" i="122"/>
  <c r="S37" i="122"/>
  <c r="R37" i="122"/>
  <c r="Q37" i="122"/>
  <c r="P37" i="122"/>
  <c r="O37" i="122"/>
  <c r="N37" i="122"/>
  <c r="M37" i="122"/>
  <c r="L37" i="122"/>
  <c r="X36" i="122"/>
  <c r="W36" i="122"/>
  <c r="V36" i="122"/>
  <c r="U36" i="122"/>
  <c r="T36" i="122"/>
  <c r="S36" i="122"/>
  <c r="R36" i="122"/>
  <c r="Q36" i="122"/>
  <c r="P36" i="122"/>
  <c r="O36" i="122"/>
  <c r="N36" i="122"/>
  <c r="M36" i="122"/>
  <c r="L36" i="122"/>
  <c r="X35" i="122"/>
  <c r="W35" i="122"/>
  <c r="V35" i="122"/>
  <c r="U35" i="122"/>
  <c r="T35" i="122"/>
  <c r="S35" i="122"/>
  <c r="R35" i="122"/>
  <c r="Q35" i="122"/>
  <c r="P35" i="122"/>
  <c r="O35" i="122"/>
  <c r="N35" i="122"/>
  <c r="M35" i="122"/>
  <c r="L35" i="122"/>
  <c r="X34" i="122"/>
  <c r="W34" i="122"/>
  <c r="V34" i="122"/>
  <c r="U34" i="122"/>
  <c r="T34" i="122"/>
  <c r="S34" i="122"/>
  <c r="R34" i="122"/>
  <c r="Q34" i="122"/>
  <c r="P34" i="122"/>
  <c r="O34" i="122"/>
  <c r="N34" i="122"/>
  <c r="M34" i="122"/>
  <c r="L34" i="122"/>
  <c r="X33" i="122"/>
  <c r="W33" i="122"/>
  <c r="V33" i="122"/>
  <c r="U33" i="122"/>
  <c r="T33" i="122"/>
  <c r="S33" i="122"/>
  <c r="R33" i="122"/>
  <c r="Q33" i="122"/>
  <c r="P33" i="122"/>
  <c r="O33" i="122"/>
  <c r="N33" i="122"/>
  <c r="M33" i="122"/>
  <c r="L33" i="122"/>
  <c r="X32" i="122"/>
  <c r="W32" i="122"/>
  <c r="V32" i="122"/>
  <c r="U32" i="122"/>
  <c r="T32" i="122"/>
  <c r="S32" i="122"/>
  <c r="R32" i="122"/>
  <c r="Q32" i="122"/>
  <c r="P32" i="122"/>
  <c r="O32" i="122"/>
  <c r="N32" i="122"/>
  <c r="M32" i="122"/>
  <c r="L32" i="122"/>
  <c r="X31" i="122"/>
  <c r="W31" i="122"/>
  <c r="V31" i="122"/>
  <c r="U31" i="122"/>
  <c r="T31" i="122"/>
  <c r="S31" i="122"/>
  <c r="R31" i="122"/>
  <c r="Q31" i="122"/>
  <c r="P31" i="122"/>
  <c r="O31" i="122"/>
  <c r="N31" i="122"/>
  <c r="M31" i="122"/>
  <c r="L31" i="122"/>
  <c r="X30" i="122"/>
  <c r="W30" i="122"/>
  <c r="V30" i="122"/>
  <c r="U30" i="122"/>
  <c r="T30" i="122"/>
  <c r="S30" i="122"/>
  <c r="R30" i="122"/>
  <c r="Q30" i="122"/>
  <c r="P30" i="122"/>
  <c r="O30" i="122"/>
  <c r="N30" i="122"/>
  <c r="M30" i="122"/>
  <c r="L30" i="122"/>
  <c r="X29" i="122"/>
  <c r="W29" i="122"/>
  <c r="V29" i="122"/>
  <c r="U29" i="122"/>
  <c r="T29" i="122"/>
  <c r="S29" i="122"/>
  <c r="R29" i="122"/>
  <c r="Q29" i="122"/>
  <c r="P29" i="122"/>
  <c r="O29" i="122"/>
  <c r="N29" i="122"/>
  <c r="M29" i="122"/>
  <c r="L29" i="122"/>
  <c r="X28" i="122"/>
  <c r="W28" i="122"/>
  <c r="V28" i="122"/>
  <c r="U28" i="122"/>
  <c r="T28" i="122"/>
  <c r="S28" i="122"/>
  <c r="R28" i="122"/>
  <c r="Q28" i="122"/>
  <c r="P28" i="122"/>
  <c r="O28" i="122"/>
  <c r="N28" i="122"/>
  <c r="M28" i="122"/>
  <c r="L28" i="122"/>
  <c r="X27" i="122"/>
  <c r="W27" i="122"/>
  <c r="V27" i="122"/>
  <c r="U27" i="122"/>
  <c r="T27" i="122"/>
  <c r="S27" i="122"/>
  <c r="R27" i="122"/>
  <c r="Q27" i="122"/>
  <c r="P27" i="122"/>
  <c r="O27" i="122"/>
  <c r="N27" i="122"/>
  <c r="M27" i="122"/>
  <c r="L27" i="122"/>
  <c r="X26" i="122"/>
  <c r="W26" i="122"/>
  <c r="V26" i="122"/>
  <c r="U26" i="122"/>
  <c r="T26" i="122"/>
  <c r="S26" i="122"/>
  <c r="R26" i="122"/>
  <c r="Q26" i="122"/>
  <c r="P26" i="122"/>
  <c r="O26" i="122"/>
  <c r="N26" i="122"/>
  <c r="M26" i="122"/>
  <c r="L26" i="122"/>
  <c r="X25" i="122"/>
  <c r="W25" i="122"/>
  <c r="V25" i="122"/>
  <c r="U25" i="122"/>
  <c r="T25" i="122"/>
  <c r="S25" i="122"/>
  <c r="R25" i="122"/>
  <c r="Q25" i="122"/>
  <c r="P25" i="122"/>
  <c r="O25" i="122"/>
  <c r="N25" i="122"/>
  <c r="M25" i="122"/>
  <c r="L25" i="122"/>
  <c r="X24" i="122"/>
  <c r="W24" i="122"/>
  <c r="V24" i="122"/>
  <c r="U24" i="122"/>
  <c r="T24" i="122"/>
  <c r="S24" i="122"/>
  <c r="R24" i="122"/>
  <c r="Q24" i="122"/>
  <c r="P24" i="122"/>
  <c r="O24" i="122"/>
  <c r="N24" i="122"/>
  <c r="M24" i="122"/>
  <c r="L24" i="122"/>
  <c r="X23" i="122"/>
  <c r="W23" i="122"/>
  <c r="V23" i="122"/>
  <c r="U23" i="122"/>
  <c r="T23" i="122"/>
  <c r="S23" i="122"/>
  <c r="R23" i="122"/>
  <c r="Q23" i="122"/>
  <c r="P23" i="122"/>
  <c r="O23" i="122"/>
  <c r="N23" i="122"/>
  <c r="M23" i="122"/>
  <c r="L23" i="122"/>
  <c r="X22" i="122"/>
  <c r="W22" i="122"/>
  <c r="V22" i="122"/>
  <c r="U22" i="122"/>
  <c r="T22" i="122"/>
  <c r="S22" i="122"/>
  <c r="R22" i="122"/>
  <c r="Q22" i="122"/>
  <c r="P22" i="122"/>
  <c r="O22" i="122"/>
  <c r="N22" i="122"/>
  <c r="M22" i="122"/>
  <c r="L22" i="122"/>
  <c r="X21" i="122"/>
  <c r="W21" i="122"/>
  <c r="V21" i="122"/>
  <c r="U21" i="122"/>
  <c r="T21" i="122"/>
  <c r="S21" i="122"/>
  <c r="R21" i="122"/>
  <c r="Q21" i="122"/>
  <c r="P21" i="122"/>
  <c r="O21" i="122"/>
  <c r="N21" i="122"/>
  <c r="M21" i="122"/>
  <c r="L21" i="122"/>
  <c r="X20" i="122"/>
  <c r="W20" i="122"/>
  <c r="V20" i="122"/>
  <c r="U20" i="122"/>
  <c r="T20" i="122"/>
  <c r="S20" i="122"/>
  <c r="R20" i="122"/>
  <c r="Q20" i="122"/>
  <c r="P20" i="122"/>
  <c r="O20" i="122"/>
  <c r="N20" i="122"/>
  <c r="M20" i="122"/>
  <c r="L20" i="122"/>
  <c r="X19" i="122"/>
  <c r="W19" i="122"/>
  <c r="V19" i="122"/>
  <c r="U19" i="122"/>
  <c r="T19" i="122"/>
  <c r="S19" i="122"/>
  <c r="R19" i="122"/>
  <c r="Q19" i="122"/>
  <c r="P19" i="122"/>
  <c r="O19" i="122"/>
  <c r="N19" i="122"/>
  <c r="M19" i="122"/>
  <c r="L19" i="122"/>
  <c r="K19" i="122"/>
  <c r="X18" i="122"/>
  <c r="W18" i="122"/>
  <c r="V18" i="122"/>
  <c r="U18" i="122"/>
  <c r="T18" i="122"/>
  <c r="S18" i="122"/>
  <c r="R18" i="122"/>
  <c r="Q18" i="122"/>
  <c r="P18" i="122"/>
  <c r="O18" i="122"/>
  <c r="N18" i="122"/>
  <c r="M18" i="122"/>
  <c r="L18" i="122"/>
  <c r="K18" i="122"/>
  <c r="X17" i="122"/>
  <c r="W17" i="122"/>
  <c r="V17" i="122"/>
  <c r="S17" i="122"/>
  <c r="R17" i="122"/>
  <c r="Q17" i="122"/>
  <c r="P17" i="122"/>
  <c r="O17" i="122"/>
  <c r="N17" i="122"/>
  <c r="M17" i="122"/>
  <c r="L17" i="122"/>
  <c r="K17" i="122"/>
  <c r="R16" i="122"/>
  <c r="N16" i="122"/>
  <c r="M16" i="122"/>
  <c r="L16" i="122"/>
  <c r="K16" i="122"/>
  <c r="Y2" i="122"/>
  <c r="M18" i="120"/>
  <c r="N18" i="120"/>
  <c r="O18" i="120"/>
  <c r="P18" i="120"/>
  <c r="Q18" i="120"/>
  <c r="R18" i="120"/>
  <c r="M19" i="120"/>
  <c r="N19" i="120"/>
  <c r="O19" i="120"/>
  <c r="P19" i="120"/>
  <c r="Q19" i="120"/>
  <c r="R19" i="120"/>
  <c r="M20" i="120"/>
  <c r="N20" i="120"/>
  <c r="O20" i="120"/>
  <c r="P20" i="120"/>
  <c r="Q20" i="120"/>
  <c r="R20" i="120"/>
  <c r="M21" i="120"/>
  <c r="N21" i="120"/>
  <c r="O21" i="120"/>
  <c r="P21" i="120"/>
  <c r="Q21" i="120"/>
  <c r="R21" i="120"/>
  <c r="M22" i="120"/>
  <c r="N22" i="120"/>
  <c r="O22" i="120"/>
  <c r="P22" i="120"/>
  <c r="Q22" i="120"/>
  <c r="R22" i="120"/>
  <c r="M23" i="120"/>
  <c r="N23" i="120"/>
  <c r="O23" i="120"/>
  <c r="P23" i="120"/>
  <c r="Q23" i="120"/>
  <c r="R23" i="120"/>
  <c r="M24" i="120"/>
  <c r="N24" i="120"/>
  <c r="O24" i="120"/>
  <c r="P24" i="120"/>
  <c r="Q24" i="120"/>
  <c r="R24" i="120"/>
  <c r="M25" i="120"/>
  <c r="N25" i="120"/>
  <c r="O25" i="120"/>
  <c r="P25" i="120"/>
  <c r="Q25" i="120"/>
  <c r="R25" i="120"/>
  <c r="M26" i="120"/>
  <c r="N26" i="120"/>
  <c r="O26" i="120"/>
  <c r="P26" i="120"/>
  <c r="Q26" i="120"/>
  <c r="R26" i="120"/>
  <c r="M27" i="120"/>
  <c r="N27" i="120"/>
  <c r="O27" i="120"/>
  <c r="P27" i="120"/>
  <c r="Q27" i="120"/>
  <c r="R27" i="120"/>
  <c r="M28" i="120"/>
  <c r="N28" i="120"/>
  <c r="O28" i="120"/>
  <c r="P28" i="120"/>
  <c r="Q28" i="120"/>
  <c r="R28" i="120"/>
  <c r="M29" i="120"/>
  <c r="N29" i="120"/>
  <c r="O29" i="120"/>
  <c r="P29" i="120"/>
  <c r="Q29" i="120"/>
  <c r="R29" i="120"/>
  <c r="M30" i="120"/>
  <c r="N30" i="120"/>
  <c r="O30" i="120"/>
  <c r="P30" i="120"/>
  <c r="Q30" i="120"/>
  <c r="R30" i="120"/>
  <c r="M31" i="120"/>
  <c r="N31" i="120"/>
  <c r="O31" i="120"/>
  <c r="P31" i="120"/>
  <c r="Q31" i="120"/>
  <c r="R31" i="120"/>
  <c r="M32" i="120"/>
  <c r="N32" i="120"/>
  <c r="O32" i="120"/>
  <c r="P32" i="120"/>
  <c r="Q32" i="120"/>
  <c r="R32" i="120"/>
  <c r="M33" i="120"/>
  <c r="N33" i="120"/>
  <c r="O33" i="120"/>
  <c r="P33" i="120"/>
  <c r="Q33" i="120"/>
  <c r="R33" i="120"/>
  <c r="M34" i="120"/>
  <c r="N34" i="120"/>
  <c r="O34" i="120"/>
  <c r="P34" i="120"/>
  <c r="Q34" i="120"/>
  <c r="R34" i="120"/>
  <c r="M35" i="120"/>
  <c r="N35" i="120"/>
  <c r="O35" i="120"/>
  <c r="P35" i="120"/>
  <c r="Q35" i="120"/>
  <c r="R35" i="120"/>
  <c r="M36" i="120"/>
  <c r="N36" i="120"/>
  <c r="O36" i="120"/>
  <c r="P36" i="120"/>
  <c r="Q36" i="120"/>
  <c r="R36" i="120"/>
  <c r="M37" i="120"/>
  <c r="N37" i="120"/>
  <c r="O37" i="120"/>
  <c r="P37" i="120"/>
  <c r="Q37" i="120"/>
  <c r="R37" i="120"/>
  <c r="N38" i="120"/>
  <c r="R38" i="120"/>
  <c r="N39" i="120"/>
  <c r="R39" i="120"/>
  <c r="N40" i="120"/>
  <c r="R40" i="120"/>
  <c r="N41" i="120"/>
  <c r="R41" i="120"/>
  <c r="N42" i="120"/>
  <c r="R42" i="120"/>
  <c r="N43" i="120"/>
  <c r="R43" i="120"/>
  <c r="N44" i="120"/>
  <c r="R44" i="120"/>
  <c r="N45" i="120"/>
  <c r="R45" i="120"/>
  <c r="N46" i="120"/>
  <c r="R46" i="120"/>
  <c r="N47" i="120"/>
  <c r="R47" i="120"/>
  <c r="N48" i="120"/>
  <c r="R48" i="120"/>
  <c r="N49" i="120"/>
  <c r="R49" i="120"/>
  <c r="N50" i="120"/>
  <c r="R50" i="120"/>
  <c r="N51" i="120"/>
  <c r="R51" i="120"/>
  <c r="N52" i="120"/>
  <c r="R52" i="120"/>
  <c r="N53" i="120"/>
  <c r="R53" i="120"/>
  <c r="N54" i="120"/>
  <c r="R54" i="120"/>
  <c r="N55" i="120"/>
  <c r="R55" i="120"/>
  <c r="N56" i="120"/>
  <c r="R56" i="120"/>
  <c r="N57" i="120"/>
  <c r="R57" i="120"/>
  <c r="N58" i="120"/>
  <c r="R58" i="120"/>
  <c r="N59" i="120"/>
  <c r="R59" i="120"/>
  <c r="N60" i="120"/>
  <c r="R60" i="120"/>
  <c r="N61" i="120"/>
  <c r="R61" i="120"/>
  <c r="N62" i="120"/>
  <c r="R62" i="120"/>
  <c r="N63" i="120"/>
  <c r="R63" i="120"/>
  <c r="N64" i="120"/>
  <c r="R64" i="120"/>
  <c r="N65" i="120"/>
  <c r="R65" i="120"/>
  <c r="N66" i="120"/>
  <c r="R66" i="120"/>
  <c r="N67" i="120"/>
  <c r="R67" i="120"/>
  <c r="N68" i="120"/>
  <c r="R68" i="120"/>
  <c r="N69" i="120"/>
  <c r="R69" i="120"/>
  <c r="N70" i="120"/>
  <c r="R70" i="120"/>
  <c r="N71" i="120"/>
  <c r="R71" i="120"/>
  <c r="N72" i="120"/>
  <c r="R72" i="120"/>
  <c r="N73" i="120"/>
  <c r="R73" i="120"/>
  <c r="N74" i="120"/>
  <c r="R74" i="120"/>
  <c r="N75" i="120"/>
  <c r="R75" i="120"/>
  <c r="N76" i="120"/>
  <c r="R76" i="120"/>
  <c r="N77" i="120"/>
  <c r="R77" i="120"/>
  <c r="N78" i="120"/>
  <c r="R78" i="120"/>
  <c r="N79" i="120"/>
  <c r="R79" i="120"/>
  <c r="N80" i="120"/>
  <c r="R80" i="120"/>
  <c r="N81" i="120"/>
  <c r="R81" i="120"/>
  <c r="N82" i="120"/>
  <c r="R82" i="120"/>
  <c r="N83" i="120"/>
  <c r="R83" i="120"/>
  <c r="N84" i="120"/>
  <c r="R84" i="120"/>
  <c r="N85" i="120"/>
  <c r="R85" i="120"/>
  <c r="N86" i="120"/>
  <c r="R86" i="120"/>
  <c r="N87" i="120"/>
  <c r="R87" i="120"/>
  <c r="N88" i="120"/>
  <c r="R88" i="120"/>
  <c r="N89" i="120"/>
  <c r="R89" i="120"/>
  <c r="N90" i="120"/>
  <c r="R90" i="120"/>
  <c r="N91" i="120"/>
  <c r="R91" i="120"/>
  <c r="N92" i="120"/>
  <c r="R92" i="120"/>
  <c r="N93" i="120"/>
  <c r="R93" i="120"/>
  <c r="N94" i="120"/>
  <c r="R94" i="120"/>
  <c r="N95" i="120"/>
  <c r="R95" i="120"/>
  <c r="N96" i="120"/>
  <c r="R96" i="120"/>
  <c r="N97" i="120"/>
  <c r="R97" i="120"/>
  <c r="N98" i="120"/>
  <c r="R98" i="120"/>
  <c r="N99" i="120"/>
  <c r="R99" i="120"/>
  <c r="N100" i="120"/>
  <c r="R100" i="120"/>
  <c r="N101" i="120"/>
  <c r="R101" i="120"/>
  <c r="N102" i="120"/>
  <c r="R102" i="120"/>
  <c r="N103" i="120"/>
  <c r="R103" i="120"/>
  <c r="N104" i="120"/>
  <c r="R104" i="120"/>
  <c r="N105" i="120"/>
  <c r="R105" i="120"/>
  <c r="N106" i="120"/>
  <c r="R106" i="120"/>
  <c r="N107" i="120"/>
  <c r="R107" i="120"/>
  <c r="N108" i="120"/>
  <c r="R108" i="120"/>
  <c r="N109" i="120"/>
  <c r="R109" i="120"/>
  <c r="N110" i="120"/>
  <c r="R110" i="120"/>
  <c r="N111" i="120"/>
  <c r="R111" i="120"/>
  <c r="N112" i="120"/>
  <c r="R112" i="120"/>
  <c r="N113" i="120"/>
  <c r="R113" i="120"/>
  <c r="N114" i="120"/>
  <c r="R114" i="120"/>
  <c r="N115" i="120"/>
  <c r="R115" i="120"/>
  <c r="N116" i="120"/>
  <c r="R116" i="120"/>
  <c r="N117" i="120"/>
  <c r="R117" i="120"/>
  <c r="N118" i="120"/>
  <c r="R118" i="120"/>
  <c r="N119" i="120"/>
  <c r="R119" i="120"/>
  <c r="N120" i="120"/>
  <c r="R120" i="120"/>
  <c r="N121" i="120"/>
  <c r="R121" i="120"/>
  <c r="N122" i="120"/>
  <c r="R122" i="120"/>
  <c r="N123" i="120"/>
  <c r="R123" i="120"/>
  <c r="N124" i="120"/>
  <c r="R124" i="120"/>
  <c r="N125" i="120"/>
  <c r="R125" i="120"/>
  <c r="N126" i="120"/>
  <c r="R126" i="120"/>
  <c r="N127" i="120"/>
  <c r="R127" i="120"/>
  <c r="N128" i="120"/>
  <c r="R128" i="120"/>
  <c r="N129" i="120"/>
  <c r="R129" i="120"/>
  <c r="N130" i="120"/>
  <c r="R130" i="120"/>
  <c r="N131" i="120"/>
  <c r="R131" i="120"/>
  <c r="N132" i="120"/>
  <c r="R132" i="120"/>
  <c r="N133" i="120"/>
  <c r="R133" i="120"/>
  <c r="N134" i="120"/>
  <c r="R134" i="120"/>
  <c r="N135" i="120"/>
  <c r="R135" i="120"/>
  <c r="N136" i="120"/>
  <c r="R136" i="120"/>
  <c r="N137" i="120"/>
  <c r="R137" i="120"/>
  <c r="N138" i="120"/>
  <c r="R138" i="120"/>
  <c r="N139" i="120"/>
  <c r="R139" i="120"/>
  <c r="N140" i="120"/>
  <c r="R140" i="120"/>
  <c r="N141" i="120"/>
  <c r="R141" i="120"/>
  <c r="N142" i="120"/>
  <c r="R142" i="120"/>
  <c r="N143" i="120"/>
  <c r="R143" i="120"/>
  <c r="N144" i="120"/>
  <c r="R144" i="120"/>
  <c r="N145" i="120"/>
  <c r="R145" i="120"/>
  <c r="N146" i="120"/>
  <c r="R146" i="120"/>
  <c r="N147" i="120"/>
  <c r="R147" i="120"/>
  <c r="N148" i="120"/>
  <c r="R148" i="120"/>
  <c r="N149" i="120"/>
  <c r="R149" i="120"/>
  <c r="N150" i="120"/>
  <c r="R150" i="120"/>
  <c r="N151" i="120"/>
  <c r="R151" i="120"/>
  <c r="N152" i="120"/>
  <c r="R152" i="120"/>
  <c r="N153" i="120"/>
  <c r="R153" i="120"/>
  <c r="K23" i="120"/>
  <c r="K29" i="118"/>
  <c r="K22" i="120" l="1"/>
  <c r="K28" i="118"/>
  <c r="R26" i="118"/>
  <c r="R27" i="118"/>
  <c r="N26" i="118"/>
  <c r="N27" i="118"/>
  <c r="M26" i="118"/>
  <c r="M27" i="118"/>
  <c r="K21" i="120"/>
  <c r="K27" i="118"/>
  <c r="K20" i="120"/>
  <c r="K26" i="118"/>
  <c r="L19" i="120"/>
  <c r="K19" i="120"/>
  <c r="K25" i="118"/>
  <c r="R17" i="120"/>
  <c r="K18" i="120"/>
  <c r="K24" i="118"/>
  <c r="N17" i="120"/>
  <c r="M17" i="120"/>
  <c r="Q17" i="120"/>
  <c r="P17" i="120"/>
  <c r="O17" i="120"/>
  <c r="L17" i="120"/>
  <c r="R16" i="120"/>
  <c r="N16" i="120"/>
  <c r="M16" i="120"/>
  <c r="L16" i="120"/>
  <c r="K17" i="120"/>
  <c r="K23" i="118" l="1"/>
  <c r="K16" i="120"/>
  <c r="W7" i="120"/>
  <c r="X153" i="120"/>
  <c r="W153" i="120"/>
  <c r="V153" i="120"/>
  <c r="U153" i="120"/>
  <c r="T153" i="120"/>
  <c r="S153" i="120"/>
  <c r="X152" i="120"/>
  <c r="W152" i="120"/>
  <c r="V152" i="120"/>
  <c r="U152" i="120"/>
  <c r="T152" i="120"/>
  <c r="S152" i="120"/>
  <c r="X151" i="120"/>
  <c r="W151" i="120"/>
  <c r="V151" i="120"/>
  <c r="U151" i="120"/>
  <c r="T151" i="120"/>
  <c r="S151" i="120"/>
  <c r="X150" i="120"/>
  <c r="W150" i="120"/>
  <c r="V150" i="120"/>
  <c r="U150" i="120"/>
  <c r="T150" i="120"/>
  <c r="S150" i="120"/>
  <c r="X149" i="120"/>
  <c r="W149" i="120"/>
  <c r="V149" i="120"/>
  <c r="U149" i="120"/>
  <c r="T149" i="120"/>
  <c r="S149" i="120"/>
  <c r="X148" i="120"/>
  <c r="W148" i="120"/>
  <c r="V148" i="120"/>
  <c r="U148" i="120"/>
  <c r="T148" i="120"/>
  <c r="S148" i="120"/>
  <c r="X147" i="120"/>
  <c r="W147" i="120"/>
  <c r="V147" i="120"/>
  <c r="U147" i="120"/>
  <c r="T147" i="120"/>
  <c r="S147" i="120"/>
  <c r="X146" i="120"/>
  <c r="W146" i="120"/>
  <c r="V146" i="120"/>
  <c r="U146" i="120"/>
  <c r="T146" i="120"/>
  <c r="S146" i="120"/>
  <c r="X145" i="120"/>
  <c r="W145" i="120"/>
  <c r="V145" i="120"/>
  <c r="U145" i="120"/>
  <c r="T145" i="120"/>
  <c r="S145" i="120"/>
  <c r="X144" i="120"/>
  <c r="W144" i="120"/>
  <c r="V144" i="120"/>
  <c r="U144" i="120"/>
  <c r="T144" i="120"/>
  <c r="S144" i="120"/>
  <c r="X143" i="120"/>
  <c r="W143" i="120"/>
  <c r="V143" i="120"/>
  <c r="U143" i="120"/>
  <c r="T143" i="120"/>
  <c r="S143" i="120"/>
  <c r="X142" i="120"/>
  <c r="W142" i="120"/>
  <c r="V142" i="120"/>
  <c r="U142" i="120"/>
  <c r="T142" i="120"/>
  <c r="S142" i="120"/>
  <c r="X141" i="120"/>
  <c r="W141" i="120"/>
  <c r="V141" i="120"/>
  <c r="U141" i="120"/>
  <c r="T141" i="120"/>
  <c r="S141" i="120"/>
  <c r="X140" i="120"/>
  <c r="W140" i="120"/>
  <c r="V140" i="120"/>
  <c r="U140" i="120"/>
  <c r="T140" i="120"/>
  <c r="S140" i="120"/>
  <c r="X139" i="120"/>
  <c r="W139" i="120"/>
  <c r="V139" i="120"/>
  <c r="U139" i="120"/>
  <c r="T139" i="120"/>
  <c r="S139" i="120"/>
  <c r="X138" i="120"/>
  <c r="W138" i="120"/>
  <c r="V138" i="120"/>
  <c r="U138" i="120"/>
  <c r="T138" i="120"/>
  <c r="S138" i="120"/>
  <c r="X137" i="120"/>
  <c r="W137" i="120"/>
  <c r="V137" i="120"/>
  <c r="U137" i="120"/>
  <c r="T137" i="120"/>
  <c r="S137" i="120"/>
  <c r="X136" i="120"/>
  <c r="W136" i="120"/>
  <c r="V136" i="120"/>
  <c r="U136" i="120"/>
  <c r="T136" i="120"/>
  <c r="S136" i="120"/>
  <c r="X135" i="120"/>
  <c r="W135" i="120"/>
  <c r="V135" i="120"/>
  <c r="U135" i="120"/>
  <c r="T135" i="120"/>
  <c r="S135" i="120"/>
  <c r="X134" i="120"/>
  <c r="W134" i="120"/>
  <c r="V134" i="120"/>
  <c r="U134" i="120"/>
  <c r="T134" i="120"/>
  <c r="S134" i="120"/>
  <c r="X133" i="120"/>
  <c r="W133" i="120"/>
  <c r="V133" i="120"/>
  <c r="U133" i="120"/>
  <c r="T133" i="120"/>
  <c r="S133" i="120"/>
  <c r="X132" i="120"/>
  <c r="W132" i="120"/>
  <c r="V132" i="120"/>
  <c r="U132" i="120"/>
  <c r="T132" i="120"/>
  <c r="S132" i="120"/>
  <c r="X131" i="120"/>
  <c r="W131" i="120"/>
  <c r="V131" i="120"/>
  <c r="U131" i="120"/>
  <c r="T131" i="120"/>
  <c r="S131" i="120"/>
  <c r="X130" i="120"/>
  <c r="W130" i="120"/>
  <c r="V130" i="120"/>
  <c r="U130" i="120"/>
  <c r="T130" i="120"/>
  <c r="S130" i="120"/>
  <c r="X129" i="120"/>
  <c r="W129" i="120"/>
  <c r="V129" i="120"/>
  <c r="U129" i="120"/>
  <c r="T129" i="120"/>
  <c r="S129" i="120"/>
  <c r="X128" i="120"/>
  <c r="W128" i="120"/>
  <c r="V128" i="120"/>
  <c r="U128" i="120"/>
  <c r="T128" i="120"/>
  <c r="S128" i="120"/>
  <c r="X127" i="120"/>
  <c r="W127" i="120"/>
  <c r="V127" i="120"/>
  <c r="U127" i="120"/>
  <c r="T127" i="120"/>
  <c r="S127" i="120"/>
  <c r="X126" i="120"/>
  <c r="W126" i="120"/>
  <c r="V126" i="120"/>
  <c r="U126" i="120"/>
  <c r="T126" i="120"/>
  <c r="S126" i="120"/>
  <c r="X125" i="120"/>
  <c r="W125" i="120"/>
  <c r="V125" i="120"/>
  <c r="U125" i="120"/>
  <c r="T125" i="120"/>
  <c r="S125" i="120"/>
  <c r="X124" i="120"/>
  <c r="W124" i="120"/>
  <c r="V124" i="120"/>
  <c r="U124" i="120"/>
  <c r="T124" i="120"/>
  <c r="S124" i="120"/>
  <c r="X123" i="120"/>
  <c r="W123" i="120"/>
  <c r="V123" i="120"/>
  <c r="U123" i="120"/>
  <c r="T123" i="120"/>
  <c r="S123" i="120"/>
  <c r="X122" i="120"/>
  <c r="W122" i="120"/>
  <c r="V122" i="120"/>
  <c r="U122" i="120"/>
  <c r="T122" i="120"/>
  <c r="S122" i="120"/>
  <c r="X121" i="120"/>
  <c r="W121" i="120"/>
  <c r="V121" i="120"/>
  <c r="U121" i="120"/>
  <c r="T121" i="120"/>
  <c r="S121" i="120"/>
  <c r="X120" i="120"/>
  <c r="W120" i="120"/>
  <c r="V120" i="120"/>
  <c r="U120" i="120"/>
  <c r="T120" i="120"/>
  <c r="S120" i="120"/>
  <c r="X119" i="120"/>
  <c r="W119" i="120"/>
  <c r="V119" i="120"/>
  <c r="U119" i="120"/>
  <c r="T119" i="120"/>
  <c r="S119" i="120"/>
  <c r="X118" i="120"/>
  <c r="W118" i="120"/>
  <c r="V118" i="120"/>
  <c r="U118" i="120"/>
  <c r="T118" i="120"/>
  <c r="S118" i="120"/>
  <c r="X117" i="120"/>
  <c r="W117" i="120"/>
  <c r="V117" i="120"/>
  <c r="U117" i="120"/>
  <c r="T117" i="120"/>
  <c r="S117" i="120"/>
  <c r="X116" i="120"/>
  <c r="W116" i="120"/>
  <c r="V116" i="120"/>
  <c r="U116" i="120"/>
  <c r="T116" i="120"/>
  <c r="S116" i="120"/>
  <c r="X115" i="120"/>
  <c r="W115" i="120"/>
  <c r="V115" i="120"/>
  <c r="U115" i="120"/>
  <c r="T115" i="120"/>
  <c r="S115" i="120"/>
  <c r="X114" i="120"/>
  <c r="W114" i="120"/>
  <c r="V114" i="120"/>
  <c r="U114" i="120"/>
  <c r="T114" i="120"/>
  <c r="S114" i="120"/>
  <c r="X113" i="120"/>
  <c r="W113" i="120"/>
  <c r="V113" i="120"/>
  <c r="U113" i="120"/>
  <c r="T113" i="120"/>
  <c r="S113" i="120"/>
  <c r="X112" i="120"/>
  <c r="W112" i="120"/>
  <c r="V112" i="120"/>
  <c r="U112" i="120"/>
  <c r="T112" i="120"/>
  <c r="S112" i="120"/>
  <c r="X111" i="120"/>
  <c r="W111" i="120"/>
  <c r="V111" i="120"/>
  <c r="U111" i="120"/>
  <c r="T111" i="120"/>
  <c r="S111" i="120"/>
  <c r="X110" i="120"/>
  <c r="W110" i="120"/>
  <c r="V110" i="120"/>
  <c r="U110" i="120"/>
  <c r="T110" i="120"/>
  <c r="S110" i="120"/>
  <c r="X109" i="120"/>
  <c r="W109" i="120"/>
  <c r="V109" i="120"/>
  <c r="U109" i="120"/>
  <c r="T109" i="120"/>
  <c r="S109" i="120"/>
  <c r="X108" i="120"/>
  <c r="W108" i="120"/>
  <c r="V108" i="120"/>
  <c r="U108" i="120"/>
  <c r="T108" i="120"/>
  <c r="S108" i="120"/>
  <c r="X107" i="120"/>
  <c r="W107" i="120"/>
  <c r="V107" i="120"/>
  <c r="U107" i="120"/>
  <c r="T107" i="120"/>
  <c r="S107" i="120"/>
  <c r="X106" i="120"/>
  <c r="W106" i="120"/>
  <c r="V106" i="120"/>
  <c r="U106" i="120"/>
  <c r="T106" i="120"/>
  <c r="S106" i="120"/>
  <c r="X105" i="120"/>
  <c r="W105" i="120"/>
  <c r="V105" i="120"/>
  <c r="U105" i="120"/>
  <c r="T105" i="120"/>
  <c r="S105" i="120"/>
  <c r="X104" i="120"/>
  <c r="W104" i="120"/>
  <c r="V104" i="120"/>
  <c r="U104" i="120"/>
  <c r="T104" i="120"/>
  <c r="S104" i="120"/>
  <c r="X103" i="120"/>
  <c r="W103" i="120"/>
  <c r="V103" i="120"/>
  <c r="U103" i="120"/>
  <c r="T103" i="120"/>
  <c r="S103" i="120"/>
  <c r="X102" i="120"/>
  <c r="W102" i="120"/>
  <c r="V102" i="120"/>
  <c r="U102" i="120"/>
  <c r="T102" i="120"/>
  <c r="S102" i="120"/>
  <c r="X101" i="120"/>
  <c r="W101" i="120"/>
  <c r="V101" i="120"/>
  <c r="U101" i="120"/>
  <c r="T101" i="120"/>
  <c r="S101" i="120"/>
  <c r="X100" i="120"/>
  <c r="W100" i="120"/>
  <c r="V100" i="120"/>
  <c r="U100" i="120"/>
  <c r="T100" i="120"/>
  <c r="S100" i="120"/>
  <c r="X99" i="120"/>
  <c r="W99" i="120"/>
  <c r="V99" i="120"/>
  <c r="U99" i="120"/>
  <c r="T99" i="120"/>
  <c r="S99" i="120"/>
  <c r="X98" i="120"/>
  <c r="W98" i="120"/>
  <c r="V98" i="120"/>
  <c r="U98" i="120"/>
  <c r="T98" i="120"/>
  <c r="S98" i="120"/>
  <c r="X97" i="120"/>
  <c r="W97" i="120"/>
  <c r="V97" i="120"/>
  <c r="U97" i="120"/>
  <c r="T97" i="120"/>
  <c r="S97" i="120"/>
  <c r="X96" i="120"/>
  <c r="W96" i="120"/>
  <c r="V96" i="120"/>
  <c r="U96" i="120"/>
  <c r="T96" i="120"/>
  <c r="S96" i="120"/>
  <c r="X95" i="120"/>
  <c r="W95" i="120"/>
  <c r="V95" i="120"/>
  <c r="U95" i="120"/>
  <c r="T95" i="120"/>
  <c r="S95" i="120"/>
  <c r="X94" i="120"/>
  <c r="W94" i="120"/>
  <c r="V94" i="120"/>
  <c r="U94" i="120"/>
  <c r="T94" i="120"/>
  <c r="S94" i="120"/>
  <c r="X93" i="120"/>
  <c r="W93" i="120"/>
  <c r="V93" i="120"/>
  <c r="U93" i="120"/>
  <c r="T93" i="120"/>
  <c r="S93" i="120"/>
  <c r="X92" i="120"/>
  <c r="W92" i="120"/>
  <c r="V92" i="120"/>
  <c r="U92" i="120"/>
  <c r="T92" i="120"/>
  <c r="S92" i="120"/>
  <c r="X91" i="120"/>
  <c r="W91" i="120"/>
  <c r="V91" i="120"/>
  <c r="U91" i="120"/>
  <c r="T91" i="120"/>
  <c r="S91" i="120"/>
  <c r="X90" i="120"/>
  <c r="W90" i="120"/>
  <c r="V90" i="120"/>
  <c r="U90" i="120"/>
  <c r="T90" i="120"/>
  <c r="S90" i="120"/>
  <c r="X89" i="120"/>
  <c r="W89" i="120"/>
  <c r="V89" i="120"/>
  <c r="U89" i="120"/>
  <c r="T89" i="120"/>
  <c r="S89" i="120"/>
  <c r="X88" i="120"/>
  <c r="W88" i="120"/>
  <c r="V88" i="120"/>
  <c r="U88" i="120"/>
  <c r="T88" i="120"/>
  <c r="S88" i="120"/>
  <c r="X87" i="120"/>
  <c r="W87" i="120"/>
  <c r="V87" i="120"/>
  <c r="U87" i="120"/>
  <c r="T87" i="120"/>
  <c r="S87" i="120"/>
  <c r="X86" i="120"/>
  <c r="W86" i="120"/>
  <c r="V86" i="120"/>
  <c r="U86" i="120"/>
  <c r="T86" i="120"/>
  <c r="S86" i="120"/>
  <c r="X85" i="120"/>
  <c r="W85" i="120"/>
  <c r="V85" i="120"/>
  <c r="U85" i="120"/>
  <c r="T85" i="120"/>
  <c r="S85" i="120"/>
  <c r="X84" i="120"/>
  <c r="W84" i="120"/>
  <c r="V84" i="120"/>
  <c r="U84" i="120"/>
  <c r="T84" i="120"/>
  <c r="S84" i="120"/>
  <c r="X83" i="120"/>
  <c r="W83" i="120"/>
  <c r="V83" i="120"/>
  <c r="U83" i="120"/>
  <c r="T83" i="120"/>
  <c r="S83" i="120"/>
  <c r="X82" i="120"/>
  <c r="W82" i="120"/>
  <c r="V82" i="120"/>
  <c r="U82" i="120"/>
  <c r="T82" i="120"/>
  <c r="S82" i="120"/>
  <c r="X81" i="120"/>
  <c r="W81" i="120"/>
  <c r="V81" i="120"/>
  <c r="U81" i="120"/>
  <c r="T81" i="120"/>
  <c r="S81" i="120"/>
  <c r="X80" i="120"/>
  <c r="W80" i="120"/>
  <c r="V80" i="120"/>
  <c r="U80" i="120"/>
  <c r="T80" i="120"/>
  <c r="S80" i="120"/>
  <c r="X79" i="120"/>
  <c r="W79" i="120"/>
  <c r="V79" i="120"/>
  <c r="U79" i="120"/>
  <c r="T79" i="120"/>
  <c r="S79" i="120"/>
  <c r="X78" i="120"/>
  <c r="W78" i="120"/>
  <c r="V78" i="120"/>
  <c r="U78" i="120"/>
  <c r="T78" i="120"/>
  <c r="S78" i="120"/>
  <c r="X77" i="120"/>
  <c r="W77" i="120"/>
  <c r="V77" i="120"/>
  <c r="U77" i="120"/>
  <c r="T77" i="120"/>
  <c r="S77" i="120"/>
  <c r="X76" i="120"/>
  <c r="W76" i="120"/>
  <c r="V76" i="120"/>
  <c r="U76" i="120"/>
  <c r="T76" i="120"/>
  <c r="S76" i="120"/>
  <c r="X75" i="120"/>
  <c r="W75" i="120"/>
  <c r="V75" i="120"/>
  <c r="U75" i="120"/>
  <c r="T75" i="120"/>
  <c r="S75" i="120"/>
  <c r="X74" i="120"/>
  <c r="W74" i="120"/>
  <c r="V74" i="120"/>
  <c r="U74" i="120"/>
  <c r="T74" i="120"/>
  <c r="S74" i="120"/>
  <c r="X73" i="120"/>
  <c r="W73" i="120"/>
  <c r="V73" i="120"/>
  <c r="U73" i="120"/>
  <c r="T73" i="120"/>
  <c r="S73" i="120"/>
  <c r="X72" i="120"/>
  <c r="W72" i="120"/>
  <c r="V72" i="120"/>
  <c r="U72" i="120"/>
  <c r="T72" i="120"/>
  <c r="S72" i="120"/>
  <c r="X71" i="120"/>
  <c r="W71" i="120"/>
  <c r="V71" i="120"/>
  <c r="U71" i="120"/>
  <c r="T71" i="120"/>
  <c r="S71" i="120"/>
  <c r="X70" i="120"/>
  <c r="W70" i="120"/>
  <c r="V70" i="120"/>
  <c r="U70" i="120"/>
  <c r="T70" i="120"/>
  <c r="S70" i="120"/>
  <c r="X69" i="120"/>
  <c r="W69" i="120"/>
  <c r="V69" i="120"/>
  <c r="U69" i="120"/>
  <c r="T69" i="120"/>
  <c r="S69" i="120"/>
  <c r="X68" i="120"/>
  <c r="W68" i="120"/>
  <c r="V68" i="120"/>
  <c r="U68" i="120"/>
  <c r="T68" i="120"/>
  <c r="S68" i="120"/>
  <c r="X67" i="120"/>
  <c r="W67" i="120"/>
  <c r="V67" i="120"/>
  <c r="U67" i="120"/>
  <c r="T67" i="120"/>
  <c r="S67" i="120"/>
  <c r="X66" i="120"/>
  <c r="W66" i="120"/>
  <c r="V66" i="120"/>
  <c r="U66" i="120"/>
  <c r="T66" i="120"/>
  <c r="S66" i="120"/>
  <c r="X65" i="120"/>
  <c r="W65" i="120"/>
  <c r="V65" i="120"/>
  <c r="U65" i="120"/>
  <c r="T65" i="120"/>
  <c r="S65" i="120"/>
  <c r="X64" i="120"/>
  <c r="W64" i="120"/>
  <c r="V64" i="120"/>
  <c r="U64" i="120"/>
  <c r="T64" i="120"/>
  <c r="S64" i="120"/>
  <c r="X63" i="120"/>
  <c r="W63" i="120"/>
  <c r="V63" i="120"/>
  <c r="U63" i="120"/>
  <c r="T63" i="120"/>
  <c r="S63" i="120"/>
  <c r="X62" i="120"/>
  <c r="W62" i="120"/>
  <c r="V62" i="120"/>
  <c r="U62" i="120"/>
  <c r="T62" i="120"/>
  <c r="S62" i="120"/>
  <c r="X61" i="120"/>
  <c r="W61" i="120"/>
  <c r="V61" i="120"/>
  <c r="U61" i="120"/>
  <c r="T61" i="120"/>
  <c r="S61" i="120"/>
  <c r="X60" i="120"/>
  <c r="W60" i="120"/>
  <c r="V60" i="120"/>
  <c r="U60" i="120"/>
  <c r="T60" i="120"/>
  <c r="S60" i="120"/>
  <c r="X59" i="120"/>
  <c r="W59" i="120"/>
  <c r="V59" i="120"/>
  <c r="U59" i="120"/>
  <c r="T59" i="120"/>
  <c r="S59" i="120"/>
  <c r="X58" i="120"/>
  <c r="W58" i="120"/>
  <c r="V58" i="120"/>
  <c r="U58" i="120"/>
  <c r="T58" i="120"/>
  <c r="S58" i="120"/>
  <c r="X57" i="120"/>
  <c r="W57" i="120"/>
  <c r="V57" i="120"/>
  <c r="U57" i="120"/>
  <c r="T57" i="120"/>
  <c r="S57" i="120"/>
  <c r="X56" i="120"/>
  <c r="W56" i="120"/>
  <c r="V56" i="120"/>
  <c r="U56" i="120"/>
  <c r="T56" i="120"/>
  <c r="S56" i="120"/>
  <c r="X55" i="120"/>
  <c r="W55" i="120"/>
  <c r="V55" i="120"/>
  <c r="U55" i="120"/>
  <c r="T55" i="120"/>
  <c r="S55" i="120"/>
  <c r="X54" i="120"/>
  <c r="W54" i="120"/>
  <c r="V54" i="120"/>
  <c r="U54" i="120"/>
  <c r="T54" i="120"/>
  <c r="S54" i="120"/>
  <c r="X53" i="120"/>
  <c r="W53" i="120"/>
  <c r="V53" i="120"/>
  <c r="U53" i="120"/>
  <c r="T53" i="120"/>
  <c r="S53" i="120"/>
  <c r="X52" i="120"/>
  <c r="W52" i="120"/>
  <c r="V52" i="120"/>
  <c r="U52" i="120"/>
  <c r="T52" i="120"/>
  <c r="S52" i="120"/>
  <c r="X51" i="120"/>
  <c r="W51" i="120"/>
  <c r="V51" i="120"/>
  <c r="U51" i="120"/>
  <c r="T51" i="120"/>
  <c r="S51" i="120"/>
  <c r="X50" i="120"/>
  <c r="W50" i="120"/>
  <c r="V50" i="120"/>
  <c r="U50" i="120"/>
  <c r="T50" i="120"/>
  <c r="S50" i="120"/>
  <c r="X49" i="120"/>
  <c r="W49" i="120"/>
  <c r="V49" i="120"/>
  <c r="U49" i="120"/>
  <c r="T49" i="120"/>
  <c r="S49" i="120"/>
  <c r="X48" i="120"/>
  <c r="W48" i="120"/>
  <c r="V48" i="120"/>
  <c r="U48" i="120"/>
  <c r="T48" i="120"/>
  <c r="S48" i="120"/>
  <c r="X47" i="120"/>
  <c r="W47" i="120"/>
  <c r="V47" i="120"/>
  <c r="U47" i="120"/>
  <c r="T47" i="120"/>
  <c r="S47" i="120"/>
  <c r="X46" i="120"/>
  <c r="W46" i="120"/>
  <c r="V46" i="120"/>
  <c r="U46" i="120"/>
  <c r="T46" i="120"/>
  <c r="S46" i="120"/>
  <c r="X45" i="120"/>
  <c r="W45" i="120"/>
  <c r="V45" i="120"/>
  <c r="U45" i="120"/>
  <c r="T45" i="120"/>
  <c r="S45" i="120"/>
  <c r="X44" i="120"/>
  <c r="W44" i="120"/>
  <c r="V44" i="120"/>
  <c r="U44" i="120"/>
  <c r="T44" i="120"/>
  <c r="S44" i="120"/>
  <c r="X43" i="120"/>
  <c r="W43" i="120"/>
  <c r="V43" i="120"/>
  <c r="U43" i="120"/>
  <c r="T43" i="120"/>
  <c r="S43" i="120"/>
  <c r="X42" i="120"/>
  <c r="W42" i="120"/>
  <c r="V42" i="120"/>
  <c r="U42" i="120"/>
  <c r="T42" i="120"/>
  <c r="S42" i="120"/>
  <c r="X41" i="120"/>
  <c r="W41" i="120"/>
  <c r="V41" i="120"/>
  <c r="U41" i="120"/>
  <c r="T41" i="120"/>
  <c r="S41" i="120"/>
  <c r="X40" i="120"/>
  <c r="W40" i="120"/>
  <c r="V40" i="120"/>
  <c r="U40" i="120"/>
  <c r="T40" i="120"/>
  <c r="S40" i="120"/>
  <c r="X39" i="120"/>
  <c r="W39" i="120"/>
  <c r="V39" i="120"/>
  <c r="U39" i="120"/>
  <c r="T39" i="120"/>
  <c r="U38" i="120"/>
  <c r="S38" i="120"/>
  <c r="L38" i="120"/>
  <c r="X37" i="120"/>
  <c r="W37" i="120"/>
  <c r="V37" i="120"/>
  <c r="U37" i="120"/>
  <c r="T37" i="120"/>
  <c r="S37" i="120"/>
  <c r="L37" i="120"/>
  <c r="X36" i="120"/>
  <c r="W36" i="120"/>
  <c r="V36" i="120"/>
  <c r="U36" i="120"/>
  <c r="T36" i="120"/>
  <c r="S36" i="120"/>
  <c r="L36" i="120"/>
  <c r="X35" i="120"/>
  <c r="W35" i="120"/>
  <c r="V35" i="120"/>
  <c r="U35" i="120"/>
  <c r="T35" i="120"/>
  <c r="S35" i="120"/>
  <c r="L35" i="120"/>
  <c r="X34" i="120"/>
  <c r="W34" i="120"/>
  <c r="V34" i="120"/>
  <c r="U34" i="120"/>
  <c r="T34" i="120"/>
  <c r="S34" i="120"/>
  <c r="L34" i="120"/>
  <c r="X33" i="120"/>
  <c r="W33" i="120"/>
  <c r="V33" i="120"/>
  <c r="U33" i="120"/>
  <c r="T33" i="120"/>
  <c r="S33" i="120"/>
  <c r="L33" i="120"/>
  <c r="X32" i="120"/>
  <c r="W32" i="120"/>
  <c r="V32" i="120"/>
  <c r="U32" i="120"/>
  <c r="T32" i="120"/>
  <c r="S32" i="120"/>
  <c r="L32" i="120"/>
  <c r="X31" i="120"/>
  <c r="W31" i="120"/>
  <c r="V31" i="120"/>
  <c r="U31" i="120"/>
  <c r="T31" i="120"/>
  <c r="S31" i="120"/>
  <c r="L31" i="120"/>
  <c r="X30" i="120"/>
  <c r="W30" i="120"/>
  <c r="V30" i="120"/>
  <c r="U30" i="120"/>
  <c r="T30" i="120"/>
  <c r="S30" i="120"/>
  <c r="L30" i="120"/>
  <c r="X29" i="120"/>
  <c r="W29" i="120"/>
  <c r="V29" i="120"/>
  <c r="U29" i="120"/>
  <c r="T29" i="120"/>
  <c r="S29" i="120"/>
  <c r="L29" i="120"/>
  <c r="X28" i="120"/>
  <c r="W28" i="120"/>
  <c r="V28" i="120"/>
  <c r="U28" i="120"/>
  <c r="T28" i="120"/>
  <c r="S28" i="120"/>
  <c r="L28" i="120"/>
  <c r="X27" i="120"/>
  <c r="W27" i="120"/>
  <c r="V27" i="120"/>
  <c r="U27" i="120"/>
  <c r="T27" i="120"/>
  <c r="S27" i="120"/>
  <c r="L27" i="120"/>
  <c r="X26" i="120"/>
  <c r="W26" i="120"/>
  <c r="V26" i="120"/>
  <c r="U26" i="120"/>
  <c r="T26" i="120"/>
  <c r="S26" i="120"/>
  <c r="L26" i="120"/>
  <c r="X25" i="120"/>
  <c r="W25" i="120"/>
  <c r="V25" i="120"/>
  <c r="U25" i="120"/>
  <c r="T25" i="120"/>
  <c r="S25" i="120"/>
  <c r="L25" i="120"/>
  <c r="X24" i="120"/>
  <c r="W24" i="120"/>
  <c r="V24" i="120"/>
  <c r="U24" i="120"/>
  <c r="T24" i="120"/>
  <c r="S24" i="120"/>
  <c r="L24" i="120"/>
  <c r="X23" i="120"/>
  <c r="W23" i="120"/>
  <c r="V23" i="120"/>
  <c r="U23" i="120"/>
  <c r="T23" i="120"/>
  <c r="S23" i="120"/>
  <c r="L23" i="120"/>
  <c r="X22" i="120"/>
  <c r="W22" i="120"/>
  <c r="V22" i="120"/>
  <c r="U22" i="120"/>
  <c r="T22" i="120"/>
  <c r="S22" i="120"/>
  <c r="L22" i="120"/>
  <c r="X21" i="120"/>
  <c r="W21" i="120"/>
  <c r="V21" i="120"/>
  <c r="U21" i="120"/>
  <c r="T21" i="120"/>
  <c r="S21" i="120"/>
  <c r="L21" i="120"/>
  <c r="X20" i="120"/>
  <c r="W20" i="120"/>
  <c r="V20" i="120"/>
  <c r="U20" i="120"/>
  <c r="T20" i="120"/>
  <c r="S20" i="120"/>
  <c r="L20" i="120"/>
  <c r="X19" i="120"/>
  <c r="W19" i="120"/>
  <c r="V19" i="120"/>
  <c r="U19" i="120"/>
  <c r="T19" i="120"/>
  <c r="S19" i="120"/>
  <c r="X18" i="120"/>
  <c r="W18" i="120"/>
  <c r="V18" i="120"/>
  <c r="U18" i="120"/>
  <c r="T18" i="120"/>
  <c r="S18" i="120"/>
  <c r="L18" i="120"/>
  <c r="X17" i="120"/>
  <c r="W17" i="120"/>
  <c r="V17" i="120"/>
  <c r="S17" i="120"/>
  <c r="Y2" i="120"/>
  <c r="K22" i="118" l="1"/>
  <c r="K21" i="118"/>
  <c r="K20" i="118" l="1"/>
  <c r="K19" i="118"/>
  <c r="K18" i="118"/>
  <c r="L18" i="118" l="1"/>
  <c r="M18" i="118"/>
  <c r="N18" i="118"/>
  <c r="L19" i="118"/>
  <c r="M19" i="118"/>
  <c r="N19" i="118"/>
  <c r="L20" i="118"/>
  <c r="M20" i="118"/>
  <c r="N20" i="118"/>
  <c r="L21" i="118"/>
  <c r="M21" i="118"/>
  <c r="N21" i="118"/>
  <c r="L22" i="118"/>
  <c r="M22" i="118"/>
  <c r="N22" i="118"/>
  <c r="L23" i="118"/>
  <c r="M23" i="118"/>
  <c r="N23" i="118"/>
  <c r="L24" i="118"/>
  <c r="M24" i="118"/>
  <c r="N24" i="118"/>
  <c r="L25" i="118"/>
  <c r="M25" i="118"/>
  <c r="N25" i="118"/>
  <c r="L26" i="118"/>
  <c r="L27" i="118"/>
  <c r="L28" i="118"/>
  <c r="M28" i="118"/>
  <c r="N28" i="118"/>
  <c r="L29" i="118"/>
  <c r="M29" i="118"/>
  <c r="N29" i="118"/>
  <c r="L30" i="118"/>
  <c r="M30" i="118"/>
  <c r="N30" i="118"/>
  <c r="L31" i="118"/>
  <c r="M31" i="118"/>
  <c r="N31" i="118"/>
  <c r="L32" i="118"/>
  <c r="M32" i="118"/>
  <c r="N32" i="118"/>
  <c r="L33" i="118"/>
  <c r="M33" i="118"/>
  <c r="N33" i="118"/>
  <c r="L34" i="118"/>
  <c r="M34" i="118"/>
  <c r="N34" i="118"/>
  <c r="L35" i="118"/>
  <c r="M35" i="118"/>
  <c r="N35" i="118"/>
  <c r="L36" i="118"/>
  <c r="M36" i="118"/>
  <c r="N36" i="118"/>
  <c r="L37" i="118"/>
  <c r="M37" i="118"/>
  <c r="N37" i="118"/>
  <c r="L38" i="118"/>
  <c r="M38" i="118"/>
  <c r="N38" i="118"/>
  <c r="L39" i="118"/>
  <c r="M39" i="118"/>
  <c r="N39" i="118"/>
  <c r="L40" i="118"/>
  <c r="M40" i="118"/>
  <c r="N40" i="118"/>
  <c r="L41" i="118"/>
  <c r="M41" i="118"/>
  <c r="N41" i="118"/>
  <c r="L42" i="118"/>
  <c r="M42" i="118"/>
  <c r="N42" i="118"/>
  <c r="L43" i="118"/>
  <c r="M43" i="118"/>
  <c r="N43" i="118"/>
  <c r="L44" i="118"/>
  <c r="M44" i="118"/>
  <c r="N44" i="118"/>
  <c r="L45" i="118"/>
  <c r="M45" i="118"/>
  <c r="N45" i="118"/>
  <c r="L46" i="118"/>
  <c r="M46" i="118"/>
  <c r="N46" i="118"/>
  <c r="L47" i="118"/>
  <c r="M47" i="118"/>
  <c r="N47" i="118"/>
  <c r="L48" i="118"/>
  <c r="M48" i="118"/>
  <c r="N48" i="118"/>
  <c r="L49" i="118"/>
  <c r="M49" i="118"/>
  <c r="N49" i="118"/>
  <c r="L50" i="118"/>
  <c r="M50" i="118"/>
  <c r="N50" i="118"/>
  <c r="L51" i="118"/>
  <c r="M51" i="118"/>
  <c r="N51" i="118"/>
  <c r="L52" i="118"/>
  <c r="M52" i="118"/>
  <c r="N52" i="118"/>
  <c r="L53" i="118"/>
  <c r="M53" i="118"/>
  <c r="N53" i="118"/>
  <c r="L54" i="118"/>
  <c r="M54" i="118"/>
  <c r="N54" i="118"/>
  <c r="L55" i="118"/>
  <c r="M55" i="118"/>
  <c r="N55" i="118"/>
  <c r="L56" i="118"/>
  <c r="M56" i="118"/>
  <c r="N56" i="118"/>
  <c r="L57" i="118"/>
  <c r="M57" i="118"/>
  <c r="N57" i="118"/>
  <c r="L58" i="118"/>
  <c r="M58" i="118"/>
  <c r="N58" i="118"/>
  <c r="L59" i="118"/>
  <c r="M59" i="118"/>
  <c r="N59" i="118"/>
  <c r="L60" i="118"/>
  <c r="M60" i="118"/>
  <c r="N60" i="118"/>
  <c r="L61" i="118"/>
  <c r="M61" i="118"/>
  <c r="N61" i="118"/>
  <c r="L62" i="118"/>
  <c r="M62" i="118"/>
  <c r="N62" i="118"/>
  <c r="L63" i="118"/>
  <c r="M63" i="118"/>
  <c r="N63" i="118"/>
  <c r="L64" i="118"/>
  <c r="M64" i="118"/>
  <c r="N64" i="118"/>
  <c r="L65" i="118"/>
  <c r="M65" i="118"/>
  <c r="N65" i="118"/>
  <c r="L66" i="118"/>
  <c r="M66" i="118"/>
  <c r="N66" i="118"/>
  <c r="L67" i="118"/>
  <c r="M67" i="118"/>
  <c r="N67" i="118"/>
  <c r="L68" i="118"/>
  <c r="M68" i="118"/>
  <c r="N68" i="118"/>
  <c r="L69" i="118"/>
  <c r="M69" i="118"/>
  <c r="N69" i="118"/>
  <c r="L70" i="118"/>
  <c r="M70" i="118"/>
  <c r="N70" i="118"/>
  <c r="L71" i="118"/>
  <c r="M71" i="118"/>
  <c r="N71" i="118"/>
  <c r="L72" i="118"/>
  <c r="M72" i="118"/>
  <c r="N72" i="118"/>
  <c r="L73" i="118"/>
  <c r="M73" i="118"/>
  <c r="N73" i="118"/>
  <c r="L74" i="118"/>
  <c r="M74" i="118"/>
  <c r="N74" i="118"/>
  <c r="L75" i="118"/>
  <c r="M75" i="118"/>
  <c r="N75" i="118"/>
  <c r="L76" i="118"/>
  <c r="M76" i="118"/>
  <c r="N76" i="118"/>
  <c r="L77" i="118"/>
  <c r="M77" i="118"/>
  <c r="N77" i="118"/>
  <c r="L78" i="118"/>
  <c r="M78" i="118"/>
  <c r="N78" i="118"/>
  <c r="L79" i="118"/>
  <c r="M79" i="118"/>
  <c r="N79" i="118"/>
  <c r="L80" i="118"/>
  <c r="M80" i="118"/>
  <c r="N80" i="118"/>
  <c r="L81" i="118"/>
  <c r="M81" i="118"/>
  <c r="N81" i="118"/>
  <c r="L82" i="118"/>
  <c r="M82" i="118"/>
  <c r="N82" i="118"/>
  <c r="L83" i="118"/>
  <c r="M83" i="118"/>
  <c r="N83" i="118"/>
  <c r="L84" i="118"/>
  <c r="M84" i="118"/>
  <c r="N84" i="118"/>
  <c r="L85" i="118"/>
  <c r="M85" i="118"/>
  <c r="N85" i="118"/>
  <c r="L86" i="118"/>
  <c r="M86" i="118"/>
  <c r="N86" i="118"/>
  <c r="L87" i="118"/>
  <c r="M87" i="118"/>
  <c r="N87" i="118"/>
  <c r="L88" i="118"/>
  <c r="M88" i="118"/>
  <c r="N88" i="118"/>
  <c r="L89" i="118"/>
  <c r="M89" i="118"/>
  <c r="N89" i="118"/>
  <c r="L90" i="118"/>
  <c r="M90" i="118"/>
  <c r="N90" i="118"/>
  <c r="L91" i="118"/>
  <c r="M91" i="118"/>
  <c r="N91" i="118"/>
  <c r="L92" i="118"/>
  <c r="M92" i="118"/>
  <c r="N92" i="118"/>
  <c r="L93" i="118"/>
  <c r="M93" i="118"/>
  <c r="N93" i="118"/>
  <c r="L94" i="118"/>
  <c r="M94" i="118"/>
  <c r="N94" i="118"/>
  <c r="L95" i="118"/>
  <c r="M95" i="118"/>
  <c r="N95" i="118"/>
  <c r="L96" i="118"/>
  <c r="M96" i="118"/>
  <c r="N96" i="118"/>
  <c r="L97" i="118"/>
  <c r="M97" i="118"/>
  <c r="N97" i="118"/>
  <c r="L98" i="118"/>
  <c r="M98" i="118"/>
  <c r="N98" i="118"/>
  <c r="L99" i="118"/>
  <c r="M99" i="118"/>
  <c r="N99" i="118"/>
  <c r="L100" i="118"/>
  <c r="M100" i="118"/>
  <c r="N100" i="118"/>
  <c r="L101" i="118"/>
  <c r="M101" i="118"/>
  <c r="N101" i="118"/>
  <c r="L102" i="118"/>
  <c r="M102" i="118"/>
  <c r="N102" i="118"/>
  <c r="L103" i="118"/>
  <c r="M103" i="118"/>
  <c r="N103" i="118"/>
  <c r="L104" i="118"/>
  <c r="M104" i="118"/>
  <c r="N104" i="118"/>
  <c r="L105" i="118"/>
  <c r="M105" i="118"/>
  <c r="N105" i="118"/>
  <c r="L106" i="118"/>
  <c r="M106" i="118"/>
  <c r="N106" i="118"/>
  <c r="L107" i="118"/>
  <c r="M107" i="118"/>
  <c r="N107" i="118"/>
  <c r="L108" i="118"/>
  <c r="M108" i="118"/>
  <c r="N108" i="118"/>
  <c r="L109" i="118"/>
  <c r="M109" i="118"/>
  <c r="N109" i="118"/>
  <c r="L110" i="118"/>
  <c r="M110" i="118"/>
  <c r="N110" i="118"/>
  <c r="L111" i="118"/>
  <c r="M111" i="118"/>
  <c r="N111" i="118"/>
  <c r="L112" i="118"/>
  <c r="M112" i="118"/>
  <c r="N112" i="118"/>
  <c r="L113" i="118"/>
  <c r="M113" i="118"/>
  <c r="N113" i="118"/>
  <c r="L114" i="118"/>
  <c r="M114" i="118"/>
  <c r="N114" i="118"/>
  <c r="L115" i="118"/>
  <c r="M115" i="118"/>
  <c r="N115" i="118"/>
  <c r="L116" i="118"/>
  <c r="M116" i="118"/>
  <c r="N116" i="118"/>
  <c r="L117" i="118"/>
  <c r="M117" i="118"/>
  <c r="N117" i="118"/>
  <c r="L118" i="118"/>
  <c r="M118" i="118"/>
  <c r="N118" i="118"/>
  <c r="L119" i="118"/>
  <c r="M119" i="118"/>
  <c r="N119" i="118"/>
  <c r="L120" i="118"/>
  <c r="M120" i="118"/>
  <c r="N120" i="118"/>
  <c r="L121" i="118"/>
  <c r="M121" i="118"/>
  <c r="N121" i="118"/>
  <c r="L122" i="118"/>
  <c r="M122" i="118"/>
  <c r="N122" i="118"/>
  <c r="L123" i="118"/>
  <c r="M123" i="118"/>
  <c r="N123" i="118"/>
  <c r="L124" i="118"/>
  <c r="M124" i="118"/>
  <c r="N124" i="118"/>
  <c r="L125" i="118"/>
  <c r="M125" i="118"/>
  <c r="N125" i="118"/>
  <c r="L126" i="118"/>
  <c r="M126" i="118"/>
  <c r="N126" i="118"/>
  <c r="L127" i="118"/>
  <c r="M127" i="118"/>
  <c r="N127" i="118"/>
  <c r="L128" i="118"/>
  <c r="M128" i="118"/>
  <c r="N128" i="118"/>
  <c r="L129" i="118"/>
  <c r="M129" i="118"/>
  <c r="N129" i="118"/>
  <c r="L130" i="118"/>
  <c r="M130" i="118"/>
  <c r="N130" i="118"/>
  <c r="L131" i="118"/>
  <c r="M131" i="118"/>
  <c r="N131" i="118"/>
  <c r="L132" i="118"/>
  <c r="M132" i="118"/>
  <c r="N132" i="118"/>
  <c r="L133" i="118"/>
  <c r="M133" i="118"/>
  <c r="N133" i="118"/>
  <c r="L134" i="118"/>
  <c r="M134" i="118"/>
  <c r="N134" i="118"/>
  <c r="L135" i="118"/>
  <c r="M135" i="118"/>
  <c r="N135" i="118"/>
  <c r="L136" i="118"/>
  <c r="M136" i="118"/>
  <c r="N136" i="118"/>
  <c r="L137" i="118"/>
  <c r="M137" i="118"/>
  <c r="N137" i="118"/>
  <c r="L138" i="118"/>
  <c r="M138" i="118"/>
  <c r="N138" i="118"/>
  <c r="L139" i="118"/>
  <c r="M139" i="118"/>
  <c r="N139" i="118"/>
  <c r="L140" i="118"/>
  <c r="M140" i="118"/>
  <c r="N140" i="118"/>
  <c r="L141" i="118"/>
  <c r="M141" i="118"/>
  <c r="N141" i="118"/>
  <c r="L142" i="118"/>
  <c r="M142" i="118"/>
  <c r="N142" i="118"/>
  <c r="L143" i="118"/>
  <c r="M143" i="118"/>
  <c r="N143" i="118"/>
  <c r="L144" i="118"/>
  <c r="M144" i="118"/>
  <c r="N144" i="118"/>
  <c r="L145" i="118"/>
  <c r="M145" i="118"/>
  <c r="N145" i="118"/>
  <c r="L146" i="118"/>
  <c r="M146" i="118"/>
  <c r="N146" i="118"/>
  <c r="L147" i="118"/>
  <c r="M147" i="118"/>
  <c r="N147" i="118"/>
  <c r="L148" i="118"/>
  <c r="M148" i="118"/>
  <c r="N148" i="118"/>
  <c r="L149" i="118"/>
  <c r="M149" i="118"/>
  <c r="N149" i="118"/>
  <c r="L150" i="118"/>
  <c r="M150" i="118"/>
  <c r="N150" i="118"/>
  <c r="L151" i="118"/>
  <c r="M151" i="118"/>
  <c r="N151" i="118"/>
  <c r="L152" i="118"/>
  <c r="M152" i="118"/>
  <c r="N152" i="118"/>
  <c r="L153" i="118"/>
  <c r="M153" i="118"/>
  <c r="N153" i="118"/>
  <c r="N17" i="118"/>
  <c r="M17" i="118"/>
  <c r="L17" i="118"/>
  <c r="K17" i="118"/>
  <c r="Q37" i="118" l="1"/>
  <c r="Q41" i="118"/>
  <c r="Q45" i="118"/>
  <c r="Q36" i="118"/>
  <c r="Q40" i="118"/>
  <c r="Q44" i="118"/>
  <c r="Q34" i="118"/>
  <c r="Q35" i="118"/>
  <c r="Q39" i="118"/>
  <c r="Q43" i="118"/>
  <c r="Q38" i="118"/>
  <c r="Q42" i="118"/>
  <c r="P36" i="118"/>
  <c r="P40" i="118"/>
  <c r="P44" i="118"/>
  <c r="P35" i="118"/>
  <c r="P39" i="118"/>
  <c r="P43" i="118"/>
  <c r="P38" i="118"/>
  <c r="P42" i="118"/>
  <c r="P34" i="118"/>
  <c r="P37" i="118"/>
  <c r="P41" i="118"/>
  <c r="P45" i="118"/>
  <c r="O35" i="118"/>
  <c r="O39" i="118"/>
  <c r="O43" i="118"/>
  <c r="O38" i="118"/>
  <c r="O42" i="118"/>
  <c r="O37" i="118"/>
  <c r="O41" i="118"/>
  <c r="O45" i="118"/>
  <c r="O36" i="118"/>
  <c r="O40" i="118"/>
  <c r="O44" i="118"/>
  <c r="O34" i="118"/>
  <c r="K16" i="118"/>
  <c r="X153" i="118"/>
  <c r="W153" i="118"/>
  <c r="V153" i="118"/>
  <c r="U153" i="118"/>
  <c r="T153" i="118"/>
  <c r="S153" i="118"/>
  <c r="R153" i="118"/>
  <c r="X152" i="118"/>
  <c r="W152" i="118"/>
  <c r="V152" i="118"/>
  <c r="U152" i="118"/>
  <c r="T152" i="118"/>
  <c r="S152" i="118"/>
  <c r="R152" i="118"/>
  <c r="X151" i="118"/>
  <c r="W151" i="118"/>
  <c r="V151" i="118"/>
  <c r="U151" i="118"/>
  <c r="T151" i="118"/>
  <c r="S151" i="118"/>
  <c r="R151" i="118"/>
  <c r="X150" i="118"/>
  <c r="W150" i="118"/>
  <c r="V150" i="118"/>
  <c r="U150" i="118"/>
  <c r="T150" i="118"/>
  <c r="S150" i="118"/>
  <c r="R150" i="118"/>
  <c r="X149" i="118"/>
  <c r="W149" i="118"/>
  <c r="V149" i="118"/>
  <c r="U149" i="118"/>
  <c r="T149" i="118"/>
  <c r="S149" i="118"/>
  <c r="R149" i="118"/>
  <c r="X148" i="118"/>
  <c r="W148" i="118"/>
  <c r="V148" i="118"/>
  <c r="U148" i="118"/>
  <c r="T148" i="118"/>
  <c r="S148" i="118"/>
  <c r="R148" i="118"/>
  <c r="X147" i="118"/>
  <c r="W147" i="118"/>
  <c r="V147" i="118"/>
  <c r="U147" i="118"/>
  <c r="T147" i="118"/>
  <c r="S147" i="118"/>
  <c r="R147" i="118"/>
  <c r="X146" i="118"/>
  <c r="W146" i="118"/>
  <c r="V146" i="118"/>
  <c r="U146" i="118"/>
  <c r="T146" i="118"/>
  <c r="S146" i="118"/>
  <c r="R146" i="118"/>
  <c r="X145" i="118"/>
  <c r="W145" i="118"/>
  <c r="V145" i="118"/>
  <c r="U145" i="118"/>
  <c r="T145" i="118"/>
  <c r="S145" i="118"/>
  <c r="R145" i="118"/>
  <c r="X144" i="118"/>
  <c r="W144" i="118"/>
  <c r="V144" i="118"/>
  <c r="U144" i="118"/>
  <c r="T144" i="118"/>
  <c r="S144" i="118"/>
  <c r="R144" i="118"/>
  <c r="X143" i="118"/>
  <c r="W143" i="118"/>
  <c r="V143" i="118"/>
  <c r="U143" i="118"/>
  <c r="T143" i="118"/>
  <c r="S143" i="118"/>
  <c r="R143" i="118"/>
  <c r="X142" i="118"/>
  <c r="W142" i="118"/>
  <c r="V142" i="118"/>
  <c r="U142" i="118"/>
  <c r="T142" i="118"/>
  <c r="S142" i="118"/>
  <c r="R142" i="118"/>
  <c r="X141" i="118"/>
  <c r="W141" i="118"/>
  <c r="V141" i="118"/>
  <c r="U141" i="118"/>
  <c r="T141" i="118"/>
  <c r="S141" i="118"/>
  <c r="R141" i="118"/>
  <c r="X140" i="118"/>
  <c r="W140" i="118"/>
  <c r="V140" i="118"/>
  <c r="U140" i="118"/>
  <c r="T140" i="118"/>
  <c r="S140" i="118"/>
  <c r="R140" i="118"/>
  <c r="X139" i="118"/>
  <c r="W139" i="118"/>
  <c r="V139" i="118"/>
  <c r="U139" i="118"/>
  <c r="T139" i="118"/>
  <c r="S139" i="118"/>
  <c r="R139" i="118"/>
  <c r="X138" i="118"/>
  <c r="W138" i="118"/>
  <c r="V138" i="118"/>
  <c r="U138" i="118"/>
  <c r="T138" i="118"/>
  <c r="S138" i="118"/>
  <c r="R138" i="118"/>
  <c r="X137" i="118"/>
  <c r="W137" i="118"/>
  <c r="V137" i="118"/>
  <c r="U137" i="118"/>
  <c r="T137" i="118"/>
  <c r="S137" i="118"/>
  <c r="R137" i="118"/>
  <c r="X136" i="118"/>
  <c r="W136" i="118"/>
  <c r="V136" i="118"/>
  <c r="U136" i="118"/>
  <c r="T136" i="118"/>
  <c r="S136" i="118"/>
  <c r="R136" i="118"/>
  <c r="X135" i="118"/>
  <c r="W135" i="118"/>
  <c r="V135" i="118"/>
  <c r="U135" i="118"/>
  <c r="T135" i="118"/>
  <c r="S135" i="118"/>
  <c r="R135" i="118"/>
  <c r="X134" i="118"/>
  <c r="W134" i="118"/>
  <c r="V134" i="118"/>
  <c r="U134" i="118"/>
  <c r="T134" i="118"/>
  <c r="S134" i="118"/>
  <c r="R134" i="118"/>
  <c r="X133" i="118"/>
  <c r="W133" i="118"/>
  <c r="V133" i="118"/>
  <c r="U133" i="118"/>
  <c r="T133" i="118"/>
  <c r="S133" i="118"/>
  <c r="R133" i="118"/>
  <c r="X132" i="118"/>
  <c r="W132" i="118"/>
  <c r="V132" i="118"/>
  <c r="U132" i="118"/>
  <c r="T132" i="118"/>
  <c r="S132" i="118"/>
  <c r="R132" i="118"/>
  <c r="X131" i="118"/>
  <c r="W131" i="118"/>
  <c r="V131" i="118"/>
  <c r="U131" i="118"/>
  <c r="T131" i="118"/>
  <c r="S131" i="118"/>
  <c r="R131" i="118"/>
  <c r="X130" i="118"/>
  <c r="W130" i="118"/>
  <c r="V130" i="118"/>
  <c r="U130" i="118"/>
  <c r="T130" i="118"/>
  <c r="S130" i="118"/>
  <c r="R130" i="118"/>
  <c r="X129" i="118"/>
  <c r="W129" i="118"/>
  <c r="V129" i="118"/>
  <c r="U129" i="118"/>
  <c r="T129" i="118"/>
  <c r="S129" i="118"/>
  <c r="R129" i="118"/>
  <c r="X128" i="118"/>
  <c r="W128" i="118"/>
  <c r="V128" i="118"/>
  <c r="U128" i="118"/>
  <c r="T128" i="118"/>
  <c r="S128" i="118"/>
  <c r="R128" i="118"/>
  <c r="X127" i="118"/>
  <c r="W127" i="118"/>
  <c r="V127" i="118"/>
  <c r="U127" i="118"/>
  <c r="T127" i="118"/>
  <c r="S127" i="118"/>
  <c r="R127" i="118"/>
  <c r="X126" i="118"/>
  <c r="W126" i="118"/>
  <c r="V126" i="118"/>
  <c r="U126" i="118"/>
  <c r="T126" i="118"/>
  <c r="S126" i="118"/>
  <c r="R126" i="118"/>
  <c r="X125" i="118"/>
  <c r="W125" i="118"/>
  <c r="V125" i="118"/>
  <c r="U125" i="118"/>
  <c r="T125" i="118"/>
  <c r="S125" i="118"/>
  <c r="R125" i="118"/>
  <c r="X124" i="118"/>
  <c r="W124" i="118"/>
  <c r="V124" i="118"/>
  <c r="U124" i="118"/>
  <c r="T124" i="118"/>
  <c r="S124" i="118"/>
  <c r="R124" i="118"/>
  <c r="X123" i="118"/>
  <c r="W123" i="118"/>
  <c r="V123" i="118"/>
  <c r="U123" i="118"/>
  <c r="T123" i="118"/>
  <c r="S123" i="118"/>
  <c r="R123" i="118"/>
  <c r="X122" i="118"/>
  <c r="W122" i="118"/>
  <c r="V122" i="118"/>
  <c r="U122" i="118"/>
  <c r="T122" i="118"/>
  <c r="S122" i="118"/>
  <c r="R122" i="118"/>
  <c r="X121" i="118"/>
  <c r="W121" i="118"/>
  <c r="V121" i="118"/>
  <c r="U121" i="118"/>
  <c r="T121" i="118"/>
  <c r="S121" i="118"/>
  <c r="R121" i="118"/>
  <c r="X120" i="118"/>
  <c r="W120" i="118"/>
  <c r="V120" i="118"/>
  <c r="U120" i="118"/>
  <c r="T120" i="118"/>
  <c r="S120" i="118"/>
  <c r="R120" i="118"/>
  <c r="X119" i="118"/>
  <c r="W119" i="118"/>
  <c r="V119" i="118"/>
  <c r="U119" i="118"/>
  <c r="T119" i="118"/>
  <c r="S119" i="118"/>
  <c r="R119" i="118"/>
  <c r="X118" i="118"/>
  <c r="W118" i="118"/>
  <c r="V118" i="118"/>
  <c r="U118" i="118"/>
  <c r="T118" i="118"/>
  <c r="S118" i="118"/>
  <c r="R118" i="118"/>
  <c r="X117" i="118"/>
  <c r="W117" i="118"/>
  <c r="V117" i="118"/>
  <c r="U117" i="118"/>
  <c r="T117" i="118"/>
  <c r="S117" i="118"/>
  <c r="R117" i="118"/>
  <c r="X116" i="118"/>
  <c r="W116" i="118"/>
  <c r="V116" i="118"/>
  <c r="U116" i="118"/>
  <c r="T116" i="118"/>
  <c r="S116" i="118"/>
  <c r="R116" i="118"/>
  <c r="X115" i="118"/>
  <c r="W115" i="118"/>
  <c r="V115" i="118"/>
  <c r="U115" i="118"/>
  <c r="T115" i="118"/>
  <c r="S115" i="118"/>
  <c r="R115" i="118"/>
  <c r="X114" i="118"/>
  <c r="W114" i="118"/>
  <c r="V114" i="118"/>
  <c r="U114" i="118"/>
  <c r="T114" i="118"/>
  <c r="S114" i="118"/>
  <c r="R114" i="118"/>
  <c r="X113" i="118"/>
  <c r="W113" i="118"/>
  <c r="V113" i="118"/>
  <c r="U113" i="118"/>
  <c r="T113" i="118"/>
  <c r="S113" i="118"/>
  <c r="R113" i="118"/>
  <c r="X112" i="118"/>
  <c r="W112" i="118"/>
  <c r="V112" i="118"/>
  <c r="U112" i="118"/>
  <c r="T112" i="118"/>
  <c r="S112" i="118"/>
  <c r="R112" i="118"/>
  <c r="X111" i="118"/>
  <c r="W111" i="118"/>
  <c r="V111" i="118"/>
  <c r="U111" i="118"/>
  <c r="T111" i="118"/>
  <c r="S111" i="118"/>
  <c r="R111" i="118"/>
  <c r="X110" i="118"/>
  <c r="W110" i="118"/>
  <c r="V110" i="118"/>
  <c r="U110" i="118"/>
  <c r="T110" i="118"/>
  <c r="S110" i="118"/>
  <c r="R110" i="118"/>
  <c r="X109" i="118"/>
  <c r="W109" i="118"/>
  <c r="V109" i="118"/>
  <c r="U109" i="118"/>
  <c r="T109" i="118"/>
  <c r="S109" i="118"/>
  <c r="R109" i="118"/>
  <c r="X108" i="118"/>
  <c r="W108" i="118"/>
  <c r="V108" i="118"/>
  <c r="U108" i="118"/>
  <c r="T108" i="118"/>
  <c r="S108" i="118"/>
  <c r="R108" i="118"/>
  <c r="X107" i="118"/>
  <c r="W107" i="118"/>
  <c r="V107" i="118"/>
  <c r="U107" i="118"/>
  <c r="T107" i="118"/>
  <c r="S107" i="118"/>
  <c r="R107" i="118"/>
  <c r="X106" i="118"/>
  <c r="W106" i="118"/>
  <c r="V106" i="118"/>
  <c r="U106" i="118"/>
  <c r="T106" i="118"/>
  <c r="S106" i="118"/>
  <c r="R106" i="118"/>
  <c r="X105" i="118"/>
  <c r="W105" i="118"/>
  <c r="V105" i="118"/>
  <c r="U105" i="118"/>
  <c r="T105" i="118"/>
  <c r="S105" i="118"/>
  <c r="R105" i="118"/>
  <c r="X104" i="118"/>
  <c r="W104" i="118"/>
  <c r="V104" i="118"/>
  <c r="U104" i="118"/>
  <c r="T104" i="118"/>
  <c r="S104" i="118"/>
  <c r="R104" i="118"/>
  <c r="X103" i="118"/>
  <c r="W103" i="118"/>
  <c r="V103" i="118"/>
  <c r="U103" i="118"/>
  <c r="T103" i="118"/>
  <c r="S103" i="118"/>
  <c r="R103" i="118"/>
  <c r="X102" i="118"/>
  <c r="W102" i="118"/>
  <c r="V102" i="118"/>
  <c r="U102" i="118"/>
  <c r="T102" i="118"/>
  <c r="S102" i="118"/>
  <c r="R102" i="118"/>
  <c r="X101" i="118"/>
  <c r="W101" i="118"/>
  <c r="V101" i="118"/>
  <c r="U101" i="118"/>
  <c r="T101" i="118"/>
  <c r="S101" i="118"/>
  <c r="R101" i="118"/>
  <c r="X100" i="118"/>
  <c r="W100" i="118"/>
  <c r="V100" i="118"/>
  <c r="U100" i="118"/>
  <c r="T100" i="118"/>
  <c r="S100" i="118"/>
  <c r="R100" i="118"/>
  <c r="X99" i="118"/>
  <c r="W99" i="118"/>
  <c r="V99" i="118"/>
  <c r="U99" i="118"/>
  <c r="T99" i="118"/>
  <c r="S99" i="118"/>
  <c r="R99" i="118"/>
  <c r="X98" i="118"/>
  <c r="W98" i="118"/>
  <c r="V98" i="118"/>
  <c r="U98" i="118"/>
  <c r="T98" i="118"/>
  <c r="S98" i="118"/>
  <c r="R98" i="118"/>
  <c r="X97" i="118"/>
  <c r="W97" i="118"/>
  <c r="V97" i="118"/>
  <c r="U97" i="118"/>
  <c r="T97" i="118"/>
  <c r="S97" i="118"/>
  <c r="R97" i="118"/>
  <c r="X96" i="118"/>
  <c r="W96" i="118"/>
  <c r="V96" i="118"/>
  <c r="U96" i="118"/>
  <c r="T96" i="118"/>
  <c r="S96" i="118"/>
  <c r="R96" i="118"/>
  <c r="X95" i="118"/>
  <c r="W95" i="118"/>
  <c r="V95" i="118"/>
  <c r="U95" i="118"/>
  <c r="T95" i="118"/>
  <c r="S95" i="118"/>
  <c r="R95" i="118"/>
  <c r="X94" i="118"/>
  <c r="W94" i="118"/>
  <c r="V94" i="118"/>
  <c r="U94" i="118"/>
  <c r="T94" i="118"/>
  <c r="S94" i="118"/>
  <c r="R94" i="118"/>
  <c r="X93" i="118"/>
  <c r="W93" i="118"/>
  <c r="V93" i="118"/>
  <c r="U93" i="118"/>
  <c r="T93" i="118"/>
  <c r="S93" i="118"/>
  <c r="R93" i="118"/>
  <c r="X92" i="118"/>
  <c r="W92" i="118"/>
  <c r="V92" i="118"/>
  <c r="U92" i="118"/>
  <c r="T92" i="118"/>
  <c r="S92" i="118"/>
  <c r="R92" i="118"/>
  <c r="X91" i="118"/>
  <c r="W91" i="118"/>
  <c r="V91" i="118"/>
  <c r="U91" i="118"/>
  <c r="T91" i="118"/>
  <c r="S91" i="118"/>
  <c r="R91" i="118"/>
  <c r="X90" i="118"/>
  <c r="W90" i="118"/>
  <c r="V90" i="118"/>
  <c r="U90" i="118"/>
  <c r="T90" i="118"/>
  <c r="S90" i="118"/>
  <c r="R90" i="118"/>
  <c r="X89" i="118"/>
  <c r="W89" i="118"/>
  <c r="V89" i="118"/>
  <c r="U89" i="118"/>
  <c r="T89" i="118"/>
  <c r="S89" i="118"/>
  <c r="R89" i="118"/>
  <c r="X88" i="118"/>
  <c r="W88" i="118"/>
  <c r="V88" i="118"/>
  <c r="U88" i="118"/>
  <c r="T88" i="118"/>
  <c r="S88" i="118"/>
  <c r="R88" i="118"/>
  <c r="X87" i="118"/>
  <c r="W87" i="118"/>
  <c r="V87" i="118"/>
  <c r="U87" i="118"/>
  <c r="T87" i="118"/>
  <c r="S87" i="118"/>
  <c r="R87" i="118"/>
  <c r="X86" i="118"/>
  <c r="W86" i="118"/>
  <c r="V86" i="118"/>
  <c r="U86" i="118"/>
  <c r="T86" i="118"/>
  <c r="S86" i="118"/>
  <c r="R86" i="118"/>
  <c r="X85" i="118"/>
  <c r="W85" i="118"/>
  <c r="V85" i="118"/>
  <c r="U85" i="118"/>
  <c r="T85" i="118"/>
  <c r="S85" i="118"/>
  <c r="R85" i="118"/>
  <c r="X84" i="118"/>
  <c r="W84" i="118"/>
  <c r="V84" i="118"/>
  <c r="U84" i="118"/>
  <c r="T84" i="118"/>
  <c r="S84" i="118"/>
  <c r="R84" i="118"/>
  <c r="X83" i="118"/>
  <c r="W83" i="118"/>
  <c r="V83" i="118"/>
  <c r="U83" i="118"/>
  <c r="T83" i="118"/>
  <c r="S83" i="118"/>
  <c r="R83" i="118"/>
  <c r="X82" i="118"/>
  <c r="W82" i="118"/>
  <c r="V82" i="118"/>
  <c r="U82" i="118"/>
  <c r="T82" i="118"/>
  <c r="S82" i="118"/>
  <c r="R82" i="118"/>
  <c r="X81" i="118"/>
  <c r="W81" i="118"/>
  <c r="V81" i="118"/>
  <c r="U81" i="118"/>
  <c r="T81" i="118"/>
  <c r="S81" i="118"/>
  <c r="R81" i="118"/>
  <c r="X80" i="118"/>
  <c r="W80" i="118"/>
  <c r="V80" i="118"/>
  <c r="U80" i="118"/>
  <c r="T80" i="118"/>
  <c r="S80" i="118"/>
  <c r="R80" i="118"/>
  <c r="X79" i="118"/>
  <c r="W79" i="118"/>
  <c r="V79" i="118"/>
  <c r="U79" i="118"/>
  <c r="T79" i="118"/>
  <c r="S79" i="118"/>
  <c r="R79" i="118"/>
  <c r="X78" i="118"/>
  <c r="W78" i="118"/>
  <c r="V78" i="118"/>
  <c r="U78" i="118"/>
  <c r="T78" i="118"/>
  <c r="S78" i="118"/>
  <c r="R78" i="118"/>
  <c r="X77" i="118"/>
  <c r="W77" i="118"/>
  <c r="V77" i="118"/>
  <c r="U77" i="118"/>
  <c r="T77" i="118"/>
  <c r="S77" i="118"/>
  <c r="R77" i="118"/>
  <c r="X76" i="118"/>
  <c r="W76" i="118"/>
  <c r="V76" i="118"/>
  <c r="U76" i="118"/>
  <c r="T76" i="118"/>
  <c r="S76" i="118"/>
  <c r="R76" i="118"/>
  <c r="X75" i="118"/>
  <c r="W75" i="118"/>
  <c r="V75" i="118"/>
  <c r="U75" i="118"/>
  <c r="T75" i="118"/>
  <c r="S75" i="118"/>
  <c r="R75" i="118"/>
  <c r="X74" i="118"/>
  <c r="W74" i="118"/>
  <c r="V74" i="118"/>
  <c r="U74" i="118"/>
  <c r="T74" i="118"/>
  <c r="S74" i="118"/>
  <c r="R74" i="118"/>
  <c r="X73" i="118"/>
  <c r="W73" i="118"/>
  <c r="V73" i="118"/>
  <c r="U73" i="118"/>
  <c r="T73" i="118"/>
  <c r="S73" i="118"/>
  <c r="R73" i="118"/>
  <c r="X72" i="118"/>
  <c r="W72" i="118"/>
  <c r="V72" i="118"/>
  <c r="U72" i="118"/>
  <c r="T72" i="118"/>
  <c r="S72" i="118"/>
  <c r="R72" i="118"/>
  <c r="X71" i="118"/>
  <c r="W71" i="118"/>
  <c r="V71" i="118"/>
  <c r="U71" i="118"/>
  <c r="T71" i="118"/>
  <c r="S71" i="118"/>
  <c r="R71" i="118"/>
  <c r="X70" i="118"/>
  <c r="W70" i="118"/>
  <c r="V70" i="118"/>
  <c r="U70" i="118"/>
  <c r="T70" i="118"/>
  <c r="S70" i="118"/>
  <c r="R70" i="118"/>
  <c r="X69" i="118"/>
  <c r="W69" i="118"/>
  <c r="V69" i="118"/>
  <c r="U69" i="118"/>
  <c r="T69" i="118"/>
  <c r="S69" i="118"/>
  <c r="R69" i="118"/>
  <c r="X68" i="118"/>
  <c r="W68" i="118"/>
  <c r="V68" i="118"/>
  <c r="U68" i="118"/>
  <c r="T68" i="118"/>
  <c r="S68" i="118"/>
  <c r="R68" i="118"/>
  <c r="X67" i="118"/>
  <c r="W67" i="118"/>
  <c r="V67" i="118"/>
  <c r="U67" i="118"/>
  <c r="T67" i="118"/>
  <c r="S67" i="118"/>
  <c r="R67" i="118"/>
  <c r="X66" i="118"/>
  <c r="W66" i="118"/>
  <c r="V66" i="118"/>
  <c r="U66" i="118"/>
  <c r="T66" i="118"/>
  <c r="S66" i="118"/>
  <c r="R66" i="118"/>
  <c r="X65" i="118"/>
  <c r="W65" i="118"/>
  <c r="V65" i="118"/>
  <c r="U65" i="118"/>
  <c r="T65" i="118"/>
  <c r="S65" i="118"/>
  <c r="R65" i="118"/>
  <c r="X64" i="118"/>
  <c r="W64" i="118"/>
  <c r="V64" i="118"/>
  <c r="U64" i="118"/>
  <c r="T64" i="118"/>
  <c r="S64" i="118"/>
  <c r="R64" i="118"/>
  <c r="X63" i="118"/>
  <c r="W63" i="118"/>
  <c r="V63" i="118"/>
  <c r="U63" i="118"/>
  <c r="T63" i="118"/>
  <c r="S63" i="118"/>
  <c r="R63" i="118"/>
  <c r="X62" i="118"/>
  <c r="W62" i="118"/>
  <c r="V62" i="118"/>
  <c r="U62" i="118"/>
  <c r="T62" i="118"/>
  <c r="S62" i="118"/>
  <c r="R62" i="118"/>
  <c r="X61" i="118"/>
  <c r="W61" i="118"/>
  <c r="V61" i="118"/>
  <c r="U61" i="118"/>
  <c r="T61" i="118"/>
  <c r="S61" i="118"/>
  <c r="R61" i="118"/>
  <c r="X60" i="118"/>
  <c r="W60" i="118"/>
  <c r="V60" i="118"/>
  <c r="U60" i="118"/>
  <c r="T60" i="118"/>
  <c r="S60" i="118"/>
  <c r="R60" i="118"/>
  <c r="X59" i="118"/>
  <c r="W59" i="118"/>
  <c r="V59" i="118"/>
  <c r="U59" i="118"/>
  <c r="T59" i="118"/>
  <c r="S59" i="118"/>
  <c r="R59" i="118"/>
  <c r="X58" i="118"/>
  <c r="W58" i="118"/>
  <c r="V58" i="118"/>
  <c r="U58" i="118"/>
  <c r="T58" i="118"/>
  <c r="S58" i="118"/>
  <c r="R58" i="118"/>
  <c r="X57" i="118"/>
  <c r="W57" i="118"/>
  <c r="V57" i="118"/>
  <c r="U57" i="118"/>
  <c r="T57" i="118"/>
  <c r="S57" i="118"/>
  <c r="R57" i="118"/>
  <c r="X56" i="118"/>
  <c r="W56" i="118"/>
  <c r="V56" i="118"/>
  <c r="U56" i="118"/>
  <c r="T56" i="118"/>
  <c r="S56" i="118"/>
  <c r="R56" i="118"/>
  <c r="X55" i="118"/>
  <c r="W55" i="118"/>
  <c r="V55" i="118"/>
  <c r="U55" i="118"/>
  <c r="T55" i="118"/>
  <c r="S55" i="118"/>
  <c r="R55" i="118"/>
  <c r="X54" i="118"/>
  <c r="W54" i="118"/>
  <c r="V54" i="118"/>
  <c r="U54" i="118"/>
  <c r="T54" i="118"/>
  <c r="S54" i="118"/>
  <c r="R54" i="118"/>
  <c r="X53" i="118"/>
  <c r="W53" i="118"/>
  <c r="V53" i="118"/>
  <c r="U53" i="118"/>
  <c r="T53" i="118"/>
  <c r="S53" i="118"/>
  <c r="R53" i="118"/>
  <c r="X52" i="118"/>
  <c r="W52" i="118"/>
  <c r="V52" i="118"/>
  <c r="U52" i="118"/>
  <c r="T52" i="118"/>
  <c r="S52" i="118"/>
  <c r="R52" i="118"/>
  <c r="X51" i="118"/>
  <c r="W51" i="118"/>
  <c r="V51" i="118"/>
  <c r="U51" i="118"/>
  <c r="T51" i="118"/>
  <c r="S51" i="118"/>
  <c r="R51" i="118"/>
  <c r="X50" i="118"/>
  <c r="W50" i="118"/>
  <c r="V50" i="118"/>
  <c r="U50" i="118"/>
  <c r="T50" i="118"/>
  <c r="S50" i="118"/>
  <c r="R50" i="118"/>
  <c r="X49" i="118"/>
  <c r="W49" i="118"/>
  <c r="V49" i="118"/>
  <c r="U49" i="118"/>
  <c r="T49" i="118"/>
  <c r="S49" i="118"/>
  <c r="R49" i="118"/>
  <c r="X48" i="118"/>
  <c r="W48" i="118"/>
  <c r="V48" i="118"/>
  <c r="U48" i="118"/>
  <c r="T48" i="118"/>
  <c r="S48" i="118"/>
  <c r="R48" i="118"/>
  <c r="X47" i="118"/>
  <c r="W47" i="118"/>
  <c r="V47" i="118"/>
  <c r="U47" i="118"/>
  <c r="T47" i="118"/>
  <c r="S47" i="118"/>
  <c r="R47" i="118"/>
  <c r="X46" i="118"/>
  <c r="W46" i="118"/>
  <c r="V46" i="118"/>
  <c r="U46" i="118"/>
  <c r="T46" i="118"/>
  <c r="S46" i="118"/>
  <c r="R46" i="118"/>
  <c r="X45" i="118"/>
  <c r="W45" i="118"/>
  <c r="V45" i="118"/>
  <c r="U45" i="118"/>
  <c r="T45" i="118"/>
  <c r="S45" i="118"/>
  <c r="R45" i="118"/>
  <c r="X44" i="118"/>
  <c r="W44" i="118"/>
  <c r="V44" i="118"/>
  <c r="U44" i="118"/>
  <c r="T44" i="118"/>
  <c r="S44" i="118"/>
  <c r="R44" i="118"/>
  <c r="X43" i="118"/>
  <c r="W43" i="118"/>
  <c r="V43" i="118"/>
  <c r="U43" i="118"/>
  <c r="T43" i="118"/>
  <c r="S43" i="118"/>
  <c r="R43" i="118"/>
  <c r="X42" i="118"/>
  <c r="W42" i="118"/>
  <c r="V42" i="118"/>
  <c r="U42" i="118"/>
  <c r="T42" i="118"/>
  <c r="S42" i="118"/>
  <c r="R42" i="118"/>
  <c r="X41" i="118"/>
  <c r="W41" i="118"/>
  <c r="V41" i="118"/>
  <c r="U41" i="118"/>
  <c r="T41" i="118"/>
  <c r="S41" i="118"/>
  <c r="R41" i="118"/>
  <c r="X40" i="118"/>
  <c r="W40" i="118"/>
  <c r="V40" i="118"/>
  <c r="U40" i="118"/>
  <c r="T40" i="118"/>
  <c r="S40" i="118"/>
  <c r="R40" i="118"/>
  <c r="X39" i="118"/>
  <c r="W39" i="118"/>
  <c r="V39" i="118"/>
  <c r="U39" i="118"/>
  <c r="T39" i="118"/>
  <c r="S39" i="118"/>
  <c r="R39" i="118"/>
  <c r="X38" i="118"/>
  <c r="W38" i="118"/>
  <c r="V38" i="118"/>
  <c r="U38" i="118"/>
  <c r="T38" i="118"/>
  <c r="S38" i="118"/>
  <c r="R38" i="118"/>
  <c r="X37" i="118"/>
  <c r="W37" i="118"/>
  <c r="V37" i="118"/>
  <c r="U37" i="118"/>
  <c r="T37" i="118"/>
  <c r="S37" i="118"/>
  <c r="R37" i="118"/>
  <c r="X36" i="118"/>
  <c r="W36" i="118"/>
  <c r="V36" i="118"/>
  <c r="U36" i="118"/>
  <c r="T36" i="118"/>
  <c r="S36" i="118"/>
  <c r="R36" i="118"/>
  <c r="X35" i="118"/>
  <c r="W35" i="118"/>
  <c r="V35" i="118"/>
  <c r="U35" i="118"/>
  <c r="T35" i="118"/>
  <c r="S35" i="118"/>
  <c r="R35" i="118"/>
  <c r="U34" i="118"/>
  <c r="T34" i="118"/>
  <c r="S34" i="118"/>
  <c r="R34" i="118"/>
  <c r="X33" i="118"/>
  <c r="W33" i="118"/>
  <c r="V33" i="118"/>
  <c r="U33" i="118"/>
  <c r="T33" i="118"/>
  <c r="S33" i="118"/>
  <c r="R33" i="118"/>
  <c r="Q33" i="118"/>
  <c r="P33" i="118"/>
  <c r="O33" i="118"/>
  <c r="X32" i="118"/>
  <c r="W32" i="118"/>
  <c r="V32" i="118"/>
  <c r="U32" i="118"/>
  <c r="T32" i="118"/>
  <c r="S32" i="118"/>
  <c r="R32" i="118"/>
  <c r="Q32" i="118"/>
  <c r="P32" i="118"/>
  <c r="O32" i="118"/>
  <c r="X31" i="118"/>
  <c r="W31" i="118"/>
  <c r="V31" i="118"/>
  <c r="U31" i="118"/>
  <c r="T31" i="118"/>
  <c r="S31" i="118"/>
  <c r="R31" i="118"/>
  <c r="Q31" i="118"/>
  <c r="P31" i="118"/>
  <c r="O31" i="118"/>
  <c r="X30" i="118"/>
  <c r="W30" i="118"/>
  <c r="V30" i="118"/>
  <c r="U30" i="118"/>
  <c r="T30" i="118"/>
  <c r="S30" i="118"/>
  <c r="R30" i="118"/>
  <c r="Q30" i="118"/>
  <c r="P30" i="118"/>
  <c r="O30" i="118"/>
  <c r="X29" i="118"/>
  <c r="W29" i="118"/>
  <c r="V29" i="118"/>
  <c r="U29" i="118"/>
  <c r="T29" i="118"/>
  <c r="S29" i="118"/>
  <c r="R29" i="118"/>
  <c r="Q29" i="118"/>
  <c r="P29" i="118"/>
  <c r="O29" i="118"/>
  <c r="X28" i="118"/>
  <c r="W28" i="118"/>
  <c r="V28" i="118"/>
  <c r="U28" i="118"/>
  <c r="T28" i="118"/>
  <c r="S28" i="118"/>
  <c r="R28" i="118"/>
  <c r="Q28" i="118"/>
  <c r="P28" i="118"/>
  <c r="O28" i="118"/>
  <c r="X27" i="118"/>
  <c r="W27" i="118"/>
  <c r="V27" i="118"/>
  <c r="U27" i="118"/>
  <c r="T27" i="118"/>
  <c r="S27" i="118"/>
  <c r="Q27" i="118"/>
  <c r="P27" i="118"/>
  <c r="O27" i="118"/>
  <c r="X26" i="118"/>
  <c r="W26" i="118"/>
  <c r="V26" i="118"/>
  <c r="U26" i="118"/>
  <c r="T26" i="118"/>
  <c r="S26" i="118"/>
  <c r="Q26" i="118"/>
  <c r="P26" i="118"/>
  <c r="O26" i="118"/>
  <c r="X25" i="118"/>
  <c r="W25" i="118"/>
  <c r="V25" i="118"/>
  <c r="U25" i="118"/>
  <c r="T25" i="118"/>
  <c r="S25" i="118"/>
  <c r="R25" i="118"/>
  <c r="Q25" i="118"/>
  <c r="P25" i="118"/>
  <c r="O25" i="118"/>
  <c r="X24" i="118"/>
  <c r="W24" i="118"/>
  <c r="V24" i="118"/>
  <c r="U24" i="118"/>
  <c r="T24" i="118"/>
  <c r="S24" i="118"/>
  <c r="R24" i="118"/>
  <c r="Q24" i="118"/>
  <c r="P24" i="118"/>
  <c r="O24" i="118"/>
  <c r="X23" i="118"/>
  <c r="W23" i="118"/>
  <c r="V23" i="118"/>
  <c r="U23" i="118"/>
  <c r="T23" i="118"/>
  <c r="S23" i="118"/>
  <c r="R23" i="118"/>
  <c r="Q23" i="118"/>
  <c r="P23" i="118"/>
  <c r="O23" i="118"/>
  <c r="X22" i="118"/>
  <c r="W22" i="118"/>
  <c r="V22" i="118"/>
  <c r="U22" i="118"/>
  <c r="T22" i="118"/>
  <c r="S22" i="118"/>
  <c r="R22" i="118"/>
  <c r="Q22" i="118"/>
  <c r="P22" i="118"/>
  <c r="O22" i="118"/>
  <c r="X21" i="118"/>
  <c r="W21" i="118"/>
  <c r="V21" i="118"/>
  <c r="U21" i="118"/>
  <c r="T21" i="118"/>
  <c r="S21" i="118"/>
  <c r="R21" i="118"/>
  <c r="Q21" i="118"/>
  <c r="P21" i="118"/>
  <c r="O21" i="118"/>
  <c r="X20" i="118"/>
  <c r="W20" i="118"/>
  <c r="V20" i="118"/>
  <c r="U20" i="118"/>
  <c r="T20" i="118"/>
  <c r="S20" i="118"/>
  <c r="R20" i="118"/>
  <c r="Q20" i="118"/>
  <c r="P20" i="118"/>
  <c r="O20" i="118"/>
  <c r="X19" i="118"/>
  <c r="W19" i="118"/>
  <c r="V19" i="118"/>
  <c r="U19" i="118"/>
  <c r="T19" i="118"/>
  <c r="S19" i="118"/>
  <c r="R19" i="118"/>
  <c r="Q19" i="118"/>
  <c r="P19" i="118"/>
  <c r="O19" i="118"/>
  <c r="X18" i="118"/>
  <c r="W18" i="118"/>
  <c r="V18" i="118"/>
  <c r="U18" i="118"/>
  <c r="T18" i="118"/>
  <c r="S18" i="118"/>
  <c r="R18" i="118"/>
  <c r="Q18" i="118"/>
  <c r="P18" i="118"/>
  <c r="O18" i="118"/>
  <c r="X17" i="118"/>
  <c r="W17" i="118"/>
  <c r="V17" i="118"/>
  <c r="R17" i="118"/>
  <c r="Q17" i="118"/>
  <c r="P17" i="118"/>
  <c r="O17" i="118"/>
  <c r="R16" i="118"/>
  <c r="N16" i="118"/>
  <c r="M16" i="118"/>
  <c r="L16" i="118"/>
  <c r="W7" i="118"/>
  <c r="Y2" i="118"/>
  <c r="K40" i="37" l="1"/>
  <c r="K37" i="35"/>
  <c r="K40" i="33"/>
  <c r="K38" i="31"/>
  <c r="K35" i="28"/>
  <c r="K53" i="24"/>
  <c r="K66" i="20"/>
  <c r="K49" i="18" l="1"/>
  <c r="K58" i="16"/>
  <c r="K49" i="14"/>
  <c r="K59" i="11"/>
  <c r="K67" i="9"/>
  <c r="K47" i="7"/>
  <c r="K42" i="41" l="1"/>
  <c r="K35" i="39"/>
  <c r="K39" i="37" l="1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36" i="35"/>
  <c r="K40" i="35"/>
  <c r="K41" i="35"/>
  <c r="K42" i="35"/>
  <c r="K43" i="35"/>
  <c r="K44" i="35"/>
  <c r="K45" i="35"/>
  <c r="K46" i="35"/>
  <c r="K47" i="35"/>
  <c r="K48" i="35"/>
  <c r="K49" i="35"/>
  <c r="K50" i="35"/>
  <c r="K51" i="35"/>
  <c r="K52" i="35"/>
  <c r="K53" i="35"/>
  <c r="K54" i="35"/>
  <c r="K55" i="35"/>
  <c r="K56" i="35"/>
  <c r="K57" i="35"/>
  <c r="K58" i="35"/>
  <c r="K59" i="35"/>
  <c r="K60" i="35"/>
  <c r="K61" i="35"/>
  <c r="K62" i="35"/>
  <c r="K63" i="35"/>
  <c r="K64" i="35"/>
  <c r="K65" i="35"/>
  <c r="K66" i="35"/>
  <c r="K67" i="35"/>
  <c r="K68" i="35"/>
  <c r="K69" i="35"/>
  <c r="K70" i="35"/>
  <c r="K71" i="35"/>
  <c r="K72" i="35"/>
  <c r="K73" i="35"/>
  <c r="K74" i="35"/>
  <c r="K75" i="35"/>
  <c r="K76" i="35"/>
  <c r="K77" i="35"/>
  <c r="K78" i="35"/>
  <c r="K79" i="35"/>
  <c r="K80" i="35"/>
  <c r="K81" i="35"/>
  <c r="K82" i="35"/>
  <c r="K83" i="35"/>
  <c r="K84" i="35"/>
  <c r="K85" i="35"/>
  <c r="K86" i="35"/>
  <c r="K87" i="35"/>
  <c r="K88" i="35"/>
  <c r="K89" i="35"/>
  <c r="K90" i="35"/>
  <c r="K91" i="35"/>
  <c r="K92" i="35"/>
  <c r="K93" i="35"/>
  <c r="K94" i="35"/>
  <c r="K95" i="35"/>
  <c r="K96" i="35"/>
  <c r="K97" i="35"/>
  <c r="K98" i="35"/>
  <c r="K99" i="35"/>
  <c r="K100" i="35"/>
  <c r="K101" i="35"/>
  <c r="K102" i="35"/>
  <c r="K103" i="35"/>
  <c r="K104" i="35"/>
  <c r="K105" i="35"/>
  <c r="K106" i="35"/>
  <c r="K107" i="35"/>
  <c r="K108" i="35"/>
  <c r="K109" i="35"/>
  <c r="K110" i="35"/>
  <c r="K111" i="35"/>
  <c r="K112" i="35"/>
  <c r="K113" i="35"/>
  <c r="K114" i="35"/>
  <c r="K115" i="35"/>
  <c r="K116" i="35"/>
  <c r="K117" i="35"/>
  <c r="K118" i="35"/>
  <c r="K119" i="35"/>
  <c r="K120" i="35"/>
  <c r="K121" i="35"/>
  <c r="K122" i="35"/>
  <c r="K123" i="35"/>
  <c r="K124" i="35"/>
  <c r="K125" i="35"/>
  <c r="K126" i="35"/>
  <c r="K127" i="35"/>
  <c r="K128" i="35"/>
  <c r="K129" i="35"/>
  <c r="K130" i="35"/>
  <c r="K131" i="35"/>
  <c r="K132" i="35"/>
  <c r="K133" i="35"/>
  <c r="K134" i="35"/>
  <c r="K135" i="35"/>
  <c r="K136" i="35"/>
  <c r="K137" i="35"/>
  <c r="K138" i="35"/>
  <c r="K139" i="35"/>
  <c r="K140" i="35"/>
  <c r="K141" i="35"/>
  <c r="K142" i="35"/>
  <c r="K143" i="35"/>
  <c r="K144" i="35"/>
  <c r="K145" i="35"/>
  <c r="K146" i="35"/>
  <c r="K147" i="35"/>
  <c r="K148" i="35"/>
  <c r="K149" i="35"/>
  <c r="K150" i="35"/>
  <c r="K151" i="35"/>
  <c r="K152" i="35"/>
  <c r="K153" i="35"/>
  <c r="K39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37" i="31"/>
  <c r="K34" i="28"/>
  <c r="K65" i="20"/>
  <c r="K48" i="18" l="1"/>
  <c r="K57" i="16"/>
  <c r="K48" i="14"/>
  <c r="K58" i="11"/>
  <c r="K66" i="9"/>
  <c r="K46" i="7"/>
  <c r="K34" i="39" l="1"/>
  <c r="K41" i="41" l="1"/>
  <c r="K40" i="41" l="1"/>
  <c r="K33" i="39"/>
  <c r="Q35" i="41" l="1"/>
  <c r="Q36" i="41"/>
  <c r="Q37" i="41"/>
  <c r="Q38" i="41"/>
  <c r="Q39" i="41"/>
  <c r="Q40" i="41"/>
  <c r="Q41" i="41"/>
  <c r="Q42" i="41"/>
  <c r="Q43" i="41"/>
  <c r="Q44" i="41"/>
  <c r="O45" i="41"/>
  <c r="P45" i="41"/>
  <c r="Q45" i="41"/>
  <c r="O46" i="41"/>
  <c r="P46" i="41"/>
  <c r="Q46" i="41"/>
  <c r="O47" i="41"/>
  <c r="P47" i="41"/>
  <c r="Q47" i="41"/>
  <c r="O48" i="41"/>
  <c r="P48" i="41"/>
  <c r="Q48" i="41"/>
  <c r="O49" i="41"/>
  <c r="P49" i="41"/>
  <c r="Q49" i="41"/>
  <c r="O50" i="41"/>
  <c r="P50" i="41"/>
  <c r="Q50" i="41"/>
  <c r="O51" i="41"/>
  <c r="P51" i="41"/>
  <c r="Q51" i="41"/>
  <c r="O52" i="41"/>
  <c r="P52" i="41"/>
  <c r="Q52" i="41"/>
  <c r="O53" i="41"/>
  <c r="P53" i="41"/>
  <c r="Q53" i="41"/>
  <c r="O54" i="41"/>
  <c r="P54" i="41"/>
  <c r="Q54" i="41"/>
  <c r="O55" i="41"/>
  <c r="P55" i="41"/>
  <c r="Q55" i="41"/>
  <c r="O56" i="41"/>
  <c r="P56" i="41"/>
  <c r="Q56" i="41"/>
  <c r="O57" i="41"/>
  <c r="P57" i="41"/>
  <c r="Q57" i="41"/>
  <c r="O58" i="41"/>
  <c r="P58" i="41"/>
  <c r="Q58" i="41"/>
  <c r="O59" i="41"/>
  <c r="P59" i="41"/>
  <c r="Q59" i="41"/>
  <c r="O60" i="41"/>
  <c r="P60" i="41"/>
  <c r="Q60" i="41"/>
  <c r="O61" i="41"/>
  <c r="P61" i="41"/>
  <c r="Q61" i="41"/>
  <c r="O62" i="41"/>
  <c r="P62" i="41"/>
  <c r="Q62" i="41"/>
  <c r="O63" i="41"/>
  <c r="P63" i="41"/>
  <c r="Q63" i="41"/>
  <c r="O64" i="41"/>
  <c r="P64" i="41"/>
  <c r="Q64" i="41"/>
  <c r="O65" i="41"/>
  <c r="P65" i="41"/>
  <c r="Q65" i="41"/>
  <c r="O66" i="41"/>
  <c r="P66" i="41"/>
  <c r="Q66" i="41"/>
  <c r="O67" i="41"/>
  <c r="P67" i="41"/>
  <c r="Q67" i="41"/>
  <c r="O68" i="41"/>
  <c r="P68" i="41"/>
  <c r="Q68" i="41"/>
  <c r="O69" i="41"/>
  <c r="P69" i="41"/>
  <c r="Q69" i="41"/>
  <c r="O70" i="41"/>
  <c r="P70" i="41"/>
  <c r="Q70" i="41"/>
  <c r="O71" i="41"/>
  <c r="P71" i="41"/>
  <c r="Q71" i="41"/>
  <c r="O72" i="41"/>
  <c r="P72" i="41"/>
  <c r="Q72" i="41"/>
  <c r="O73" i="41"/>
  <c r="P73" i="41"/>
  <c r="Q73" i="41"/>
  <c r="O74" i="41"/>
  <c r="P74" i="41"/>
  <c r="Q74" i="41"/>
  <c r="O75" i="41"/>
  <c r="P75" i="41"/>
  <c r="Q75" i="41"/>
  <c r="O76" i="41"/>
  <c r="P76" i="41"/>
  <c r="Q76" i="41"/>
  <c r="O77" i="41"/>
  <c r="P77" i="41"/>
  <c r="Q77" i="41"/>
  <c r="O78" i="41"/>
  <c r="P78" i="41"/>
  <c r="Q78" i="41"/>
  <c r="O79" i="41"/>
  <c r="P79" i="41"/>
  <c r="Q79" i="41"/>
  <c r="O80" i="41"/>
  <c r="P80" i="41"/>
  <c r="Q80" i="41"/>
  <c r="O81" i="41"/>
  <c r="P81" i="41"/>
  <c r="Q81" i="41"/>
  <c r="O82" i="41"/>
  <c r="P82" i="41"/>
  <c r="Q82" i="41"/>
  <c r="O83" i="41"/>
  <c r="P83" i="41"/>
  <c r="Q83" i="41"/>
  <c r="O84" i="41"/>
  <c r="P84" i="41"/>
  <c r="Q84" i="41"/>
  <c r="O85" i="41"/>
  <c r="P85" i="41"/>
  <c r="Q85" i="41"/>
  <c r="O86" i="41"/>
  <c r="P86" i="41"/>
  <c r="Q86" i="41"/>
  <c r="O87" i="41"/>
  <c r="P87" i="41"/>
  <c r="Q87" i="41"/>
  <c r="O88" i="41"/>
  <c r="P88" i="41"/>
  <c r="Q88" i="41"/>
  <c r="O89" i="41"/>
  <c r="P89" i="41"/>
  <c r="Q89" i="41"/>
  <c r="O90" i="41"/>
  <c r="P90" i="41"/>
  <c r="Q90" i="41"/>
  <c r="O91" i="41"/>
  <c r="P91" i="41"/>
  <c r="Q91" i="41"/>
  <c r="O92" i="41"/>
  <c r="P92" i="41"/>
  <c r="Q92" i="41"/>
  <c r="O93" i="41"/>
  <c r="P93" i="41"/>
  <c r="Q93" i="41"/>
  <c r="O94" i="41"/>
  <c r="P94" i="41"/>
  <c r="Q94" i="41"/>
  <c r="O95" i="41"/>
  <c r="P95" i="41"/>
  <c r="Q95" i="41"/>
  <c r="O96" i="41"/>
  <c r="P96" i="41"/>
  <c r="Q96" i="41"/>
  <c r="O97" i="41"/>
  <c r="P97" i="41"/>
  <c r="Q97" i="41"/>
  <c r="O98" i="41"/>
  <c r="P98" i="41"/>
  <c r="Q98" i="41"/>
  <c r="O99" i="41"/>
  <c r="P99" i="41"/>
  <c r="Q99" i="41"/>
  <c r="O100" i="41"/>
  <c r="P100" i="41"/>
  <c r="Q100" i="41"/>
  <c r="O101" i="41"/>
  <c r="P101" i="41"/>
  <c r="Q101" i="41"/>
  <c r="O102" i="41"/>
  <c r="P102" i="41"/>
  <c r="Q102" i="41"/>
  <c r="O103" i="41"/>
  <c r="P103" i="41"/>
  <c r="Q103" i="41"/>
  <c r="O104" i="41"/>
  <c r="P104" i="41"/>
  <c r="Q104" i="41"/>
  <c r="O105" i="41"/>
  <c r="P105" i="41"/>
  <c r="Q105" i="41"/>
  <c r="O106" i="41"/>
  <c r="P106" i="41"/>
  <c r="Q106" i="41"/>
  <c r="O107" i="41"/>
  <c r="P107" i="41"/>
  <c r="Q107" i="41"/>
  <c r="O108" i="41"/>
  <c r="P108" i="41"/>
  <c r="Q108" i="41"/>
  <c r="O109" i="41"/>
  <c r="P109" i="41"/>
  <c r="Q109" i="41"/>
  <c r="O110" i="41"/>
  <c r="P110" i="41"/>
  <c r="Q110" i="41"/>
  <c r="O111" i="41"/>
  <c r="P111" i="41"/>
  <c r="Q111" i="41"/>
  <c r="O112" i="41"/>
  <c r="P112" i="41"/>
  <c r="Q112" i="41"/>
  <c r="O113" i="41"/>
  <c r="P113" i="41"/>
  <c r="Q113" i="41"/>
  <c r="O114" i="41"/>
  <c r="P114" i="41"/>
  <c r="Q114" i="41"/>
  <c r="O115" i="41"/>
  <c r="P115" i="41"/>
  <c r="Q115" i="41"/>
  <c r="O116" i="41"/>
  <c r="P116" i="41"/>
  <c r="Q116" i="41"/>
  <c r="O117" i="41"/>
  <c r="P117" i="41"/>
  <c r="Q117" i="41"/>
  <c r="O118" i="41"/>
  <c r="P118" i="41"/>
  <c r="Q118" i="41"/>
  <c r="O119" i="41"/>
  <c r="P119" i="41"/>
  <c r="Q119" i="41"/>
  <c r="O120" i="41"/>
  <c r="P120" i="41"/>
  <c r="Q120" i="41"/>
  <c r="O121" i="41"/>
  <c r="P121" i="41"/>
  <c r="Q121" i="41"/>
  <c r="O122" i="41"/>
  <c r="P122" i="41"/>
  <c r="Q122" i="41"/>
  <c r="O123" i="41"/>
  <c r="P123" i="41"/>
  <c r="Q123" i="41"/>
  <c r="O124" i="41"/>
  <c r="P124" i="41"/>
  <c r="Q124" i="41"/>
  <c r="O125" i="41"/>
  <c r="P125" i="41"/>
  <c r="Q125" i="41"/>
  <c r="O126" i="41"/>
  <c r="P126" i="41"/>
  <c r="Q126" i="41"/>
  <c r="O127" i="41"/>
  <c r="P127" i="41"/>
  <c r="Q127" i="41"/>
  <c r="O128" i="41"/>
  <c r="P128" i="41"/>
  <c r="Q128" i="41"/>
  <c r="O129" i="41"/>
  <c r="P129" i="41"/>
  <c r="Q129" i="41"/>
  <c r="O130" i="41"/>
  <c r="P130" i="41"/>
  <c r="Q130" i="41"/>
  <c r="O131" i="41"/>
  <c r="P131" i="41"/>
  <c r="Q131" i="41"/>
  <c r="O132" i="41"/>
  <c r="P132" i="41"/>
  <c r="Q132" i="41"/>
  <c r="O133" i="41"/>
  <c r="P133" i="41"/>
  <c r="Q133" i="41"/>
  <c r="O134" i="41"/>
  <c r="P134" i="41"/>
  <c r="Q134" i="41"/>
  <c r="O135" i="41"/>
  <c r="P135" i="41"/>
  <c r="Q135" i="41"/>
  <c r="O136" i="41"/>
  <c r="P136" i="41"/>
  <c r="Q136" i="41"/>
  <c r="O137" i="41"/>
  <c r="P137" i="41"/>
  <c r="Q137" i="41"/>
  <c r="O138" i="41"/>
  <c r="P138" i="41"/>
  <c r="Q138" i="41"/>
  <c r="O139" i="41"/>
  <c r="P139" i="41"/>
  <c r="Q139" i="41"/>
  <c r="O140" i="41"/>
  <c r="P140" i="41"/>
  <c r="Q140" i="41"/>
  <c r="O141" i="41"/>
  <c r="P141" i="41"/>
  <c r="Q141" i="41"/>
  <c r="O142" i="41"/>
  <c r="P142" i="41"/>
  <c r="Q142" i="41"/>
  <c r="O143" i="41"/>
  <c r="P143" i="41"/>
  <c r="Q143" i="41"/>
  <c r="O144" i="41"/>
  <c r="P144" i="41"/>
  <c r="Q144" i="41"/>
  <c r="O145" i="41"/>
  <c r="P145" i="41"/>
  <c r="Q145" i="41"/>
  <c r="O146" i="41"/>
  <c r="P146" i="41"/>
  <c r="Q146" i="41"/>
  <c r="O147" i="41"/>
  <c r="P147" i="41"/>
  <c r="Q147" i="41"/>
  <c r="O148" i="41"/>
  <c r="P148" i="41"/>
  <c r="Q148" i="41"/>
  <c r="O149" i="41"/>
  <c r="P149" i="41"/>
  <c r="Q149" i="41"/>
  <c r="O150" i="41"/>
  <c r="P150" i="41"/>
  <c r="Q150" i="41"/>
  <c r="O151" i="41"/>
  <c r="P151" i="41"/>
  <c r="Q151" i="41"/>
  <c r="O152" i="41"/>
  <c r="P152" i="41"/>
  <c r="Q152" i="41"/>
  <c r="O153" i="41"/>
  <c r="P153" i="41"/>
  <c r="Q153" i="41"/>
  <c r="Q34" i="41"/>
  <c r="M35" i="41"/>
  <c r="N35" i="41"/>
  <c r="M36" i="41"/>
  <c r="N36" i="41"/>
  <c r="M37" i="41"/>
  <c r="N37" i="41"/>
  <c r="M38" i="41"/>
  <c r="N38" i="41"/>
  <c r="M39" i="41"/>
  <c r="N39" i="41"/>
  <c r="M40" i="41"/>
  <c r="N40" i="41"/>
  <c r="M41" i="41"/>
  <c r="N41" i="41"/>
  <c r="M42" i="41"/>
  <c r="N42" i="41"/>
  <c r="L43" i="41"/>
  <c r="M43" i="41"/>
  <c r="N43" i="41"/>
  <c r="L44" i="41"/>
  <c r="M44" i="41"/>
  <c r="N44" i="41"/>
  <c r="L45" i="41"/>
  <c r="M45" i="41"/>
  <c r="N45" i="41"/>
  <c r="L46" i="41"/>
  <c r="M46" i="41"/>
  <c r="N46" i="41"/>
  <c r="L47" i="41"/>
  <c r="M47" i="41"/>
  <c r="N47" i="41"/>
  <c r="L48" i="41"/>
  <c r="M48" i="41"/>
  <c r="N48" i="41"/>
  <c r="L49" i="41"/>
  <c r="M49" i="41"/>
  <c r="N49" i="41"/>
  <c r="L50" i="41"/>
  <c r="M50" i="41"/>
  <c r="N50" i="41"/>
  <c r="L51" i="41"/>
  <c r="M51" i="41"/>
  <c r="N51" i="41"/>
  <c r="L52" i="41"/>
  <c r="M52" i="41"/>
  <c r="N52" i="41"/>
  <c r="L53" i="41"/>
  <c r="M53" i="41"/>
  <c r="N53" i="41"/>
  <c r="L54" i="41"/>
  <c r="M54" i="41"/>
  <c r="N54" i="41"/>
  <c r="L55" i="41"/>
  <c r="M55" i="41"/>
  <c r="N55" i="41"/>
  <c r="L56" i="41"/>
  <c r="M56" i="41"/>
  <c r="N56" i="41"/>
  <c r="L57" i="41"/>
  <c r="M57" i="41"/>
  <c r="N57" i="41"/>
  <c r="L58" i="41"/>
  <c r="M58" i="41"/>
  <c r="N58" i="41"/>
  <c r="L59" i="41"/>
  <c r="M59" i="41"/>
  <c r="N59" i="41"/>
  <c r="L60" i="41"/>
  <c r="M60" i="41"/>
  <c r="N60" i="41"/>
  <c r="L61" i="41"/>
  <c r="M61" i="41"/>
  <c r="N61" i="41"/>
  <c r="L62" i="41"/>
  <c r="M62" i="41"/>
  <c r="N62" i="41"/>
  <c r="L63" i="41"/>
  <c r="M63" i="41"/>
  <c r="N63" i="41"/>
  <c r="L64" i="41"/>
  <c r="M64" i="41"/>
  <c r="N64" i="41"/>
  <c r="L65" i="41"/>
  <c r="M65" i="41"/>
  <c r="N65" i="41"/>
  <c r="L66" i="41"/>
  <c r="M66" i="41"/>
  <c r="N66" i="41"/>
  <c r="L67" i="41"/>
  <c r="M67" i="41"/>
  <c r="N67" i="41"/>
  <c r="L68" i="41"/>
  <c r="M68" i="41"/>
  <c r="N68" i="41"/>
  <c r="L69" i="41"/>
  <c r="M69" i="41"/>
  <c r="N69" i="41"/>
  <c r="L70" i="41"/>
  <c r="M70" i="41"/>
  <c r="N70" i="41"/>
  <c r="L71" i="41"/>
  <c r="M71" i="41"/>
  <c r="N71" i="41"/>
  <c r="L72" i="41"/>
  <c r="M72" i="41"/>
  <c r="N72" i="41"/>
  <c r="L73" i="41"/>
  <c r="M73" i="41"/>
  <c r="N73" i="41"/>
  <c r="L74" i="41"/>
  <c r="M74" i="41"/>
  <c r="N74" i="41"/>
  <c r="L75" i="41"/>
  <c r="M75" i="41"/>
  <c r="N75" i="41"/>
  <c r="L76" i="41"/>
  <c r="M76" i="41"/>
  <c r="N76" i="41"/>
  <c r="L77" i="41"/>
  <c r="M77" i="41"/>
  <c r="N77" i="41"/>
  <c r="L78" i="41"/>
  <c r="M78" i="41"/>
  <c r="N78" i="41"/>
  <c r="L79" i="41"/>
  <c r="M79" i="41"/>
  <c r="N79" i="41"/>
  <c r="L80" i="41"/>
  <c r="M80" i="41"/>
  <c r="N80" i="41"/>
  <c r="L81" i="41"/>
  <c r="M81" i="41"/>
  <c r="N81" i="41"/>
  <c r="L82" i="41"/>
  <c r="M82" i="41"/>
  <c r="N82" i="41"/>
  <c r="L83" i="41"/>
  <c r="M83" i="41"/>
  <c r="N83" i="41"/>
  <c r="L84" i="41"/>
  <c r="M84" i="41"/>
  <c r="N84" i="41"/>
  <c r="L85" i="41"/>
  <c r="M85" i="41"/>
  <c r="N85" i="41"/>
  <c r="L86" i="41"/>
  <c r="M86" i="41"/>
  <c r="N86" i="41"/>
  <c r="L87" i="41"/>
  <c r="M87" i="41"/>
  <c r="N87" i="41"/>
  <c r="L88" i="41"/>
  <c r="M88" i="41"/>
  <c r="N88" i="41"/>
  <c r="L89" i="41"/>
  <c r="M89" i="41"/>
  <c r="N89" i="41"/>
  <c r="L90" i="41"/>
  <c r="M90" i="41"/>
  <c r="N90" i="41"/>
  <c r="L91" i="41"/>
  <c r="M91" i="41"/>
  <c r="N91" i="41"/>
  <c r="L92" i="41"/>
  <c r="M92" i="41"/>
  <c r="N92" i="41"/>
  <c r="L93" i="41"/>
  <c r="M93" i="41"/>
  <c r="N93" i="41"/>
  <c r="L94" i="41"/>
  <c r="M94" i="41"/>
  <c r="N94" i="41"/>
  <c r="L95" i="41"/>
  <c r="M95" i="41"/>
  <c r="N95" i="41"/>
  <c r="L96" i="41"/>
  <c r="M96" i="41"/>
  <c r="N96" i="41"/>
  <c r="L97" i="41"/>
  <c r="M97" i="41"/>
  <c r="N97" i="41"/>
  <c r="L98" i="41"/>
  <c r="M98" i="41"/>
  <c r="N98" i="41"/>
  <c r="L99" i="41"/>
  <c r="M99" i="41"/>
  <c r="N99" i="41"/>
  <c r="L100" i="41"/>
  <c r="M100" i="41"/>
  <c r="N100" i="41"/>
  <c r="L101" i="41"/>
  <c r="M101" i="41"/>
  <c r="N101" i="41"/>
  <c r="L102" i="41"/>
  <c r="M102" i="41"/>
  <c r="N102" i="41"/>
  <c r="L103" i="41"/>
  <c r="M103" i="41"/>
  <c r="N103" i="41"/>
  <c r="L104" i="41"/>
  <c r="M104" i="41"/>
  <c r="N104" i="41"/>
  <c r="L105" i="41"/>
  <c r="M105" i="41"/>
  <c r="N105" i="41"/>
  <c r="L106" i="41"/>
  <c r="M106" i="41"/>
  <c r="N106" i="41"/>
  <c r="L107" i="41"/>
  <c r="M107" i="41"/>
  <c r="N107" i="41"/>
  <c r="L108" i="41"/>
  <c r="M108" i="41"/>
  <c r="N108" i="41"/>
  <c r="L109" i="41"/>
  <c r="M109" i="41"/>
  <c r="N109" i="41"/>
  <c r="L110" i="41"/>
  <c r="M110" i="41"/>
  <c r="N110" i="41"/>
  <c r="L111" i="41"/>
  <c r="M111" i="41"/>
  <c r="N111" i="41"/>
  <c r="L112" i="41"/>
  <c r="M112" i="41"/>
  <c r="N112" i="41"/>
  <c r="L113" i="41"/>
  <c r="M113" i="41"/>
  <c r="N113" i="41"/>
  <c r="L114" i="41"/>
  <c r="M114" i="41"/>
  <c r="N114" i="41"/>
  <c r="L115" i="41"/>
  <c r="M115" i="41"/>
  <c r="N115" i="41"/>
  <c r="L116" i="41"/>
  <c r="M116" i="41"/>
  <c r="N116" i="41"/>
  <c r="L117" i="41"/>
  <c r="M117" i="41"/>
  <c r="N117" i="41"/>
  <c r="L118" i="41"/>
  <c r="M118" i="41"/>
  <c r="N118" i="41"/>
  <c r="L119" i="41"/>
  <c r="M119" i="41"/>
  <c r="N119" i="41"/>
  <c r="L120" i="41"/>
  <c r="M120" i="41"/>
  <c r="N120" i="41"/>
  <c r="L121" i="41"/>
  <c r="M121" i="41"/>
  <c r="N121" i="41"/>
  <c r="L122" i="41"/>
  <c r="M122" i="41"/>
  <c r="N122" i="41"/>
  <c r="L123" i="41"/>
  <c r="M123" i="41"/>
  <c r="N123" i="41"/>
  <c r="L124" i="41"/>
  <c r="M124" i="41"/>
  <c r="N124" i="41"/>
  <c r="L125" i="41"/>
  <c r="M125" i="41"/>
  <c r="N125" i="41"/>
  <c r="L126" i="41"/>
  <c r="M126" i="41"/>
  <c r="N126" i="41"/>
  <c r="L127" i="41"/>
  <c r="M127" i="41"/>
  <c r="N127" i="41"/>
  <c r="L128" i="41"/>
  <c r="M128" i="41"/>
  <c r="N128" i="41"/>
  <c r="L129" i="41"/>
  <c r="M129" i="41"/>
  <c r="N129" i="41"/>
  <c r="L130" i="41"/>
  <c r="M130" i="41"/>
  <c r="N130" i="41"/>
  <c r="L131" i="41"/>
  <c r="M131" i="41"/>
  <c r="N131" i="41"/>
  <c r="L132" i="41"/>
  <c r="M132" i="41"/>
  <c r="N132" i="41"/>
  <c r="L133" i="41"/>
  <c r="M133" i="41"/>
  <c r="N133" i="41"/>
  <c r="L134" i="41"/>
  <c r="M134" i="41"/>
  <c r="N134" i="41"/>
  <c r="L135" i="41"/>
  <c r="M135" i="41"/>
  <c r="N135" i="41"/>
  <c r="L136" i="41"/>
  <c r="M136" i="41"/>
  <c r="N136" i="41"/>
  <c r="L137" i="41"/>
  <c r="M137" i="41"/>
  <c r="N137" i="41"/>
  <c r="L138" i="41"/>
  <c r="M138" i="41"/>
  <c r="N138" i="41"/>
  <c r="L139" i="41"/>
  <c r="M139" i="41"/>
  <c r="N139" i="41"/>
  <c r="L140" i="41"/>
  <c r="M140" i="41"/>
  <c r="N140" i="41"/>
  <c r="L141" i="41"/>
  <c r="M141" i="41"/>
  <c r="N141" i="41"/>
  <c r="L142" i="41"/>
  <c r="M142" i="41"/>
  <c r="N142" i="41"/>
  <c r="L143" i="41"/>
  <c r="M143" i="41"/>
  <c r="N143" i="41"/>
  <c r="L144" i="41"/>
  <c r="M144" i="41"/>
  <c r="N144" i="41"/>
  <c r="L145" i="41"/>
  <c r="M145" i="41"/>
  <c r="N145" i="41"/>
  <c r="L146" i="41"/>
  <c r="M146" i="41"/>
  <c r="N146" i="41"/>
  <c r="L147" i="41"/>
  <c r="M147" i="41"/>
  <c r="N147" i="41"/>
  <c r="L148" i="41"/>
  <c r="M148" i="41"/>
  <c r="N148" i="41"/>
  <c r="L149" i="41"/>
  <c r="M149" i="41"/>
  <c r="N149" i="41"/>
  <c r="L150" i="41"/>
  <c r="M150" i="41"/>
  <c r="N150" i="41"/>
  <c r="L151" i="41"/>
  <c r="M151" i="41"/>
  <c r="N151" i="41"/>
  <c r="L152" i="41"/>
  <c r="M152" i="41"/>
  <c r="N152" i="41"/>
  <c r="L153" i="41"/>
  <c r="M153" i="41"/>
  <c r="N153" i="41"/>
  <c r="N34" i="41"/>
  <c r="K37" i="41"/>
  <c r="K38" i="41"/>
  <c r="K39" i="41"/>
  <c r="K36" i="41"/>
  <c r="K35" i="41"/>
  <c r="K34" i="41"/>
  <c r="L33" i="39" l="1"/>
  <c r="M33" i="39"/>
  <c r="N33" i="39"/>
  <c r="O33" i="39"/>
  <c r="P33" i="39"/>
  <c r="Q33" i="39"/>
  <c r="L34" i="39"/>
  <c r="M34" i="39"/>
  <c r="N34" i="39"/>
  <c r="O34" i="39"/>
  <c r="P34" i="39"/>
  <c r="Q34" i="39"/>
  <c r="L35" i="39"/>
  <c r="M35" i="39"/>
  <c r="N35" i="39"/>
  <c r="O35" i="39"/>
  <c r="P35" i="39"/>
  <c r="Q35" i="39"/>
  <c r="L36" i="39"/>
  <c r="M36" i="39"/>
  <c r="N36" i="39"/>
  <c r="O36" i="39"/>
  <c r="P36" i="39"/>
  <c r="Q36" i="39"/>
  <c r="L37" i="39"/>
  <c r="M37" i="39"/>
  <c r="N37" i="39"/>
  <c r="O37" i="39"/>
  <c r="P37" i="39"/>
  <c r="Q37" i="39"/>
  <c r="L38" i="39"/>
  <c r="M38" i="39"/>
  <c r="N38" i="39"/>
  <c r="O38" i="39"/>
  <c r="P38" i="39"/>
  <c r="Q38" i="39"/>
  <c r="L39" i="39"/>
  <c r="M39" i="39"/>
  <c r="N39" i="39"/>
  <c r="O39" i="39"/>
  <c r="P39" i="39"/>
  <c r="Q39" i="39"/>
  <c r="L40" i="39"/>
  <c r="M40" i="39"/>
  <c r="N40" i="39"/>
  <c r="O40" i="39"/>
  <c r="P40" i="39"/>
  <c r="Q40" i="39"/>
  <c r="L41" i="39"/>
  <c r="M41" i="39"/>
  <c r="N41" i="39"/>
  <c r="O41" i="39"/>
  <c r="P41" i="39"/>
  <c r="Q41" i="39"/>
  <c r="L42" i="39"/>
  <c r="M42" i="39"/>
  <c r="N42" i="39"/>
  <c r="O42" i="39"/>
  <c r="P42" i="39"/>
  <c r="Q42" i="39"/>
  <c r="L43" i="39"/>
  <c r="M43" i="39"/>
  <c r="N43" i="39"/>
  <c r="O43" i="39"/>
  <c r="P43" i="39"/>
  <c r="Q43" i="39"/>
  <c r="L44" i="39"/>
  <c r="M44" i="39"/>
  <c r="N44" i="39"/>
  <c r="O44" i="39"/>
  <c r="P44" i="39"/>
  <c r="Q44" i="39"/>
  <c r="L45" i="39"/>
  <c r="M45" i="39"/>
  <c r="N45" i="39"/>
  <c r="O45" i="39"/>
  <c r="P45" i="39"/>
  <c r="Q45" i="39"/>
  <c r="L46" i="39"/>
  <c r="M46" i="39"/>
  <c r="N46" i="39"/>
  <c r="O46" i="39"/>
  <c r="P46" i="39"/>
  <c r="Q46" i="39"/>
  <c r="L47" i="39"/>
  <c r="M47" i="39"/>
  <c r="N47" i="39"/>
  <c r="O47" i="39"/>
  <c r="P47" i="39"/>
  <c r="Q47" i="39"/>
  <c r="L48" i="39"/>
  <c r="M48" i="39"/>
  <c r="N48" i="39"/>
  <c r="O48" i="39"/>
  <c r="P48" i="39"/>
  <c r="Q48" i="39"/>
  <c r="L49" i="39"/>
  <c r="M49" i="39"/>
  <c r="N49" i="39"/>
  <c r="O49" i="39"/>
  <c r="P49" i="39"/>
  <c r="Q49" i="39"/>
  <c r="L50" i="39"/>
  <c r="M50" i="39"/>
  <c r="N50" i="39"/>
  <c r="O50" i="39"/>
  <c r="P50" i="39"/>
  <c r="Q50" i="39"/>
  <c r="L51" i="39"/>
  <c r="M51" i="39"/>
  <c r="N51" i="39"/>
  <c r="O51" i="39"/>
  <c r="P51" i="39"/>
  <c r="Q51" i="39"/>
  <c r="L52" i="39"/>
  <c r="M52" i="39"/>
  <c r="N52" i="39"/>
  <c r="O52" i="39"/>
  <c r="P52" i="39"/>
  <c r="Q52" i="39"/>
  <c r="L53" i="39"/>
  <c r="M53" i="39"/>
  <c r="N53" i="39"/>
  <c r="O53" i="39"/>
  <c r="P53" i="39"/>
  <c r="Q53" i="39"/>
  <c r="L54" i="39"/>
  <c r="M54" i="39"/>
  <c r="N54" i="39"/>
  <c r="O54" i="39"/>
  <c r="P54" i="39"/>
  <c r="Q54" i="39"/>
  <c r="L55" i="39"/>
  <c r="M55" i="39"/>
  <c r="N55" i="39"/>
  <c r="O55" i="39"/>
  <c r="P55" i="39"/>
  <c r="Q55" i="39"/>
  <c r="L56" i="39"/>
  <c r="M56" i="39"/>
  <c r="N56" i="39"/>
  <c r="O56" i="39"/>
  <c r="P56" i="39"/>
  <c r="Q56" i="39"/>
  <c r="L57" i="39"/>
  <c r="M57" i="39"/>
  <c r="N57" i="39"/>
  <c r="O57" i="39"/>
  <c r="P57" i="39"/>
  <c r="Q57" i="39"/>
  <c r="L58" i="39"/>
  <c r="M58" i="39"/>
  <c r="N58" i="39"/>
  <c r="O58" i="39"/>
  <c r="P58" i="39"/>
  <c r="Q58" i="39"/>
  <c r="L59" i="39"/>
  <c r="M59" i="39"/>
  <c r="N59" i="39"/>
  <c r="O59" i="39"/>
  <c r="P59" i="39"/>
  <c r="Q59" i="39"/>
  <c r="L60" i="39"/>
  <c r="M60" i="39"/>
  <c r="N60" i="39"/>
  <c r="O60" i="39"/>
  <c r="P60" i="39"/>
  <c r="Q60" i="39"/>
  <c r="L61" i="39"/>
  <c r="M61" i="39"/>
  <c r="N61" i="39"/>
  <c r="O61" i="39"/>
  <c r="P61" i="39"/>
  <c r="Q61" i="39"/>
  <c r="L62" i="39"/>
  <c r="M62" i="39"/>
  <c r="N62" i="39"/>
  <c r="O62" i="39"/>
  <c r="P62" i="39"/>
  <c r="Q62" i="39"/>
  <c r="L63" i="39"/>
  <c r="M63" i="39"/>
  <c r="N63" i="39"/>
  <c r="O63" i="39"/>
  <c r="P63" i="39"/>
  <c r="Q63" i="39"/>
  <c r="L64" i="39"/>
  <c r="M64" i="39"/>
  <c r="N64" i="39"/>
  <c r="O64" i="39"/>
  <c r="P64" i="39"/>
  <c r="Q64" i="39"/>
  <c r="L65" i="39"/>
  <c r="M65" i="39"/>
  <c r="N65" i="39"/>
  <c r="O65" i="39"/>
  <c r="P65" i="39"/>
  <c r="Q65" i="39"/>
  <c r="L66" i="39"/>
  <c r="M66" i="39"/>
  <c r="N66" i="39"/>
  <c r="O66" i="39"/>
  <c r="P66" i="39"/>
  <c r="Q66" i="39"/>
  <c r="L67" i="39"/>
  <c r="M67" i="39"/>
  <c r="N67" i="39"/>
  <c r="O67" i="39"/>
  <c r="P67" i="39"/>
  <c r="Q67" i="39"/>
  <c r="L68" i="39"/>
  <c r="M68" i="39"/>
  <c r="N68" i="39"/>
  <c r="O68" i="39"/>
  <c r="P68" i="39"/>
  <c r="Q68" i="39"/>
  <c r="L69" i="39"/>
  <c r="M69" i="39"/>
  <c r="N69" i="39"/>
  <c r="O69" i="39"/>
  <c r="P69" i="39"/>
  <c r="Q69" i="39"/>
  <c r="L70" i="39"/>
  <c r="M70" i="39"/>
  <c r="N70" i="39"/>
  <c r="O70" i="39"/>
  <c r="P70" i="39"/>
  <c r="Q70" i="39"/>
  <c r="L71" i="39"/>
  <c r="M71" i="39"/>
  <c r="N71" i="39"/>
  <c r="O71" i="39"/>
  <c r="P71" i="39"/>
  <c r="Q71" i="39"/>
  <c r="L72" i="39"/>
  <c r="M72" i="39"/>
  <c r="N72" i="39"/>
  <c r="O72" i="39"/>
  <c r="P72" i="39"/>
  <c r="Q72" i="39"/>
  <c r="L73" i="39"/>
  <c r="M73" i="39"/>
  <c r="N73" i="39"/>
  <c r="O73" i="39"/>
  <c r="P73" i="39"/>
  <c r="Q73" i="39"/>
  <c r="L74" i="39"/>
  <c r="M74" i="39"/>
  <c r="N74" i="39"/>
  <c r="O74" i="39"/>
  <c r="P74" i="39"/>
  <c r="Q74" i="39"/>
  <c r="L75" i="39"/>
  <c r="M75" i="39"/>
  <c r="N75" i="39"/>
  <c r="O75" i="39"/>
  <c r="P75" i="39"/>
  <c r="Q75" i="39"/>
  <c r="L76" i="39"/>
  <c r="M76" i="39"/>
  <c r="N76" i="39"/>
  <c r="O76" i="39"/>
  <c r="P76" i="39"/>
  <c r="Q76" i="39"/>
  <c r="L77" i="39"/>
  <c r="M77" i="39"/>
  <c r="N77" i="39"/>
  <c r="O77" i="39"/>
  <c r="P77" i="39"/>
  <c r="Q77" i="39"/>
  <c r="L78" i="39"/>
  <c r="M78" i="39"/>
  <c r="N78" i="39"/>
  <c r="O78" i="39"/>
  <c r="P78" i="39"/>
  <c r="Q78" i="39"/>
  <c r="L79" i="39"/>
  <c r="M79" i="39"/>
  <c r="N79" i="39"/>
  <c r="O79" i="39"/>
  <c r="P79" i="39"/>
  <c r="Q79" i="39"/>
  <c r="L80" i="39"/>
  <c r="M80" i="39"/>
  <c r="N80" i="39"/>
  <c r="O80" i="39"/>
  <c r="P80" i="39"/>
  <c r="Q80" i="39"/>
  <c r="L81" i="39"/>
  <c r="M81" i="39"/>
  <c r="N81" i="39"/>
  <c r="O81" i="39"/>
  <c r="P81" i="39"/>
  <c r="Q81" i="39"/>
  <c r="L82" i="39"/>
  <c r="M82" i="39"/>
  <c r="N82" i="39"/>
  <c r="O82" i="39"/>
  <c r="P82" i="39"/>
  <c r="Q82" i="39"/>
  <c r="L83" i="39"/>
  <c r="M83" i="39"/>
  <c r="N83" i="39"/>
  <c r="O83" i="39"/>
  <c r="P83" i="39"/>
  <c r="Q83" i="39"/>
  <c r="L84" i="39"/>
  <c r="M84" i="39"/>
  <c r="N84" i="39"/>
  <c r="O84" i="39"/>
  <c r="P84" i="39"/>
  <c r="Q84" i="39"/>
  <c r="L85" i="39"/>
  <c r="M85" i="39"/>
  <c r="N85" i="39"/>
  <c r="O85" i="39"/>
  <c r="P85" i="39"/>
  <c r="Q85" i="39"/>
  <c r="L86" i="39"/>
  <c r="M86" i="39"/>
  <c r="N86" i="39"/>
  <c r="O86" i="39"/>
  <c r="P86" i="39"/>
  <c r="Q86" i="39"/>
  <c r="L87" i="39"/>
  <c r="M87" i="39"/>
  <c r="N87" i="39"/>
  <c r="O87" i="39"/>
  <c r="P87" i="39"/>
  <c r="Q87" i="39"/>
  <c r="L88" i="39"/>
  <c r="M88" i="39"/>
  <c r="N88" i="39"/>
  <c r="O88" i="39"/>
  <c r="P88" i="39"/>
  <c r="Q88" i="39"/>
  <c r="L89" i="39"/>
  <c r="M89" i="39"/>
  <c r="N89" i="39"/>
  <c r="O89" i="39"/>
  <c r="P89" i="39"/>
  <c r="Q89" i="39"/>
  <c r="L90" i="39"/>
  <c r="M90" i="39"/>
  <c r="N90" i="39"/>
  <c r="O90" i="39"/>
  <c r="P90" i="39"/>
  <c r="Q90" i="39"/>
  <c r="L91" i="39"/>
  <c r="M91" i="39"/>
  <c r="N91" i="39"/>
  <c r="O91" i="39"/>
  <c r="P91" i="39"/>
  <c r="Q91" i="39"/>
  <c r="L92" i="39"/>
  <c r="M92" i="39"/>
  <c r="N92" i="39"/>
  <c r="O92" i="39"/>
  <c r="P92" i="39"/>
  <c r="Q92" i="39"/>
  <c r="L93" i="39"/>
  <c r="M93" i="39"/>
  <c r="N93" i="39"/>
  <c r="O93" i="39"/>
  <c r="P93" i="39"/>
  <c r="Q93" i="39"/>
  <c r="L94" i="39"/>
  <c r="M94" i="39"/>
  <c r="N94" i="39"/>
  <c r="O94" i="39"/>
  <c r="P94" i="39"/>
  <c r="Q94" i="39"/>
  <c r="L95" i="39"/>
  <c r="M95" i="39"/>
  <c r="N95" i="39"/>
  <c r="O95" i="39"/>
  <c r="P95" i="39"/>
  <c r="Q95" i="39"/>
  <c r="L96" i="39"/>
  <c r="M96" i="39"/>
  <c r="N96" i="39"/>
  <c r="O96" i="39"/>
  <c r="P96" i="39"/>
  <c r="Q96" i="39"/>
  <c r="L97" i="39"/>
  <c r="M97" i="39"/>
  <c r="N97" i="39"/>
  <c r="O97" i="39"/>
  <c r="P97" i="39"/>
  <c r="Q97" i="39"/>
  <c r="L98" i="39"/>
  <c r="M98" i="39"/>
  <c r="N98" i="39"/>
  <c r="O98" i="39"/>
  <c r="P98" i="39"/>
  <c r="Q98" i="39"/>
  <c r="L99" i="39"/>
  <c r="M99" i="39"/>
  <c r="N99" i="39"/>
  <c r="O99" i="39"/>
  <c r="P99" i="39"/>
  <c r="Q99" i="39"/>
  <c r="L100" i="39"/>
  <c r="M100" i="39"/>
  <c r="N100" i="39"/>
  <c r="O100" i="39"/>
  <c r="P100" i="39"/>
  <c r="Q100" i="39"/>
  <c r="L101" i="39"/>
  <c r="M101" i="39"/>
  <c r="N101" i="39"/>
  <c r="O101" i="39"/>
  <c r="P101" i="39"/>
  <c r="Q101" i="39"/>
  <c r="L102" i="39"/>
  <c r="M102" i="39"/>
  <c r="N102" i="39"/>
  <c r="O102" i="39"/>
  <c r="P102" i="39"/>
  <c r="Q102" i="39"/>
  <c r="L103" i="39"/>
  <c r="M103" i="39"/>
  <c r="N103" i="39"/>
  <c r="O103" i="39"/>
  <c r="P103" i="39"/>
  <c r="Q103" i="39"/>
  <c r="L104" i="39"/>
  <c r="M104" i="39"/>
  <c r="N104" i="39"/>
  <c r="O104" i="39"/>
  <c r="P104" i="39"/>
  <c r="Q104" i="39"/>
  <c r="L105" i="39"/>
  <c r="M105" i="39"/>
  <c r="N105" i="39"/>
  <c r="O105" i="39"/>
  <c r="P105" i="39"/>
  <c r="Q105" i="39"/>
  <c r="L106" i="39"/>
  <c r="M106" i="39"/>
  <c r="N106" i="39"/>
  <c r="O106" i="39"/>
  <c r="P106" i="39"/>
  <c r="Q106" i="39"/>
  <c r="L107" i="39"/>
  <c r="M107" i="39"/>
  <c r="N107" i="39"/>
  <c r="O107" i="39"/>
  <c r="P107" i="39"/>
  <c r="Q107" i="39"/>
  <c r="L108" i="39"/>
  <c r="M108" i="39"/>
  <c r="N108" i="39"/>
  <c r="O108" i="39"/>
  <c r="P108" i="39"/>
  <c r="Q108" i="39"/>
  <c r="L109" i="39"/>
  <c r="M109" i="39"/>
  <c r="N109" i="39"/>
  <c r="O109" i="39"/>
  <c r="P109" i="39"/>
  <c r="Q109" i="39"/>
  <c r="L110" i="39"/>
  <c r="M110" i="39"/>
  <c r="N110" i="39"/>
  <c r="O110" i="39"/>
  <c r="P110" i="39"/>
  <c r="Q110" i="39"/>
  <c r="L111" i="39"/>
  <c r="M111" i="39"/>
  <c r="N111" i="39"/>
  <c r="O111" i="39"/>
  <c r="P111" i="39"/>
  <c r="Q111" i="39"/>
  <c r="L112" i="39"/>
  <c r="M112" i="39"/>
  <c r="N112" i="39"/>
  <c r="O112" i="39"/>
  <c r="P112" i="39"/>
  <c r="Q112" i="39"/>
  <c r="L113" i="39"/>
  <c r="M113" i="39"/>
  <c r="N113" i="39"/>
  <c r="O113" i="39"/>
  <c r="P113" i="39"/>
  <c r="Q113" i="39"/>
  <c r="L114" i="39"/>
  <c r="M114" i="39"/>
  <c r="N114" i="39"/>
  <c r="O114" i="39"/>
  <c r="P114" i="39"/>
  <c r="Q114" i="39"/>
  <c r="L115" i="39"/>
  <c r="M115" i="39"/>
  <c r="N115" i="39"/>
  <c r="O115" i="39"/>
  <c r="P115" i="39"/>
  <c r="Q115" i="39"/>
  <c r="L116" i="39"/>
  <c r="M116" i="39"/>
  <c r="N116" i="39"/>
  <c r="O116" i="39"/>
  <c r="P116" i="39"/>
  <c r="Q116" i="39"/>
  <c r="L117" i="39"/>
  <c r="M117" i="39"/>
  <c r="N117" i="39"/>
  <c r="O117" i="39"/>
  <c r="P117" i="39"/>
  <c r="Q117" i="39"/>
  <c r="L118" i="39"/>
  <c r="M118" i="39"/>
  <c r="N118" i="39"/>
  <c r="O118" i="39"/>
  <c r="P118" i="39"/>
  <c r="Q118" i="39"/>
  <c r="L119" i="39"/>
  <c r="M119" i="39"/>
  <c r="N119" i="39"/>
  <c r="O119" i="39"/>
  <c r="P119" i="39"/>
  <c r="Q119" i="39"/>
  <c r="L120" i="39"/>
  <c r="M120" i="39"/>
  <c r="N120" i="39"/>
  <c r="O120" i="39"/>
  <c r="P120" i="39"/>
  <c r="Q120" i="39"/>
  <c r="L121" i="39"/>
  <c r="M121" i="39"/>
  <c r="N121" i="39"/>
  <c r="O121" i="39"/>
  <c r="P121" i="39"/>
  <c r="Q121" i="39"/>
  <c r="L122" i="39"/>
  <c r="M122" i="39"/>
  <c r="N122" i="39"/>
  <c r="O122" i="39"/>
  <c r="P122" i="39"/>
  <c r="Q122" i="39"/>
  <c r="L123" i="39"/>
  <c r="M123" i="39"/>
  <c r="N123" i="39"/>
  <c r="O123" i="39"/>
  <c r="P123" i="39"/>
  <c r="Q123" i="39"/>
  <c r="L124" i="39"/>
  <c r="M124" i="39"/>
  <c r="N124" i="39"/>
  <c r="O124" i="39"/>
  <c r="P124" i="39"/>
  <c r="Q124" i="39"/>
  <c r="L125" i="39"/>
  <c r="M125" i="39"/>
  <c r="N125" i="39"/>
  <c r="O125" i="39"/>
  <c r="P125" i="39"/>
  <c r="Q125" i="39"/>
  <c r="L126" i="39"/>
  <c r="M126" i="39"/>
  <c r="N126" i="39"/>
  <c r="O126" i="39"/>
  <c r="P126" i="39"/>
  <c r="Q126" i="39"/>
  <c r="L127" i="39"/>
  <c r="M127" i="39"/>
  <c r="N127" i="39"/>
  <c r="O127" i="39"/>
  <c r="P127" i="39"/>
  <c r="Q127" i="39"/>
  <c r="L128" i="39"/>
  <c r="M128" i="39"/>
  <c r="N128" i="39"/>
  <c r="O128" i="39"/>
  <c r="P128" i="39"/>
  <c r="Q128" i="39"/>
  <c r="L129" i="39"/>
  <c r="M129" i="39"/>
  <c r="N129" i="39"/>
  <c r="O129" i="39"/>
  <c r="P129" i="39"/>
  <c r="Q129" i="39"/>
  <c r="L130" i="39"/>
  <c r="M130" i="39"/>
  <c r="N130" i="39"/>
  <c r="O130" i="39"/>
  <c r="P130" i="39"/>
  <c r="Q130" i="39"/>
  <c r="L131" i="39"/>
  <c r="M131" i="39"/>
  <c r="N131" i="39"/>
  <c r="O131" i="39"/>
  <c r="P131" i="39"/>
  <c r="Q131" i="39"/>
  <c r="L132" i="39"/>
  <c r="M132" i="39"/>
  <c r="N132" i="39"/>
  <c r="O132" i="39"/>
  <c r="P132" i="39"/>
  <c r="Q132" i="39"/>
  <c r="L133" i="39"/>
  <c r="M133" i="39"/>
  <c r="N133" i="39"/>
  <c r="O133" i="39"/>
  <c r="P133" i="39"/>
  <c r="Q133" i="39"/>
  <c r="L134" i="39"/>
  <c r="M134" i="39"/>
  <c r="N134" i="39"/>
  <c r="O134" i="39"/>
  <c r="P134" i="39"/>
  <c r="Q134" i="39"/>
  <c r="L135" i="39"/>
  <c r="M135" i="39"/>
  <c r="N135" i="39"/>
  <c r="O135" i="39"/>
  <c r="P135" i="39"/>
  <c r="Q135" i="39"/>
  <c r="L136" i="39"/>
  <c r="M136" i="39"/>
  <c r="N136" i="39"/>
  <c r="O136" i="39"/>
  <c r="P136" i="39"/>
  <c r="Q136" i="39"/>
  <c r="L137" i="39"/>
  <c r="M137" i="39"/>
  <c r="N137" i="39"/>
  <c r="O137" i="39"/>
  <c r="P137" i="39"/>
  <c r="Q137" i="39"/>
  <c r="L138" i="39"/>
  <c r="M138" i="39"/>
  <c r="N138" i="39"/>
  <c r="O138" i="39"/>
  <c r="P138" i="39"/>
  <c r="Q138" i="39"/>
  <c r="L139" i="39"/>
  <c r="M139" i="39"/>
  <c r="N139" i="39"/>
  <c r="O139" i="39"/>
  <c r="P139" i="39"/>
  <c r="Q139" i="39"/>
  <c r="L140" i="39"/>
  <c r="M140" i="39"/>
  <c r="N140" i="39"/>
  <c r="O140" i="39"/>
  <c r="P140" i="39"/>
  <c r="Q140" i="39"/>
  <c r="L141" i="39"/>
  <c r="M141" i="39"/>
  <c r="N141" i="39"/>
  <c r="O141" i="39"/>
  <c r="P141" i="39"/>
  <c r="Q141" i="39"/>
  <c r="L142" i="39"/>
  <c r="M142" i="39"/>
  <c r="N142" i="39"/>
  <c r="O142" i="39"/>
  <c r="P142" i="39"/>
  <c r="Q142" i="39"/>
  <c r="L143" i="39"/>
  <c r="M143" i="39"/>
  <c r="N143" i="39"/>
  <c r="O143" i="39"/>
  <c r="P143" i="39"/>
  <c r="Q143" i="39"/>
  <c r="L144" i="39"/>
  <c r="M144" i="39"/>
  <c r="N144" i="39"/>
  <c r="O144" i="39"/>
  <c r="P144" i="39"/>
  <c r="Q144" i="39"/>
  <c r="L145" i="39"/>
  <c r="M145" i="39"/>
  <c r="N145" i="39"/>
  <c r="O145" i="39"/>
  <c r="P145" i="39"/>
  <c r="Q145" i="39"/>
  <c r="L146" i="39"/>
  <c r="M146" i="39"/>
  <c r="N146" i="39"/>
  <c r="O146" i="39"/>
  <c r="P146" i="39"/>
  <c r="Q146" i="39"/>
  <c r="L147" i="39"/>
  <c r="M147" i="39"/>
  <c r="N147" i="39"/>
  <c r="O147" i="39"/>
  <c r="P147" i="39"/>
  <c r="Q147" i="39"/>
  <c r="L148" i="39"/>
  <c r="M148" i="39"/>
  <c r="N148" i="39"/>
  <c r="O148" i="39"/>
  <c r="P148" i="39"/>
  <c r="Q148" i="39"/>
  <c r="L149" i="39"/>
  <c r="M149" i="39"/>
  <c r="N149" i="39"/>
  <c r="O149" i="39"/>
  <c r="P149" i="39"/>
  <c r="Q149" i="39"/>
  <c r="L150" i="39"/>
  <c r="M150" i="39"/>
  <c r="N150" i="39"/>
  <c r="O150" i="39"/>
  <c r="P150" i="39"/>
  <c r="Q150" i="39"/>
  <c r="L151" i="39"/>
  <c r="M151" i="39"/>
  <c r="N151" i="39"/>
  <c r="O151" i="39"/>
  <c r="P151" i="39"/>
  <c r="Q151" i="39"/>
  <c r="L152" i="39"/>
  <c r="M152" i="39"/>
  <c r="N152" i="39"/>
  <c r="O152" i="39"/>
  <c r="P152" i="39"/>
  <c r="Q152" i="39"/>
  <c r="L153" i="39"/>
  <c r="M153" i="39"/>
  <c r="N153" i="39"/>
  <c r="O153" i="39"/>
  <c r="P153" i="39"/>
  <c r="Q153" i="39"/>
  <c r="Q32" i="39"/>
  <c r="P32" i="39"/>
  <c r="O32" i="39"/>
  <c r="N32" i="39"/>
  <c r="M32" i="39"/>
  <c r="L32" i="39"/>
  <c r="K32" i="39"/>
  <c r="K31" i="39"/>
  <c r="K33" i="41"/>
  <c r="K30" i="39"/>
  <c r="K38" i="37"/>
  <c r="K35" i="35"/>
  <c r="K38" i="33"/>
  <c r="K36" i="31"/>
  <c r="K33" i="28"/>
  <c r="K51" i="24"/>
  <c r="K55" i="22"/>
  <c r="K64" i="20"/>
  <c r="K47" i="18"/>
  <c r="K56" i="16"/>
  <c r="K47" i="14"/>
  <c r="K57" i="11"/>
  <c r="K65" i="9"/>
  <c r="K45" i="7"/>
  <c r="S37" i="37"/>
  <c r="T37" i="37"/>
  <c r="U37" i="37"/>
  <c r="S34" i="35"/>
  <c r="T34" i="35"/>
  <c r="U34" i="35"/>
  <c r="K32" i="41"/>
  <c r="K29" i="39"/>
  <c r="K37" i="37"/>
  <c r="K34" i="35"/>
  <c r="K37" i="33"/>
  <c r="K35" i="31"/>
  <c r="K32" i="28"/>
  <c r="K50" i="24"/>
  <c r="K54" i="22"/>
  <c r="K63" i="20"/>
  <c r="K46" i="18"/>
  <c r="K55" i="16"/>
  <c r="K46" i="14"/>
  <c r="K56" i="11"/>
  <c r="K64" i="9"/>
  <c r="K44" i="7"/>
  <c r="K31" i="41"/>
  <c r="K28" i="39"/>
  <c r="K36" i="37"/>
  <c r="K33" i="35"/>
  <c r="K36" i="33"/>
  <c r="K34" i="31"/>
  <c r="K31" i="28"/>
  <c r="K49" i="24"/>
  <c r="K53" i="22"/>
  <c r="K62" i="20"/>
  <c r="K45" i="18"/>
  <c r="K54" i="16"/>
  <c r="K45" i="14"/>
  <c r="K55" i="11"/>
  <c r="K63" i="9"/>
  <c r="K43" i="7"/>
  <c r="K29" i="41"/>
  <c r="K30" i="41"/>
  <c r="K32" i="35"/>
  <c r="K35" i="33"/>
  <c r="K33" i="31"/>
  <c r="K30" i="28"/>
  <c r="K48" i="24"/>
  <c r="K52" i="22"/>
  <c r="K61" i="20"/>
  <c r="K51" i="22"/>
  <c r="K60" i="20"/>
  <c r="K44" i="18"/>
  <c r="K53" i="16"/>
  <c r="K44" i="14"/>
  <c r="K54" i="11"/>
  <c r="K62" i="9"/>
  <c r="K42" i="7"/>
  <c r="K24" i="39"/>
  <c r="K25" i="39"/>
  <c r="K26" i="39"/>
  <c r="K27" i="39"/>
  <c r="K33" i="37"/>
  <c r="K34" i="37"/>
  <c r="K35" i="37"/>
  <c r="O43" i="37"/>
  <c r="P43" i="37"/>
  <c r="Q43" i="37"/>
  <c r="O44" i="37"/>
  <c r="P44" i="37"/>
  <c r="Q44" i="37"/>
  <c r="O45" i="37"/>
  <c r="P45" i="37"/>
  <c r="Q45" i="37"/>
  <c r="O46" i="37"/>
  <c r="P46" i="37"/>
  <c r="Q46" i="37"/>
  <c r="O47" i="37"/>
  <c r="P47" i="37"/>
  <c r="Q47" i="37"/>
  <c r="O48" i="37"/>
  <c r="P48" i="37"/>
  <c r="Q48" i="37"/>
  <c r="O49" i="37"/>
  <c r="P49" i="37"/>
  <c r="Q49" i="37"/>
  <c r="O50" i="37"/>
  <c r="P50" i="37"/>
  <c r="Q50" i="37"/>
  <c r="O51" i="37"/>
  <c r="P51" i="37"/>
  <c r="Q51" i="37"/>
  <c r="O52" i="37"/>
  <c r="P52" i="37"/>
  <c r="Q52" i="37"/>
  <c r="O53" i="37"/>
  <c r="P53" i="37"/>
  <c r="Q53" i="37"/>
  <c r="O54" i="37"/>
  <c r="P54" i="37"/>
  <c r="Q54" i="37"/>
  <c r="O55" i="37"/>
  <c r="P55" i="37"/>
  <c r="Q55" i="37"/>
  <c r="O56" i="37"/>
  <c r="P56" i="37"/>
  <c r="Q56" i="37"/>
  <c r="O57" i="37"/>
  <c r="P57" i="37"/>
  <c r="Q57" i="37"/>
  <c r="O58" i="37"/>
  <c r="P58" i="37"/>
  <c r="Q58" i="37"/>
  <c r="O59" i="37"/>
  <c r="P59" i="37"/>
  <c r="Q59" i="37"/>
  <c r="O60" i="37"/>
  <c r="P60" i="37"/>
  <c r="Q60" i="37"/>
  <c r="O61" i="37"/>
  <c r="P61" i="37"/>
  <c r="Q61" i="37"/>
  <c r="O62" i="37"/>
  <c r="P62" i="37"/>
  <c r="Q62" i="37"/>
  <c r="O63" i="37"/>
  <c r="P63" i="37"/>
  <c r="Q63" i="37"/>
  <c r="O64" i="37"/>
  <c r="P64" i="37"/>
  <c r="Q64" i="37"/>
  <c r="O65" i="37"/>
  <c r="P65" i="37"/>
  <c r="Q65" i="37"/>
  <c r="O66" i="37"/>
  <c r="P66" i="37"/>
  <c r="Q66" i="37"/>
  <c r="O67" i="37"/>
  <c r="P67" i="37"/>
  <c r="Q67" i="37"/>
  <c r="O68" i="37"/>
  <c r="P68" i="37"/>
  <c r="Q68" i="37"/>
  <c r="O69" i="37"/>
  <c r="P69" i="37"/>
  <c r="Q69" i="37"/>
  <c r="O70" i="37"/>
  <c r="P70" i="37"/>
  <c r="Q70" i="37"/>
  <c r="O71" i="37"/>
  <c r="P71" i="37"/>
  <c r="Q71" i="37"/>
  <c r="O72" i="37"/>
  <c r="P72" i="37"/>
  <c r="Q72" i="37"/>
  <c r="O73" i="37"/>
  <c r="P73" i="37"/>
  <c r="Q73" i="37"/>
  <c r="O74" i="37"/>
  <c r="P74" i="37"/>
  <c r="Q74" i="37"/>
  <c r="O75" i="37"/>
  <c r="P75" i="37"/>
  <c r="Q75" i="37"/>
  <c r="O76" i="37"/>
  <c r="P76" i="37"/>
  <c r="Q76" i="37"/>
  <c r="O77" i="37"/>
  <c r="P77" i="37"/>
  <c r="Q77" i="37"/>
  <c r="O78" i="37"/>
  <c r="P78" i="37"/>
  <c r="Q78" i="37"/>
  <c r="O79" i="37"/>
  <c r="P79" i="37"/>
  <c r="Q79" i="37"/>
  <c r="O80" i="37"/>
  <c r="P80" i="37"/>
  <c r="Q80" i="37"/>
  <c r="O81" i="37"/>
  <c r="P81" i="37"/>
  <c r="Q81" i="37"/>
  <c r="O82" i="37"/>
  <c r="P82" i="37"/>
  <c r="Q82" i="37"/>
  <c r="O83" i="37"/>
  <c r="P83" i="37"/>
  <c r="Q83" i="37"/>
  <c r="O84" i="37"/>
  <c r="P84" i="37"/>
  <c r="Q84" i="37"/>
  <c r="O85" i="37"/>
  <c r="P85" i="37"/>
  <c r="Q85" i="37"/>
  <c r="O86" i="37"/>
  <c r="P86" i="37"/>
  <c r="Q86" i="37"/>
  <c r="O87" i="37"/>
  <c r="P87" i="37"/>
  <c r="Q87" i="37"/>
  <c r="O88" i="37"/>
  <c r="P88" i="37"/>
  <c r="Q88" i="37"/>
  <c r="O89" i="37"/>
  <c r="P89" i="37"/>
  <c r="Q89" i="37"/>
  <c r="O90" i="37"/>
  <c r="P90" i="37"/>
  <c r="Q90" i="37"/>
  <c r="O91" i="37"/>
  <c r="P91" i="37"/>
  <c r="Q91" i="37"/>
  <c r="O92" i="37"/>
  <c r="P92" i="37"/>
  <c r="Q92" i="37"/>
  <c r="O93" i="37"/>
  <c r="P93" i="37"/>
  <c r="Q93" i="37"/>
  <c r="O94" i="37"/>
  <c r="P94" i="37"/>
  <c r="Q94" i="37"/>
  <c r="O95" i="37"/>
  <c r="P95" i="37"/>
  <c r="Q95" i="37"/>
  <c r="O96" i="37"/>
  <c r="P96" i="37"/>
  <c r="Q96" i="37"/>
  <c r="O97" i="37"/>
  <c r="P97" i="37"/>
  <c r="Q97" i="37"/>
  <c r="O98" i="37"/>
  <c r="P98" i="37"/>
  <c r="Q98" i="37"/>
  <c r="O99" i="37"/>
  <c r="P99" i="37"/>
  <c r="Q99" i="37"/>
  <c r="O100" i="37"/>
  <c r="P100" i="37"/>
  <c r="Q100" i="37"/>
  <c r="O101" i="37"/>
  <c r="P101" i="37"/>
  <c r="Q101" i="37"/>
  <c r="O102" i="37"/>
  <c r="P102" i="37"/>
  <c r="Q102" i="37"/>
  <c r="O103" i="37"/>
  <c r="P103" i="37"/>
  <c r="Q103" i="37"/>
  <c r="O104" i="37"/>
  <c r="P104" i="37"/>
  <c r="Q104" i="37"/>
  <c r="O105" i="37"/>
  <c r="P105" i="37"/>
  <c r="Q105" i="37"/>
  <c r="O106" i="37"/>
  <c r="P106" i="37"/>
  <c r="Q106" i="37"/>
  <c r="O107" i="37"/>
  <c r="P107" i="37"/>
  <c r="Q107" i="37"/>
  <c r="O108" i="37"/>
  <c r="P108" i="37"/>
  <c r="Q108" i="37"/>
  <c r="O109" i="37"/>
  <c r="P109" i="37"/>
  <c r="Q109" i="37"/>
  <c r="O110" i="37"/>
  <c r="P110" i="37"/>
  <c r="Q110" i="37"/>
  <c r="O111" i="37"/>
  <c r="P111" i="37"/>
  <c r="Q111" i="37"/>
  <c r="O112" i="37"/>
  <c r="P112" i="37"/>
  <c r="Q112" i="37"/>
  <c r="O113" i="37"/>
  <c r="P113" i="37"/>
  <c r="Q113" i="37"/>
  <c r="O114" i="37"/>
  <c r="P114" i="37"/>
  <c r="Q114" i="37"/>
  <c r="O115" i="37"/>
  <c r="P115" i="37"/>
  <c r="Q115" i="37"/>
  <c r="O116" i="37"/>
  <c r="P116" i="37"/>
  <c r="Q116" i="37"/>
  <c r="O117" i="37"/>
  <c r="P117" i="37"/>
  <c r="Q117" i="37"/>
  <c r="O118" i="37"/>
  <c r="P118" i="37"/>
  <c r="Q118" i="37"/>
  <c r="O119" i="37"/>
  <c r="P119" i="37"/>
  <c r="Q119" i="37"/>
  <c r="O120" i="37"/>
  <c r="P120" i="37"/>
  <c r="Q120" i="37"/>
  <c r="O121" i="37"/>
  <c r="P121" i="37"/>
  <c r="Q121" i="37"/>
  <c r="O122" i="37"/>
  <c r="P122" i="37"/>
  <c r="Q122" i="37"/>
  <c r="O123" i="37"/>
  <c r="P123" i="37"/>
  <c r="Q123" i="37"/>
  <c r="O124" i="37"/>
  <c r="P124" i="37"/>
  <c r="Q124" i="37"/>
  <c r="O125" i="37"/>
  <c r="P125" i="37"/>
  <c r="Q125" i="37"/>
  <c r="O126" i="37"/>
  <c r="P126" i="37"/>
  <c r="Q126" i="37"/>
  <c r="O127" i="37"/>
  <c r="P127" i="37"/>
  <c r="Q127" i="37"/>
  <c r="O128" i="37"/>
  <c r="P128" i="37"/>
  <c r="Q128" i="37"/>
  <c r="O129" i="37"/>
  <c r="P129" i="37"/>
  <c r="Q129" i="37"/>
  <c r="O130" i="37"/>
  <c r="P130" i="37"/>
  <c r="Q130" i="37"/>
  <c r="O131" i="37"/>
  <c r="P131" i="37"/>
  <c r="Q131" i="37"/>
  <c r="O132" i="37"/>
  <c r="P132" i="37"/>
  <c r="Q132" i="37"/>
  <c r="O133" i="37"/>
  <c r="P133" i="37"/>
  <c r="Q133" i="37"/>
  <c r="O134" i="37"/>
  <c r="P134" i="37"/>
  <c r="Q134" i="37"/>
  <c r="O135" i="37"/>
  <c r="P135" i="37"/>
  <c r="Q135" i="37"/>
  <c r="O136" i="37"/>
  <c r="P136" i="37"/>
  <c r="Q136" i="37"/>
  <c r="O137" i="37"/>
  <c r="P137" i="37"/>
  <c r="Q137" i="37"/>
  <c r="O138" i="37"/>
  <c r="P138" i="37"/>
  <c r="Q138" i="37"/>
  <c r="O139" i="37"/>
  <c r="P139" i="37"/>
  <c r="Q139" i="37"/>
  <c r="O140" i="37"/>
  <c r="P140" i="37"/>
  <c r="Q140" i="37"/>
  <c r="O141" i="37"/>
  <c r="P141" i="37"/>
  <c r="Q141" i="37"/>
  <c r="O142" i="37"/>
  <c r="P142" i="37"/>
  <c r="Q142" i="37"/>
  <c r="O143" i="37"/>
  <c r="P143" i="37"/>
  <c r="Q143" i="37"/>
  <c r="O144" i="37"/>
  <c r="P144" i="37"/>
  <c r="Q144" i="37"/>
  <c r="O145" i="37"/>
  <c r="P145" i="37"/>
  <c r="Q145" i="37"/>
  <c r="O146" i="37"/>
  <c r="P146" i="37"/>
  <c r="Q146" i="37"/>
  <c r="O147" i="37"/>
  <c r="P147" i="37"/>
  <c r="Q147" i="37"/>
  <c r="O148" i="37"/>
  <c r="P148" i="37"/>
  <c r="Q148" i="37"/>
  <c r="O149" i="37"/>
  <c r="P149" i="37"/>
  <c r="Q149" i="37"/>
  <c r="O150" i="37"/>
  <c r="P150" i="37"/>
  <c r="Q150" i="37"/>
  <c r="O151" i="37"/>
  <c r="P151" i="37"/>
  <c r="Q151" i="37"/>
  <c r="O152" i="37"/>
  <c r="P152" i="37"/>
  <c r="Q152" i="37"/>
  <c r="O153" i="37"/>
  <c r="P153" i="37"/>
  <c r="Q153" i="37"/>
  <c r="L35" i="35"/>
  <c r="L36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K31" i="35"/>
  <c r="K30" i="35"/>
  <c r="K29" i="35"/>
  <c r="K28" i="35"/>
  <c r="K18" i="41"/>
  <c r="K19" i="41"/>
  <c r="K20" i="41"/>
  <c r="K21" i="41"/>
  <c r="K22" i="41"/>
  <c r="K23" i="41"/>
  <c r="K24" i="41"/>
  <c r="K25" i="41"/>
  <c r="K26" i="41"/>
  <c r="K27" i="41"/>
  <c r="K28" i="41"/>
  <c r="W7" i="41"/>
  <c r="X153" i="41"/>
  <c r="W153" i="41"/>
  <c r="V153" i="41"/>
  <c r="U153" i="41"/>
  <c r="T153" i="41"/>
  <c r="S153" i="41"/>
  <c r="R153" i="41"/>
  <c r="X152" i="41"/>
  <c r="W152" i="41"/>
  <c r="V152" i="41"/>
  <c r="U152" i="41"/>
  <c r="T152" i="41"/>
  <c r="S152" i="41"/>
  <c r="R152" i="41"/>
  <c r="X151" i="41"/>
  <c r="W151" i="41"/>
  <c r="V151" i="41"/>
  <c r="U151" i="41"/>
  <c r="T151" i="41"/>
  <c r="S151" i="41"/>
  <c r="R151" i="41"/>
  <c r="X150" i="41"/>
  <c r="W150" i="41"/>
  <c r="V150" i="41"/>
  <c r="U150" i="41"/>
  <c r="T150" i="41"/>
  <c r="S150" i="41"/>
  <c r="R150" i="41"/>
  <c r="X149" i="41"/>
  <c r="W149" i="41"/>
  <c r="V149" i="41"/>
  <c r="U149" i="41"/>
  <c r="T149" i="41"/>
  <c r="S149" i="41"/>
  <c r="R149" i="41"/>
  <c r="X148" i="41"/>
  <c r="W148" i="41"/>
  <c r="V148" i="41"/>
  <c r="U148" i="41"/>
  <c r="T148" i="41"/>
  <c r="S148" i="41"/>
  <c r="R148" i="41"/>
  <c r="X147" i="41"/>
  <c r="W147" i="41"/>
  <c r="V147" i="41"/>
  <c r="U147" i="41"/>
  <c r="T147" i="41"/>
  <c r="S147" i="41"/>
  <c r="R147" i="41"/>
  <c r="X146" i="41"/>
  <c r="W146" i="41"/>
  <c r="V146" i="41"/>
  <c r="U146" i="41"/>
  <c r="T146" i="41"/>
  <c r="S146" i="41"/>
  <c r="R146" i="41"/>
  <c r="X145" i="41"/>
  <c r="W145" i="41"/>
  <c r="V145" i="41"/>
  <c r="U145" i="41"/>
  <c r="T145" i="41"/>
  <c r="S145" i="41"/>
  <c r="R145" i="41"/>
  <c r="X144" i="41"/>
  <c r="W144" i="41"/>
  <c r="V144" i="41"/>
  <c r="U144" i="41"/>
  <c r="T144" i="41"/>
  <c r="S144" i="41"/>
  <c r="R144" i="41"/>
  <c r="X143" i="41"/>
  <c r="W143" i="41"/>
  <c r="V143" i="41"/>
  <c r="U143" i="41"/>
  <c r="T143" i="41"/>
  <c r="S143" i="41"/>
  <c r="R143" i="41"/>
  <c r="X142" i="41"/>
  <c r="W142" i="41"/>
  <c r="V142" i="41"/>
  <c r="U142" i="41"/>
  <c r="T142" i="41"/>
  <c r="S142" i="41"/>
  <c r="R142" i="41"/>
  <c r="X141" i="41"/>
  <c r="W141" i="41"/>
  <c r="V141" i="41"/>
  <c r="U141" i="41"/>
  <c r="T141" i="41"/>
  <c r="S141" i="41"/>
  <c r="R141" i="41"/>
  <c r="X140" i="41"/>
  <c r="W140" i="41"/>
  <c r="V140" i="41"/>
  <c r="U140" i="41"/>
  <c r="T140" i="41"/>
  <c r="S140" i="41"/>
  <c r="R140" i="41"/>
  <c r="X139" i="41"/>
  <c r="W139" i="41"/>
  <c r="V139" i="41"/>
  <c r="U139" i="41"/>
  <c r="T139" i="41"/>
  <c r="S139" i="41"/>
  <c r="R139" i="41"/>
  <c r="X138" i="41"/>
  <c r="W138" i="41"/>
  <c r="V138" i="41"/>
  <c r="U138" i="41"/>
  <c r="T138" i="41"/>
  <c r="S138" i="41"/>
  <c r="R138" i="41"/>
  <c r="X137" i="41"/>
  <c r="W137" i="41"/>
  <c r="V137" i="41"/>
  <c r="U137" i="41"/>
  <c r="T137" i="41"/>
  <c r="S137" i="41"/>
  <c r="R137" i="41"/>
  <c r="X136" i="41"/>
  <c r="W136" i="41"/>
  <c r="V136" i="41"/>
  <c r="U136" i="41"/>
  <c r="T136" i="41"/>
  <c r="S136" i="41"/>
  <c r="R136" i="41"/>
  <c r="X135" i="41"/>
  <c r="W135" i="41"/>
  <c r="V135" i="41"/>
  <c r="U135" i="41"/>
  <c r="T135" i="41"/>
  <c r="S135" i="41"/>
  <c r="R135" i="41"/>
  <c r="X134" i="41"/>
  <c r="W134" i="41"/>
  <c r="V134" i="41"/>
  <c r="U134" i="41"/>
  <c r="T134" i="41"/>
  <c r="S134" i="41"/>
  <c r="R134" i="41"/>
  <c r="X133" i="41"/>
  <c r="W133" i="41"/>
  <c r="V133" i="41"/>
  <c r="U133" i="41"/>
  <c r="T133" i="41"/>
  <c r="S133" i="41"/>
  <c r="R133" i="41"/>
  <c r="X132" i="41"/>
  <c r="W132" i="41"/>
  <c r="V132" i="41"/>
  <c r="U132" i="41"/>
  <c r="T132" i="41"/>
  <c r="S132" i="41"/>
  <c r="R132" i="41"/>
  <c r="X131" i="41"/>
  <c r="W131" i="41"/>
  <c r="V131" i="41"/>
  <c r="U131" i="41"/>
  <c r="T131" i="41"/>
  <c r="S131" i="41"/>
  <c r="R131" i="41"/>
  <c r="X130" i="41"/>
  <c r="W130" i="41"/>
  <c r="V130" i="41"/>
  <c r="U130" i="41"/>
  <c r="T130" i="41"/>
  <c r="S130" i="41"/>
  <c r="R130" i="41"/>
  <c r="X129" i="41"/>
  <c r="W129" i="41"/>
  <c r="V129" i="41"/>
  <c r="U129" i="41"/>
  <c r="T129" i="41"/>
  <c r="S129" i="41"/>
  <c r="R129" i="41"/>
  <c r="X128" i="41"/>
  <c r="W128" i="41"/>
  <c r="V128" i="41"/>
  <c r="U128" i="41"/>
  <c r="T128" i="41"/>
  <c r="S128" i="41"/>
  <c r="R128" i="41"/>
  <c r="X127" i="41"/>
  <c r="W127" i="41"/>
  <c r="V127" i="41"/>
  <c r="U127" i="41"/>
  <c r="T127" i="41"/>
  <c r="S127" i="41"/>
  <c r="R127" i="41"/>
  <c r="X126" i="41"/>
  <c r="W126" i="41"/>
  <c r="V126" i="41"/>
  <c r="U126" i="41"/>
  <c r="T126" i="41"/>
  <c r="S126" i="41"/>
  <c r="R126" i="41"/>
  <c r="X125" i="41"/>
  <c r="W125" i="41"/>
  <c r="V125" i="41"/>
  <c r="U125" i="41"/>
  <c r="T125" i="41"/>
  <c r="S125" i="41"/>
  <c r="R125" i="41"/>
  <c r="X124" i="41"/>
  <c r="W124" i="41"/>
  <c r="V124" i="41"/>
  <c r="U124" i="41"/>
  <c r="T124" i="41"/>
  <c r="S124" i="41"/>
  <c r="R124" i="41"/>
  <c r="X123" i="41"/>
  <c r="W123" i="41"/>
  <c r="V123" i="41"/>
  <c r="U123" i="41"/>
  <c r="T123" i="41"/>
  <c r="S123" i="41"/>
  <c r="R123" i="41"/>
  <c r="X122" i="41"/>
  <c r="W122" i="41"/>
  <c r="V122" i="41"/>
  <c r="U122" i="41"/>
  <c r="T122" i="41"/>
  <c r="S122" i="41"/>
  <c r="R122" i="41"/>
  <c r="X121" i="41"/>
  <c r="W121" i="41"/>
  <c r="V121" i="41"/>
  <c r="U121" i="41"/>
  <c r="T121" i="41"/>
  <c r="S121" i="41"/>
  <c r="R121" i="41"/>
  <c r="X120" i="41"/>
  <c r="W120" i="41"/>
  <c r="V120" i="41"/>
  <c r="U120" i="41"/>
  <c r="T120" i="41"/>
  <c r="S120" i="41"/>
  <c r="R120" i="41"/>
  <c r="X119" i="41"/>
  <c r="W119" i="41"/>
  <c r="V119" i="41"/>
  <c r="U119" i="41"/>
  <c r="T119" i="41"/>
  <c r="S119" i="41"/>
  <c r="R119" i="41"/>
  <c r="X118" i="41"/>
  <c r="W118" i="41"/>
  <c r="V118" i="41"/>
  <c r="U118" i="41"/>
  <c r="T118" i="41"/>
  <c r="S118" i="41"/>
  <c r="R118" i="41"/>
  <c r="X117" i="41"/>
  <c r="W117" i="41"/>
  <c r="V117" i="41"/>
  <c r="U117" i="41"/>
  <c r="T117" i="41"/>
  <c r="S117" i="41"/>
  <c r="R117" i="41"/>
  <c r="X116" i="41"/>
  <c r="W116" i="41"/>
  <c r="V116" i="41"/>
  <c r="U116" i="41"/>
  <c r="T116" i="41"/>
  <c r="S116" i="41"/>
  <c r="R116" i="41"/>
  <c r="X115" i="41"/>
  <c r="W115" i="41"/>
  <c r="V115" i="41"/>
  <c r="U115" i="41"/>
  <c r="T115" i="41"/>
  <c r="S115" i="41"/>
  <c r="R115" i="41"/>
  <c r="X114" i="41"/>
  <c r="W114" i="41"/>
  <c r="V114" i="41"/>
  <c r="U114" i="41"/>
  <c r="T114" i="41"/>
  <c r="S114" i="41"/>
  <c r="R114" i="41"/>
  <c r="X113" i="41"/>
  <c r="W113" i="41"/>
  <c r="V113" i="41"/>
  <c r="U113" i="41"/>
  <c r="T113" i="41"/>
  <c r="S113" i="41"/>
  <c r="R113" i="41"/>
  <c r="X112" i="41"/>
  <c r="W112" i="41"/>
  <c r="V112" i="41"/>
  <c r="U112" i="41"/>
  <c r="T112" i="41"/>
  <c r="S112" i="41"/>
  <c r="R112" i="41"/>
  <c r="X111" i="41"/>
  <c r="W111" i="41"/>
  <c r="V111" i="41"/>
  <c r="U111" i="41"/>
  <c r="T111" i="41"/>
  <c r="S111" i="41"/>
  <c r="R111" i="41"/>
  <c r="X110" i="41"/>
  <c r="W110" i="41"/>
  <c r="V110" i="41"/>
  <c r="U110" i="41"/>
  <c r="T110" i="41"/>
  <c r="S110" i="41"/>
  <c r="R110" i="41"/>
  <c r="X109" i="41"/>
  <c r="W109" i="41"/>
  <c r="V109" i="41"/>
  <c r="U109" i="41"/>
  <c r="T109" i="41"/>
  <c r="S109" i="41"/>
  <c r="R109" i="41"/>
  <c r="X108" i="41"/>
  <c r="W108" i="41"/>
  <c r="V108" i="41"/>
  <c r="U108" i="41"/>
  <c r="T108" i="41"/>
  <c r="S108" i="41"/>
  <c r="R108" i="41"/>
  <c r="X107" i="41"/>
  <c r="W107" i="41"/>
  <c r="V107" i="41"/>
  <c r="U107" i="41"/>
  <c r="T107" i="41"/>
  <c r="S107" i="41"/>
  <c r="R107" i="41"/>
  <c r="X106" i="41"/>
  <c r="W106" i="41"/>
  <c r="V106" i="41"/>
  <c r="U106" i="41"/>
  <c r="T106" i="41"/>
  <c r="S106" i="41"/>
  <c r="R106" i="41"/>
  <c r="X105" i="41"/>
  <c r="W105" i="41"/>
  <c r="V105" i="41"/>
  <c r="U105" i="41"/>
  <c r="T105" i="41"/>
  <c r="S105" i="41"/>
  <c r="R105" i="41"/>
  <c r="X104" i="41"/>
  <c r="W104" i="41"/>
  <c r="V104" i="41"/>
  <c r="U104" i="41"/>
  <c r="T104" i="41"/>
  <c r="S104" i="41"/>
  <c r="R104" i="41"/>
  <c r="X103" i="41"/>
  <c r="W103" i="41"/>
  <c r="V103" i="41"/>
  <c r="U103" i="41"/>
  <c r="T103" i="41"/>
  <c r="S103" i="41"/>
  <c r="R103" i="41"/>
  <c r="X102" i="41"/>
  <c r="W102" i="41"/>
  <c r="V102" i="41"/>
  <c r="U102" i="41"/>
  <c r="T102" i="41"/>
  <c r="S102" i="41"/>
  <c r="R102" i="41"/>
  <c r="X101" i="41"/>
  <c r="W101" i="41"/>
  <c r="V101" i="41"/>
  <c r="U101" i="41"/>
  <c r="T101" i="41"/>
  <c r="S101" i="41"/>
  <c r="R101" i="41"/>
  <c r="X100" i="41"/>
  <c r="W100" i="41"/>
  <c r="V100" i="41"/>
  <c r="U100" i="41"/>
  <c r="T100" i="41"/>
  <c r="S100" i="41"/>
  <c r="R100" i="41"/>
  <c r="X99" i="41"/>
  <c r="W99" i="41"/>
  <c r="V99" i="41"/>
  <c r="U99" i="41"/>
  <c r="T99" i="41"/>
  <c r="S99" i="41"/>
  <c r="R99" i="41"/>
  <c r="X98" i="41"/>
  <c r="W98" i="41"/>
  <c r="V98" i="41"/>
  <c r="U98" i="41"/>
  <c r="T98" i="41"/>
  <c r="S98" i="41"/>
  <c r="R98" i="41"/>
  <c r="X97" i="41"/>
  <c r="W97" i="41"/>
  <c r="V97" i="41"/>
  <c r="U97" i="41"/>
  <c r="T97" i="41"/>
  <c r="S97" i="41"/>
  <c r="R97" i="41"/>
  <c r="X96" i="41"/>
  <c r="W96" i="41"/>
  <c r="V96" i="41"/>
  <c r="U96" i="41"/>
  <c r="T96" i="41"/>
  <c r="S96" i="41"/>
  <c r="R96" i="41"/>
  <c r="X95" i="41"/>
  <c r="W95" i="41"/>
  <c r="V95" i="41"/>
  <c r="U95" i="41"/>
  <c r="T95" i="41"/>
  <c r="S95" i="41"/>
  <c r="R95" i="41"/>
  <c r="X94" i="41"/>
  <c r="W94" i="41"/>
  <c r="V94" i="41"/>
  <c r="U94" i="41"/>
  <c r="T94" i="41"/>
  <c r="S94" i="41"/>
  <c r="R94" i="41"/>
  <c r="X93" i="41"/>
  <c r="W93" i="41"/>
  <c r="V93" i="41"/>
  <c r="U93" i="41"/>
  <c r="T93" i="41"/>
  <c r="S93" i="41"/>
  <c r="R93" i="41"/>
  <c r="X92" i="41"/>
  <c r="W92" i="41"/>
  <c r="V92" i="41"/>
  <c r="U92" i="41"/>
  <c r="T92" i="41"/>
  <c r="S92" i="41"/>
  <c r="R92" i="41"/>
  <c r="X91" i="41"/>
  <c r="W91" i="41"/>
  <c r="V91" i="41"/>
  <c r="U91" i="41"/>
  <c r="T91" i="41"/>
  <c r="S91" i="41"/>
  <c r="R91" i="41"/>
  <c r="X90" i="41"/>
  <c r="W90" i="41"/>
  <c r="V90" i="41"/>
  <c r="U90" i="41"/>
  <c r="T90" i="41"/>
  <c r="S90" i="41"/>
  <c r="R90" i="41"/>
  <c r="X89" i="41"/>
  <c r="W89" i="41"/>
  <c r="V89" i="41"/>
  <c r="U89" i="41"/>
  <c r="T89" i="41"/>
  <c r="S89" i="41"/>
  <c r="R89" i="41"/>
  <c r="X88" i="41"/>
  <c r="W88" i="41"/>
  <c r="V88" i="41"/>
  <c r="U88" i="41"/>
  <c r="T88" i="41"/>
  <c r="S88" i="41"/>
  <c r="R88" i="41"/>
  <c r="X87" i="41"/>
  <c r="W87" i="41"/>
  <c r="V87" i="41"/>
  <c r="U87" i="41"/>
  <c r="T87" i="41"/>
  <c r="S87" i="41"/>
  <c r="R87" i="41"/>
  <c r="X86" i="41"/>
  <c r="W86" i="41"/>
  <c r="V86" i="41"/>
  <c r="U86" i="41"/>
  <c r="T86" i="41"/>
  <c r="S86" i="41"/>
  <c r="R86" i="41"/>
  <c r="X85" i="41"/>
  <c r="W85" i="41"/>
  <c r="V85" i="41"/>
  <c r="U85" i="41"/>
  <c r="T85" i="41"/>
  <c r="S85" i="41"/>
  <c r="R85" i="41"/>
  <c r="X84" i="41"/>
  <c r="W84" i="41"/>
  <c r="V84" i="41"/>
  <c r="U84" i="41"/>
  <c r="T84" i="41"/>
  <c r="S84" i="41"/>
  <c r="R84" i="41"/>
  <c r="X83" i="41"/>
  <c r="W83" i="41"/>
  <c r="V83" i="41"/>
  <c r="U83" i="41"/>
  <c r="T83" i="41"/>
  <c r="S83" i="41"/>
  <c r="R83" i="41"/>
  <c r="X82" i="41"/>
  <c r="W82" i="41"/>
  <c r="V82" i="41"/>
  <c r="U82" i="41"/>
  <c r="T82" i="41"/>
  <c r="S82" i="41"/>
  <c r="R82" i="41"/>
  <c r="X81" i="41"/>
  <c r="W81" i="41"/>
  <c r="V81" i="41"/>
  <c r="U81" i="41"/>
  <c r="T81" i="41"/>
  <c r="S81" i="41"/>
  <c r="R81" i="41"/>
  <c r="X80" i="41"/>
  <c r="W80" i="41"/>
  <c r="V80" i="41"/>
  <c r="U80" i="41"/>
  <c r="T80" i="41"/>
  <c r="S80" i="41"/>
  <c r="R80" i="41"/>
  <c r="X79" i="41"/>
  <c r="W79" i="41"/>
  <c r="V79" i="41"/>
  <c r="U79" i="41"/>
  <c r="T79" i="41"/>
  <c r="S79" i="41"/>
  <c r="R79" i="41"/>
  <c r="X78" i="41"/>
  <c r="W78" i="41"/>
  <c r="V78" i="41"/>
  <c r="U78" i="41"/>
  <c r="T78" i="41"/>
  <c r="S78" i="41"/>
  <c r="R78" i="41"/>
  <c r="X77" i="41"/>
  <c r="W77" i="41"/>
  <c r="V77" i="41"/>
  <c r="U77" i="41"/>
  <c r="T77" i="41"/>
  <c r="S77" i="41"/>
  <c r="R77" i="41"/>
  <c r="X76" i="41"/>
  <c r="W76" i="41"/>
  <c r="V76" i="41"/>
  <c r="U76" i="41"/>
  <c r="T76" i="41"/>
  <c r="S76" i="41"/>
  <c r="R76" i="41"/>
  <c r="X75" i="41"/>
  <c r="W75" i="41"/>
  <c r="V75" i="41"/>
  <c r="U75" i="41"/>
  <c r="T75" i="41"/>
  <c r="S75" i="41"/>
  <c r="R75" i="41"/>
  <c r="X74" i="41"/>
  <c r="W74" i="41"/>
  <c r="V74" i="41"/>
  <c r="U74" i="41"/>
  <c r="T74" i="41"/>
  <c r="S74" i="41"/>
  <c r="R74" i="41"/>
  <c r="X73" i="41"/>
  <c r="W73" i="41"/>
  <c r="V73" i="41"/>
  <c r="U73" i="41"/>
  <c r="T73" i="41"/>
  <c r="S73" i="41"/>
  <c r="R73" i="41"/>
  <c r="X72" i="41"/>
  <c r="W72" i="41"/>
  <c r="V72" i="41"/>
  <c r="U72" i="41"/>
  <c r="T72" i="41"/>
  <c r="S72" i="41"/>
  <c r="R72" i="41"/>
  <c r="X71" i="41"/>
  <c r="W71" i="41"/>
  <c r="V71" i="41"/>
  <c r="U71" i="41"/>
  <c r="T71" i="41"/>
  <c r="S71" i="41"/>
  <c r="R71" i="41"/>
  <c r="X70" i="41"/>
  <c r="W70" i="41"/>
  <c r="V70" i="41"/>
  <c r="U70" i="41"/>
  <c r="T70" i="41"/>
  <c r="S70" i="41"/>
  <c r="R70" i="41"/>
  <c r="X69" i="41"/>
  <c r="W69" i="41"/>
  <c r="V69" i="41"/>
  <c r="U69" i="41"/>
  <c r="T69" i="41"/>
  <c r="S69" i="41"/>
  <c r="R69" i="41"/>
  <c r="X68" i="41"/>
  <c r="W68" i="41"/>
  <c r="V68" i="41"/>
  <c r="U68" i="41"/>
  <c r="T68" i="41"/>
  <c r="S68" i="41"/>
  <c r="R68" i="41"/>
  <c r="X67" i="41"/>
  <c r="W67" i="41"/>
  <c r="V67" i="41"/>
  <c r="U67" i="41"/>
  <c r="T67" i="41"/>
  <c r="S67" i="41"/>
  <c r="R67" i="41"/>
  <c r="X66" i="41"/>
  <c r="W66" i="41"/>
  <c r="V66" i="41"/>
  <c r="U66" i="41"/>
  <c r="T66" i="41"/>
  <c r="S66" i="41"/>
  <c r="R66" i="41"/>
  <c r="X65" i="41"/>
  <c r="W65" i="41"/>
  <c r="V65" i="41"/>
  <c r="U65" i="41"/>
  <c r="T65" i="41"/>
  <c r="S65" i="41"/>
  <c r="R65" i="41"/>
  <c r="X64" i="41"/>
  <c r="W64" i="41"/>
  <c r="V64" i="41"/>
  <c r="U64" i="41"/>
  <c r="T64" i="41"/>
  <c r="S64" i="41"/>
  <c r="R64" i="41"/>
  <c r="X63" i="41"/>
  <c r="W63" i="41"/>
  <c r="V63" i="41"/>
  <c r="U63" i="41"/>
  <c r="T63" i="41"/>
  <c r="S63" i="41"/>
  <c r="R63" i="41"/>
  <c r="X62" i="41"/>
  <c r="W62" i="41"/>
  <c r="V62" i="41"/>
  <c r="U62" i="41"/>
  <c r="T62" i="41"/>
  <c r="S62" i="41"/>
  <c r="R62" i="41"/>
  <c r="X61" i="41"/>
  <c r="W61" i="41"/>
  <c r="V61" i="41"/>
  <c r="U61" i="41"/>
  <c r="T61" i="41"/>
  <c r="S61" i="41"/>
  <c r="R61" i="41"/>
  <c r="X60" i="41"/>
  <c r="W60" i="41"/>
  <c r="V60" i="41"/>
  <c r="U60" i="41"/>
  <c r="T60" i="41"/>
  <c r="S60" i="41"/>
  <c r="R60" i="41"/>
  <c r="X59" i="41"/>
  <c r="W59" i="41"/>
  <c r="V59" i="41"/>
  <c r="U59" i="41"/>
  <c r="T59" i="41"/>
  <c r="S59" i="41"/>
  <c r="R59" i="41"/>
  <c r="X58" i="41"/>
  <c r="W58" i="41"/>
  <c r="V58" i="41"/>
  <c r="U58" i="41"/>
  <c r="T58" i="41"/>
  <c r="S58" i="41"/>
  <c r="R58" i="41"/>
  <c r="X57" i="41"/>
  <c r="W57" i="41"/>
  <c r="V57" i="41"/>
  <c r="U57" i="41"/>
  <c r="T57" i="41"/>
  <c r="S57" i="41"/>
  <c r="R57" i="41"/>
  <c r="X56" i="41"/>
  <c r="W56" i="41"/>
  <c r="V56" i="41"/>
  <c r="U56" i="41"/>
  <c r="T56" i="41"/>
  <c r="S56" i="41"/>
  <c r="R56" i="41"/>
  <c r="X55" i="41"/>
  <c r="W55" i="41"/>
  <c r="V55" i="41"/>
  <c r="U55" i="41"/>
  <c r="T55" i="41"/>
  <c r="S55" i="41"/>
  <c r="R55" i="41"/>
  <c r="X54" i="41"/>
  <c r="W54" i="41"/>
  <c r="V54" i="41"/>
  <c r="U54" i="41"/>
  <c r="T54" i="41"/>
  <c r="S54" i="41"/>
  <c r="R54" i="41"/>
  <c r="X53" i="41"/>
  <c r="W53" i="41"/>
  <c r="V53" i="41"/>
  <c r="U53" i="41"/>
  <c r="T53" i="41"/>
  <c r="S53" i="41"/>
  <c r="R53" i="41"/>
  <c r="X52" i="41"/>
  <c r="W52" i="41"/>
  <c r="V52" i="41"/>
  <c r="U52" i="41"/>
  <c r="T52" i="41"/>
  <c r="S52" i="41"/>
  <c r="R52" i="41"/>
  <c r="X51" i="41"/>
  <c r="W51" i="41"/>
  <c r="V51" i="41"/>
  <c r="U51" i="41"/>
  <c r="T51" i="41"/>
  <c r="S51" i="41"/>
  <c r="R51" i="41"/>
  <c r="X50" i="41"/>
  <c r="W50" i="41"/>
  <c r="V50" i="41"/>
  <c r="U50" i="41"/>
  <c r="T50" i="41"/>
  <c r="S50" i="41"/>
  <c r="R50" i="41"/>
  <c r="X49" i="41"/>
  <c r="W49" i="41"/>
  <c r="V49" i="41"/>
  <c r="U49" i="41"/>
  <c r="T49" i="41"/>
  <c r="S49" i="41"/>
  <c r="R49" i="41"/>
  <c r="X48" i="41"/>
  <c r="W48" i="41"/>
  <c r="V48" i="41"/>
  <c r="U48" i="41"/>
  <c r="T48" i="41"/>
  <c r="S48" i="41"/>
  <c r="R48" i="41"/>
  <c r="X47" i="41"/>
  <c r="W47" i="41"/>
  <c r="V47" i="41"/>
  <c r="U47" i="41"/>
  <c r="T47" i="41"/>
  <c r="S47" i="41"/>
  <c r="R47" i="41"/>
  <c r="X46" i="41"/>
  <c r="W46" i="41"/>
  <c r="V46" i="41"/>
  <c r="U46" i="41"/>
  <c r="T46" i="41"/>
  <c r="S46" i="41"/>
  <c r="R46" i="41"/>
  <c r="X45" i="41"/>
  <c r="W45" i="41"/>
  <c r="V45" i="41"/>
  <c r="U45" i="41"/>
  <c r="T45" i="41"/>
  <c r="S45" i="41"/>
  <c r="R45" i="41"/>
  <c r="X44" i="41"/>
  <c r="W44" i="41"/>
  <c r="V44" i="41"/>
  <c r="U44" i="41"/>
  <c r="T44" i="41"/>
  <c r="S44" i="41"/>
  <c r="R44" i="41"/>
  <c r="X43" i="41"/>
  <c r="W43" i="41"/>
  <c r="V43" i="41"/>
  <c r="U43" i="41"/>
  <c r="T43" i="41"/>
  <c r="S43" i="41"/>
  <c r="R43" i="41"/>
  <c r="X42" i="41"/>
  <c r="W42" i="41"/>
  <c r="V42" i="41"/>
  <c r="U42" i="41"/>
  <c r="T42" i="41"/>
  <c r="S42" i="41"/>
  <c r="R42" i="41"/>
  <c r="X41" i="41"/>
  <c r="W41" i="41"/>
  <c r="V41" i="41"/>
  <c r="U41" i="41"/>
  <c r="T41" i="41"/>
  <c r="S41" i="41"/>
  <c r="R41" i="41"/>
  <c r="X40" i="41"/>
  <c r="W40" i="41"/>
  <c r="V40" i="41"/>
  <c r="U40" i="41"/>
  <c r="T40" i="41"/>
  <c r="S40" i="41"/>
  <c r="R40" i="41"/>
  <c r="X39" i="41"/>
  <c r="W39" i="41"/>
  <c r="V39" i="41"/>
  <c r="U39" i="41"/>
  <c r="T39" i="41"/>
  <c r="S39" i="41"/>
  <c r="R39" i="41"/>
  <c r="X38" i="41"/>
  <c r="W38" i="41"/>
  <c r="V38" i="41"/>
  <c r="U38" i="41"/>
  <c r="T38" i="41"/>
  <c r="S38" i="41"/>
  <c r="R38" i="41"/>
  <c r="X37" i="41"/>
  <c r="W37" i="41"/>
  <c r="V37" i="41"/>
  <c r="U37" i="41"/>
  <c r="T37" i="41"/>
  <c r="S37" i="41"/>
  <c r="R37" i="41"/>
  <c r="X36" i="41"/>
  <c r="W36" i="41"/>
  <c r="V36" i="41"/>
  <c r="U36" i="41"/>
  <c r="T36" i="41"/>
  <c r="S36" i="41"/>
  <c r="R36" i="41"/>
  <c r="X35" i="41"/>
  <c r="W35" i="41"/>
  <c r="V35" i="41"/>
  <c r="U35" i="41"/>
  <c r="T35" i="41"/>
  <c r="S35" i="41"/>
  <c r="R35" i="41"/>
  <c r="U34" i="41"/>
  <c r="T34" i="41"/>
  <c r="S34" i="41"/>
  <c r="R34" i="41"/>
  <c r="M34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L42" i="41" s="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R16" i="41"/>
  <c r="N16" i="41"/>
  <c r="M16" i="41"/>
  <c r="L16" i="41"/>
  <c r="K16" i="41"/>
  <c r="Y2" i="41"/>
  <c r="K23" i="37"/>
  <c r="K24" i="37"/>
  <c r="K25" i="37"/>
  <c r="K26" i="37"/>
  <c r="K27" i="37"/>
  <c r="K28" i="37"/>
  <c r="K29" i="37"/>
  <c r="K30" i="37"/>
  <c r="K31" i="37"/>
  <c r="K32" i="37"/>
  <c r="K18" i="39"/>
  <c r="K19" i="39"/>
  <c r="K20" i="39"/>
  <c r="K21" i="39"/>
  <c r="K22" i="39"/>
  <c r="K23" i="39"/>
  <c r="X153" i="39"/>
  <c r="W153" i="39"/>
  <c r="V153" i="39"/>
  <c r="U153" i="39"/>
  <c r="T153" i="39"/>
  <c r="S153" i="39"/>
  <c r="R153" i="39"/>
  <c r="X152" i="39"/>
  <c r="W152" i="39"/>
  <c r="V152" i="39"/>
  <c r="U152" i="39"/>
  <c r="T152" i="39"/>
  <c r="S152" i="39"/>
  <c r="R152" i="39"/>
  <c r="X151" i="39"/>
  <c r="W151" i="39"/>
  <c r="V151" i="39"/>
  <c r="U151" i="39"/>
  <c r="T151" i="39"/>
  <c r="S151" i="39"/>
  <c r="R151" i="39"/>
  <c r="X150" i="39"/>
  <c r="W150" i="39"/>
  <c r="V150" i="39"/>
  <c r="U150" i="39"/>
  <c r="T150" i="39"/>
  <c r="S150" i="39"/>
  <c r="R150" i="39"/>
  <c r="X149" i="39"/>
  <c r="W149" i="39"/>
  <c r="V149" i="39"/>
  <c r="U149" i="39"/>
  <c r="T149" i="39"/>
  <c r="S149" i="39"/>
  <c r="R149" i="39"/>
  <c r="X148" i="39"/>
  <c r="W148" i="39"/>
  <c r="V148" i="39"/>
  <c r="U148" i="39"/>
  <c r="T148" i="39"/>
  <c r="S148" i="39"/>
  <c r="R148" i="39"/>
  <c r="X147" i="39"/>
  <c r="W147" i="39"/>
  <c r="V147" i="39"/>
  <c r="U147" i="39"/>
  <c r="T147" i="39"/>
  <c r="S147" i="39"/>
  <c r="R147" i="39"/>
  <c r="X146" i="39"/>
  <c r="W146" i="39"/>
  <c r="V146" i="39"/>
  <c r="U146" i="39"/>
  <c r="T146" i="39"/>
  <c r="S146" i="39"/>
  <c r="R146" i="39"/>
  <c r="X145" i="39"/>
  <c r="W145" i="39"/>
  <c r="V145" i="39"/>
  <c r="U145" i="39"/>
  <c r="T145" i="39"/>
  <c r="S145" i="39"/>
  <c r="R145" i="39"/>
  <c r="X144" i="39"/>
  <c r="W144" i="39"/>
  <c r="V144" i="39"/>
  <c r="U144" i="39"/>
  <c r="T144" i="39"/>
  <c r="S144" i="39"/>
  <c r="R144" i="39"/>
  <c r="X143" i="39"/>
  <c r="W143" i="39"/>
  <c r="V143" i="39"/>
  <c r="U143" i="39"/>
  <c r="T143" i="39"/>
  <c r="S143" i="39"/>
  <c r="R143" i="39"/>
  <c r="X142" i="39"/>
  <c r="W142" i="39"/>
  <c r="V142" i="39"/>
  <c r="U142" i="39"/>
  <c r="T142" i="39"/>
  <c r="S142" i="39"/>
  <c r="R142" i="39"/>
  <c r="X141" i="39"/>
  <c r="W141" i="39"/>
  <c r="V141" i="39"/>
  <c r="U141" i="39"/>
  <c r="T141" i="39"/>
  <c r="S141" i="39"/>
  <c r="R141" i="39"/>
  <c r="X140" i="39"/>
  <c r="W140" i="39"/>
  <c r="V140" i="39"/>
  <c r="U140" i="39"/>
  <c r="T140" i="39"/>
  <c r="S140" i="39"/>
  <c r="R140" i="39"/>
  <c r="X139" i="39"/>
  <c r="W139" i="39"/>
  <c r="V139" i="39"/>
  <c r="U139" i="39"/>
  <c r="T139" i="39"/>
  <c r="S139" i="39"/>
  <c r="R139" i="39"/>
  <c r="X138" i="39"/>
  <c r="W138" i="39"/>
  <c r="V138" i="39"/>
  <c r="U138" i="39"/>
  <c r="T138" i="39"/>
  <c r="S138" i="39"/>
  <c r="R138" i="39"/>
  <c r="X137" i="39"/>
  <c r="W137" i="39"/>
  <c r="V137" i="39"/>
  <c r="U137" i="39"/>
  <c r="T137" i="39"/>
  <c r="S137" i="39"/>
  <c r="R137" i="39"/>
  <c r="X136" i="39"/>
  <c r="W136" i="39"/>
  <c r="V136" i="39"/>
  <c r="U136" i="39"/>
  <c r="T136" i="39"/>
  <c r="S136" i="39"/>
  <c r="R136" i="39"/>
  <c r="X135" i="39"/>
  <c r="W135" i="39"/>
  <c r="V135" i="39"/>
  <c r="U135" i="39"/>
  <c r="T135" i="39"/>
  <c r="S135" i="39"/>
  <c r="R135" i="39"/>
  <c r="X134" i="39"/>
  <c r="W134" i="39"/>
  <c r="V134" i="39"/>
  <c r="U134" i="39"/>
  <c r="T134" i="39"/>
  <c r="S134" i="39"/>
  <c r="R134" i="39"/>
  <c r="X133" i="39"/>
  <c r="W133" i="39"/>
  <c r="V133" i="39"/>
  <c r="U133" i="39"/>
  <c r="T133" i="39"/>
  <c r="S133" i="39"/>
  <c r="R133" i="39"/>
  <c r="X132" i="39"/>
  <c r="W132" i="39"/>
  <c r="V132" i="39"/>
  <c r="U132" i="39"/>
  <c r="T132" i="39"/>
  <c r="S132" i="39"/>
  <c r="R132" i="39"/>
  <c r="X131" i="39"/>
  <c r="W131" i="39"/>
  <c r="V131" i="39"/>
  <c r="U131" i="39"/>
  <c r="T131" i="39"/>
  <c r="S131" i="39"/>
  <c r="R131" i="39"/>
  <c r="X130" i="39"/>
  <c r="W130" i="39"/>
  <c r="V130" i="39"/>
  <c r="U130" i="39"/>
  <c r="T130" i="39"/>
  <c r="S130" i="39"/>
  <c r="R130" i="39"/>
  <c r="X129" i="39"/>
  <c r="W129" i="39"/>
  <c r="V129" i="39"/>
  <c r="U129" i="39"/>
  <c r="T129" i="39"/>
  <c r="S129" i="39"/>
  <c r="R129" i="39"/>
  <c r="X128" i="39"/>
  <c r="W128" i="39"/>
  <c r="V128" i="39"/>
  <c r="U128" i="39"/>
  <c r="T128" i="39"/>
  <c r="S128" i="39"/>
  <c r="R128" i="39"/>
  <c r="X127" i="39"/>
  <c r="W127" i="39"/>
  <c r="V127" i="39"/>
  <c r="U127" i="39"/>
  <c r="T127" i="39"/>
  <c r="S127" i="39"/>
  <c r="R127" i="39"/>
  <c r="X126" i="39"/>
  <c r="W126" i="39"/>
  <c r="V126" i="39"/>
  <c r="U126" i="39"/>
  <c r="T126" i="39"/>
  <c r="S126" i="39"/>
  <c r="R126" i="39"/>
  <c r="X125" i="39"/>
  <c r="W125" i="39"/>
  <c r="V125" i="39"/>
  <c r="U125" i="39"/>
  <c r="T125" i="39"/>
  <c r="S125" i="39"/>
  <c r="R125" i="39"/>
  <c r="X124" i="39"/>
  <c r="W124" i="39"/>
  <c r="V124" i="39"/>
  <c r="U124" i="39"/>
  <c r="T124" i="39"/>
  <c r="S124" i="39"/>
  <c r="R124" i="39"/>
  <c r="X123" i="39"/>
  <c r="W123" i="39"/>
  <c r="V123" i="39"/>
  <c r="U123" i="39"/>
  <c r="T123" i="39"/>
  <c r="S123" i="39"/>
  <c r="R123" i="39"/>
  <c r="X122" i="39"/>
  <c r="W122" i="39"/>
  <c r="V122" i="39"/>
  <c r="U122" i="39"/>
  <c r="T122" i="39"/>
  <c r="S122" i="39"/>
  <c r="R122" i="39"/>
  <c r="X121" i="39"/>
  <c r="W121" i="39"/>
  <c r="V121" i="39"/>
  <c r="U121" i="39"/>
  <c r="T121" i="39"/>
  <c r="S121" i="39"/>
  <c r="R121" i="39"/>
  <c r="X120" i="39"/>
  <c r="W120" i="39"/>
  <c r="V120" i="39"/>
  <c r="U120" i="39"/>
  <c r="T120" i="39"/>
  <c r="S120" i="39"/>
  <c r="R120" i="39"/>
  <c r="X119" i="39"/>
  <c r="W119" i="39"/>
  <c r="V119" i="39"/>
  <c r="U119" i="39"/>
  <c r="T119" i="39"/>
  <c r="S119" i="39"/>
  <c r="R119" i="39"/>
  <c r="X118" i="39"/>
  <c r="W118" i="39"/>
  <c r="V118" i="39"/>
  <c r="U118" i="39"/>
  <c r="T118" i="39"/>
  <c r="S118" i="39"/>
  <c r="R118" i="39"/>
  <c r="X117" i="39"/>
  <c r="W117" i="39"/>
  <c r="V117" i="39"/>
  <c r="U117" i="39"/>
  <c r="T117" i="39"/>
  <c r="S117" i="39"/>
  <c r="R117" i="39"/>
  <c r="X116" i="39"/>
  <c r="W116" i="39"/>
  <c r="V116" i="39"/>
  <c r="U116" i="39"/>
  <c r="T116" i="39"/>
  <c r="S116" i="39"/>
  <c r="R116" i="39"/>
  <c r="X115" i="39"/>
  <c r="W115" i="39"/>
  <c r="V115" i="39"/>
  <c r="U115" i="39"/>
  <c r="T115" i="39"/>
  <c r="S115" i="39"/>
  <c r="R115" i="39"/>
  <c r="X114" i="39"/>
  <c r="W114" i="39"/>
  <c r="V114" i="39"/>
  <c r="U114" i="39"/>
  <c r="T114" i="39"/>
  <c r="S114" i="39"/>
  <c r="R114" i="39"/>
  <c r="X113" i="39"/>
  <c r="W113" i="39"/>
  <c r="V113" i="39"/>
  <c r="U113" i="39"/>
  <c r="T113" i="39"/>
  <c r="S113" i="39"/>
  <c r="R113" i="39"/>
  <c r="X112" i="39"/>
  <c r="W112" i="39"/>
  <c r="V112" i="39"/>
  <c r="U112" i="39"/>
  <c r="T112" i="39"/>
  <c r="S112" i="39"/>
  <c r="R112" i="39"/>
  <c r="X111" i="39"/>
  <c r="W111" i="39"/>
  <c r="V111" i="39"/>
  <c r="U111" i="39"/>
  <c r="T111" i="39"/>
  <c r="S111" i="39"/>
  <c r="R111" i="39"/>
  <c r="X110" i="39"/>
  <c r="W110" i="39"/>
  <c r="V110" i="39"/>
  <c r="U110" i="39"/>
  <c r="T110" i="39"/>
  <c r="S110" i="39"/>
  <c r="R110" i="39"/>
  <c r="X109" i="39"/>
  <c r="W109" i="39"/>
  <c r="V109" i="39"/>
  <c r="U109" i="39"/>
  <c r="T109" i="39"/>
  <c r="S109" i="39"/>
  <c r="R109" i="39"/>
  <c r="X108" i="39"/>
  <c r="W108" i="39"/>
  <c r="V108" i="39"/>
  <c r="U108" i="39"/>
  <c r="T108" i="39"/>
  <c r="S108" i="39"/>
  <c r="R108" i="39"/>
  <c r="X107" i="39"/>
  <c r="W107" i="39"/>
  <c r="V107" i="39"/>
  <c r="U107" i="39"/>
  <c r="T107" i="39"/>
  <c r="S107" i="39"/>
  <c r="R107" i="39"/>
  <c r="X106" i="39"/>
  <c r="W106" i="39"/>
  <c r="V106" i="39"/>
  <c r="U106" i="39"/>
  <c r="T106" i="39"/>
  <c r="S106" i="39"/>
  <c r="R106" i="39"/>
  <c r="X105" i="39"/>
  <c r="W105" i="39"/>
  <c r="V105" i="39"/>
  <c r="U105" i="39"/>
  <c r="T105" i="39"/>
  <c r="S105" i="39"/>
  <c r="R105" i="39"/>
  <c r="X104" i="39"/>
  <c r="W104" i="39"/>
  <c r="V104" i="39"/>
  <c r="U104" i="39"/>
  <c r="T104" i="39"/>
  <c r="S104" i="39"/>
  <c r="R104" i="39"/>
  <c r="X103" i="39"/>
  <c r="W103" i="39"/>
  <c r="V103" i="39"/>
  <c r="U103" i="39"/>
  <c r="T103" i="39"/>
  <c r="S103" i="39"/>
  <c r="R103" i="39"/>
  <c r="X102" i="39"/>
  <c r="W102" i="39"/>
  <c r="V102" i="39"/>
  <c r="U102" i="39"/>
  <c r="T102" i="39"/>
  <c r="S102" i="39"/>
  <c r="R102" i="39"/>
  <c r="X101" i="39"/>
  <c r="W101" i="39"/>
  <c r="V101" i="39"/>
  <c r="U101" i="39"/>
  <c r="T101" i="39"/>
  <c r="S101" i="39"/>
  <c r="R101" i="39"/>
  <c r="X100" i="39"/>
  <c r="W100" i="39"/>
  <c r="V100" i="39"/>
  <c r="U100" i="39"/>
  <c r="T100" i="39"/>
  <c r="S100" i="39"/>
  <c r="R100" i="39"/>
  <c r="X99" i="39"/>
  <c r="W99" i="39"/>
  <c r="V99" i="39"/>
  <c r="U99" i="39"/>
  <c r="T99" i="39"/>
  <c r="S99" i="39"/>
  <c r="R99" i="39"/>
  <c r="X98" i="39"/>
  <c r="W98" i="39"/>
  <c r="V98" i="39"/>
  <c r="U98" i="39"/>
  <c r="T98" i="39"/>
  <c r="S98" i="39"/>
  <c r="R98" i="39"/>
  <c r="X97" i="39"/>
  <c r="W97" i="39"/>
  <c r="V97" i="39"/>
  <c r="U97" i="39"/>
  <c r="T97" i="39"/>
  <c r="S97" i="39"/>
  <c r="R97" i="39"/>
  <c r="X96" i="39"/>
  <c r="W96" i="39"/>
  <c r="V96" i="39"/>
  <c r="U96" i="39"/>
  <c r="T96" i="39"/>
  <c r="S96" i="39"/>
  <c r="R96" i="39"/>
  <c r="X95" i="39"/>
  <c r="W95" i="39"/>
  <c r="V95" i="39"/>
  <c r="U95" i="39"/>
  <c r="T95" i="39"/>
  <c r="S95" i="39"/>
  <c r="R95" i="39"/>
  <c r="X94" i="39"/>
  <c r="W94" i="39"/>
  <c r="V94" i="39"/>
  <c r="U94" i="39"/>
  <c r="T94" i="39"/>
  <c r="S94" i="39"/>
  <c r="R94" i="39"/>
  <c r="X93" i="39"/>
  <c r="W93" i="39"/>
  <c r="V93" i="39"/>
  <c r="U93" i="39"/>
  <c r="T93" i="39"/>
  <c r="S93" i="39"/>
  <c r="R93" i="39"/>
  <c r="X92" i="39"/>
  <c r="W92" i="39"/>
  <c r="V92" i="39"/>
  <c r="U92" i="39"/>
  <c r="T92" i="39"/>
  <c r="S92" i="39"/>
  <c r="R92" i="39"/>
  <c r="X91" i="39"/>
  <c r="W91" i="39"/>
  <c r="V91" i="39"/>
  <c r="U91" i="39"/>
  <c r="T91" i="39"/>
  <c r="S91" i="39"/>
  <c r="R91" i="39"/>
  <c r="X90" i="39"/>
  <c r="W90" i="39"/>
  <c r="V90" i="39"/>
  <c r="U90" i="39"/>
  <c r="T90" i="39"/>
  <c r="S90" i="39"/>
  <c r="R90" i="39"/>
  <c r="X89" i="39"/>
  <c r="W89" i="39"/>
  <c r="V89" i="39"/>
  <c r="U89" i="39"/>
  <c r="T89" i="39"/>
  <c r="S89" i="39"/>
  <c r="R89" i="39"/>
  <c r="X88" i="39"/>
  <c r="W88" i="39"/>
  <c r="V88" i="39"/>
  <c r="U88" i="39"/>
  <c r="T88" i="39"/>
  <c r="S88" i="39"/>
  <c r="R88" i="39"/>
  <c r="X87" i="39"/>
  <c r="W87" i="39"/>
  <c r="V87" i="39"/>
  <c r="U87" i="39"/>
  <c r="T87" i="39"/>
  <c r="S87" i="39"/>
  <c r="R87" i="39"/>
  <c r="X86" i="39"/>
  <c r="W86" i="39"/>
  <c r="V86" i="39"/>
  <c r="U86" i="39"/>
  <c r="T86" i="39"/>
  <c r="S86" i="39"/>
  <c r="R86" i="39"/>
  <c r="X85" i="39"/>
  <c r="W85" i="39"/>
  <c r="V85" i="39"/>
  <c r="U85" i="39"/>
  <c r="T85" i="39"/>
  <c r="S85" i="39"/>
  <c r="R85" i="39"/>
  <c r="X84" i="39"/>
  <c r="W84" i="39"/>
  <c r="V84" i="39"/>
  <c r="U84" i="39"/>
  <c r="T84" i="39"/>
  <c r="S84" i="39"/>
  <c r="R84" i="39"/>
  <c r="X83" i="39"/>
  <c r="W83" i="39"/>
  <c r="V83" i="39"/>
  <c r="U83" i="39"/>
  <c r="T83" i="39"/>
  <c r="S83" i="39"/>
  <c r="R83" i="39"/>
  <c r="X82" i="39"/>
  <c r="W82" i="39"/>
  <c r="V82" i="39"/>
  <c r="U82" i="39"/>
  <c r="T82" i="39"/>
  <c r="S82" i="39"/>
  <c r="R82" i="39"/>
  <c r="X81" i="39"/>
  <c r="W81" i="39"/>
  <c r="V81" i="39"/>
  <c r="U81" i="39"/>
  <c r="T81" i="39"/>
  <c r="S81" i="39"/>
  <c r="R81" i="39"/>
  <c r="X80" i="39"/>
  <c r="W80" i="39"/>
  <c r="V80" i="39"/>
  <c r="U80" i="39"/>
  <c r="T80" i="39"/>
  <c r="S80" i="39"/>
  <c r="R80" i="39"/>
  <c r="X79" i="39"/>
  <c r="W79" i="39"/>
  <c r="V79" i="39"/>
  <c r="U79" i="39"/>
  <c r="T79" i="39"/>
  <c r="S79" i="39"/>
  <c r="R79" i="39"/>
  <c r="X78" i="39"/>
  <c r="W78" i="39"/>
  <c r="V78" i="39"/>
  <c r="U78" i="39"/>
  <c r="T78" i="39"/>
  <c r="S78" i="39"/>
  <c r="R78" i="39"/>
  <c r="X77" i="39"/>
  <c r="W77" i="39"/>
  <c r="V77" i="39"/>
  <c r="U77" i="39"/>
  <c r="T77" i="39"/>
  <c r="S77" i="39"/>
  <c r="R77" i="39"/>
  <c r="X76" i="39"/>
  <c r="W76" i="39"/>
  <c r="V76" i="39"/>
  <c r="U76" i="39"/>
  <c r="T76" i="39"/>
  <c r="S76" i="39"/>
  <c r="R76" i="39"/>
  <c r="X75" i="39"/>
  <c r="W75" i="39"/>
  <c r="V75" i="39"/>
  <c r="U75" i="39"/>
  <c r="T75" i="39"/>
  <c r="S75" i="39"/>
  <c r="R75" i="39"/>
  <c r="X74" i="39"/>
  <c r="W74" i="39"/>
  <c r="V74" i="39"/>
  <c r="U74" i="39"/>
  <c r="T74" i="39"/>
  <c r="S74" i="39"/>
  <c r="R74" i="39"/>
  <c r="X73" i="39"/>
  <c r="W73" i="39"/>
  <c r="V73" i="39"/>
  <c r="U73" i="39"/>
  <c r="T73" i="39"/>
  <c r="S73" i="39"/>
  <c r="R73" i="39"/>
  <c r="X72" i="39"/>
  <c r="W72" i="39"/>
  <c r="V72" i="39"/>
  <c r="U72" i="39"/>
  <c r="T72" i="39"/>
  <c r="S72" i="39"/>
  <c r="R72" i="39"/>
  <c r="X71" i="39"/>
  <c r="W71" i="39"/>
  <c r="V71" i="39"/>
  <c r="U71" i="39"/>
  <c r="T71" i="39"/>
  <c r="S71" i="39"/>
  <c r="R71" i="39"/>
  <c r="X70" i="39"/>
  <c r="W70" i="39"/>
  <c r="V70" i="39"/>
  <c r="U70" i="39"/>
  <c r="T70" i="39"/>
  <c r="S70" i="39"/>
  <c r="R70" i="39"/>
  <c r="X69" i="39"/>
  <c r="W69" i="39"/>
  <c r="V69" i="39"/>
  <c r="U69" i="39"/>
  <c r="T69" i="39"/>
  <c r="S69" i="39"/>
  <c r="R69" i="39"/>
  <c r="X68" i="39"/>
  <c r="W68" i="39"/>
  <c r="V68" i="39"/>
  <c r="U68" i="39"/>
  <c r="T68" i="39"/>
  <c r="S68" i="39"/>
  <c r="R68" i="39"/>
  <c r="X67" i="39"/>
  <c r="W67" i="39"/>
  <c r="V67" i="39"/>
  <c r="U67" i="39"/>
  <c r="T67" i="39"/>
  <c r="S67" i="39"/>
  <c r="R67" i="39"/>
  <c r="X66" i="39"/>
  <c r="W66" i="39"/>
  <c r="V66" i="39"/>
  <c r="U66" i="39"/>
  <c r="T66" i="39"/>
  <c r="S66" i="39"/>
  <c r="R66" i="39"/>
  <c r="X65" i="39"/>
  <c r="W65" i="39"/>
  <c r="V65" i="39"/>
  <c r="U65" i="39"/>
  <c r="T65" i="39"/>
  <c r="S65" i="39"/>
  <c r="R65" i="39"/>
  <c r="X64" i="39"/>
  <c r="W64" i="39"/>
  <c r="V64" i="39"/>
  <c r="U64" i="39"/>
  <c r="T64" i="39"/>
  <c r="S64" i="39"/>
  <c r="R64" i="39"/>
  <c r="X63" i="39"/>
  <c r="W63" i="39"/>
  <c r="V63" i="39"/>
  <c r="U63" i="39"/>
  <c r="T63" i="39"/>
  <c r="S63" i="39"/>
  <c r="R63" i="39"/>
  <c r="X62" i="39"/>
  <c r="W62" i="39"/>
  <c r="V62" i="39"/>
  <c r="U62" i="39"/>
  <c r="T62" i="39"/>
  <c r="S62" i="39"/>
  <c r="R62" i="39"/>
  <c r="X61" i="39"/>
  <c r="W61" i="39"/>
  <c r="V61" i="39"/>
  <c r="U61" i="39"/>
  <c r="T61" i="39"/>
  <c r="S61" i="39"/>
  <c r="R61" i="39"/>
  <c r="X60" i="39"/>
  <c r="W60" i="39"/>
  <c r="V60" i="39"/>
  <c r="U60" i="39"/>
  <c r="T60" i="39"/>
  <c r="S60" i="39"/>
  <c r="R60" i="39"/>
  <c r="X59" i="39"/>
  <c r="W59" i="39"/>
  <c r="V59" i="39"/>
  <c r="U59" i="39"/>
  <c r="T59" i="39"/>
  <c r="S59" i="39"/>
  <c r="R59" i="39"/>
  <c r="X58" i="39"/>
  <c r="W58" i="39"/>
  <c r="V58" i="39"/>
  <c r="U58" i="39"/>
  <c r="T58" i="39"/>
  <c r="S58" i="39"/>
  <c r="R58" i="39"/>
  <c r="X57" i="39"/>
  <c r="W57" i="39"/>
  <c r="V57" i="39"/>
  <c r="U57" i="39"/>
  <c r="T57" i="39"/>
  <c r="S57" i="39"/>
  <c r="R57" i="39"/>
  <c r="X56" i="39"/>
  <c r="W56" i="39"/>
  <c r="V56" i="39"/>
  <c r="U56" i="39"/>
  <c r="T56" i="39"/>
  <c r="S56" i="39"/>
  <c r="R56" i="39"/>
  <c r="X55" i="39"/>
  <c r="W55" i="39"/>
  <c r="V55" i="39"/>
  <c r="U55" i="39"/>
  <c r="T55" i="39"/>
  <c r="S55" i="39"/>
  <c r="R55" i="39"/>
  <c r="X54" i="39"/>
  <c r="W54" i="39"/>
  <c r="V54" i="39"/>
  <c r="U54" i="39"/>
  <c r="T54" i="39"/>
  <c r="S54" i="39"/>
  <c r="R54" i="39"/>
  <c r="X53" i="39"/>
  <c r="W53" i="39"/>
  <c r="V53" i="39"/>
  <c r="U53" i="39"/>
  <c r="T53" i="39"/>
  <c r="S53" i="39"/>
  <c r="R53" i="39"/>
  <c r="X52" i="39"/>
  <c r="W52" i="39"/>
  <c r="V52" i="39"/>
  <c r="U52" i="39"/>
  <c r="T52" i="39"/>
  <c r="S52" i="39"/>
  <c r="R52" i="39"/>
  <c r="X51" i="39"/>
  <c r="W51" i="39"/>
  <c r="V51" i="39"/>
  <c r="U51" i="39"/>
  <c r="T51" i="39"/>
  <c r="S51" i="39"/>
  <c r="R51" i="39"/>
  <c r="X50" i="39"/>
  <c r="W50" i="39"/>
  <c r="V50" i="39"/>
  <c r="U50" i="39"/>
  <c r="T50" i="39"/>
  <c r="S50" i="39"/>
  <c r="R50" i="39"/>
  <c r="X49" i="39"/>
  <c r="W49" i="39"/>
  <c r="V49" i="39"/>
  <c r="U49" i="39"/>
  <c r="T49" i="39"/>
  <c r="S49" i="39"/>
  <c r="R49" i="39"/>
  <c r="X48" i="39"/>
  <c r="W48" i="39"/>
  <c r="V48" i="39"/>
  <c r="U48" i="39"/>
  <c r="T48" i="39"/>
  <c r="S48" i="39"/>
  <c r="R48" i="39"/>
  <c r="X47" i="39"/>
  <c r="W47" i="39"/>
  <c r="V47" i="39"/>
  <c r="U47" i="39"/>
  <c r="T47" i="39"/>
  <c r="S47" i="39"/>
  <c r="R47" i="39"/>
  <c r="X46" i="39"/>
  <c r="W46" i="39"/>
  <c r="V46" i="39"/>
  <c r="U46" i="39"/>
  <c r="T46" i="39"/>
  <c r="S46" i="39"/>
  <c r="R46" i="39"/>
  <c r="X45" i="39"/>
  <c r="W45" i="39"/>
  <c r="V45" i="39"/>
  <c r="U45" i="39"/>
  <c r="T45" i="39"/>
  <c r="S45" i="39"/>
  <c r="R45" i="39"/>
  <c r="X44" i="39"/>
  <c r="W44" i="39"/>
  <c r="V44" i="39"/>
  <c r="U44" i="39"/>
  <c r="T44" i="39"/>
  <c r="S44" i="39"/>
  <c r="R44" i="39"/>
  <c r="X43" i="39"/>
  <c r="W43" i="39"/>
  <c r="V43" i="39"/>
  <c r="U43" i="39"/>
  <c r="T43" i="39"/>
  <c r="S43" i="39"/>
  <c r="R43" i="39"/>
  <c r="X42" i="39"/>
  <c r="W42" i="39"/>
  <c r="V42" i="39"/>
  <c r="U42" i="39"/>
  <c r="T42" i="39"/>
  <c r="S42" i="39"/>
  <c r="R42" i="39"/>
  <c r="X41" i="39"/>
  <c r="W41" i="39"/>
  <c r="V41" i="39"/>
  <c r="U41" i="39"/>
  <c r="T41" i="39"/>
  <c r="S41" i="39"/>
  <c r="R41" i="39"/>
  <c r="X40" i="39"/>
  <c r="W40" i="39"/>
  <c r="V40" i="39"/>
  <c r="U40" i="39"/>
  <c r="T40" i="39"/>
  <c r="S40" i="39"/>
  <c r="R40" i="39"/>
  <c r="X39" i="39"/>
  <c r="W39" i="39"/>
  <c r="V39" i="39"/>
  <c r="U39" i="39"/>
  <c r="T39" i="39"/>
  <c r="S39" i="39"/>
  <c r="R39" i="39"/>
  <c r="X38" i="39"/>
  <c r="W38" i="39"/>
  <c r="V38" i="39"/>
  <c r="U38" i="39"/>
  <c r="T38" i="39"/>
  <c r="S38" i="39"/>
  <c r="R38" i="39"/>
  <c r="X37" i="39"/>
  <c r="W37" i="39"/>
  <c r="V37" i="39"/>
  <c r="U37" i="39"/>
  <c r="T37" i="39"/>
  <c r="S37" i="39"/>
  <c r="R37" i="39"/>
  <c r="X36" i="39"/>
  <c r="W36" i="39"/>
  <c r="V36" i="39"/>
  <c r="U36" i="39"/>
  <c r="T36" i="39"/>
  <c r="S36" i="39"/>
  <c r="R36" i="39"/>
  <c r="X35" i="39"/>
  <c r="W35" i="39"/>
  <c r="V35" i="39"/>
  <c r="U35" i="39"/>
  <c r="T35" i="39"/>
  <c r="S35" i="39"/>
  <c r="R35" i="39"/>
  <c r="X34" i="39"/>
  <c r="W34" i="39"/>
  <c r="V34" i="39"/>
  <c r="U34" i="39"/>
  <c r="T34" i="39"/>
  <c r="S34" i="39"/>
  <c r="R34" i="39"/>
  <c r="X33" i="39"/>
  <c r="W33" i="39"/>
  <c r="V33" i="39"/>
  <c r="U33" i="39"/>
  <c r="T33" i="39"/>
  <c r="S33" i="39"/>
  <c r="R33" i="39"/>
  <c r="X32" i="39"/>
  <c r="W32" i="39"/>
  <c r="V32" i="39"/>
  <c r="R32" i="39"/>
  <c r="U31" i="39"/>
  <c r="T31" i="39"/>
  <c r="S31" i="39"/>
  <c r="R31" i="39"/>
  <c r="N31" i="39"/>
  <c r="M31" i="39"/>
  <c r="L31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R16" i="39"/>
  <c r="N16" i="39"/>
  <c r="M16" i="39"/>
  <c r="L16" i="39"/>
  <c r="K16" i="39"/>
  <c r="Y2" i="39"/>
  <c r="O40" i="35"/>
  <c r="P40" i="35"/>
  <c r="Q40" i="35"/>
  <c r="O41" i="35"/>
  <c r="P41" i="35"/>
  <c r="Q41" i="35"/>
  <c r="O42" i="35"/>
  <c r="P42" i="35"/>
  <c r="Q42" i="35"/>
  <c r="O43" i="35"/>
  <c r="P43" i="35"/>
  <c r="Q43" i="35"/>
  <c r="O44" i="35"/>
  <c r="P44" i="35"/>
  <c r="Q44" i="35"/>
  <c r="O45" i="35"/>
  <c r="P45" i="35"/>
  <c r="Q45" i="35"/>
  <c r="O46" i="35"/>
  <c r="P46" i="35"/>
  <c r="Q46" i="35"/>
  <c r="O47" i="35"/>
  <c r="P47" i="35"/>
  <c r="Q47" i="35"/>
  <c r="O48" i="35"/>
  <c r="P48" i="35"/>
  <c r="Q48" i="35"/>
  <c r="O49" i="35"/>
  <c r="P49" i="35"/>
  <c r="Q49" i="35"/>
  <c r="O50" i="35"/>
  <c r="P50" i="35"/>
  <c r="Q50" i="35"/>
  <c r="O51" i="35"/>
  <c r="P51" i="35"/>
  <c r="Q51" i="35"/>
  <c r="O52" i="35"/>
  <c r="P52" i="35"/>
  <c r="Q52" i="35"/>
  <c r="O53" i="35"/>
  <c r="P53" i="35"/>
  <c r="Q53" i="35"/>
  <c r="O54" i="35"/>
  <c r="P54" i="35"/>
  <c r="Q54" i="35"/>
  <c r="O55" i="35"/>
  <c r="P55" i="35"/>
  <c r="Q55" i="35"/>
  <c r="O56" i="35"/>
  <c r="P56" i="35"/>
  <c r="Q56" i="35"/>
  <c r="O57" i="35"/>
  <c r="P57" i="35"/>
  <c r="Q57" i="35"/>
  <c r="O58" i="35"/>
  <c r="P58" i="35"/>
  <c r="Q58" i="35"/>
  <c r="O59" i="35"/>
  <c r="P59" i="35"/>
  <c r="Q59" i="35"/>
  <c r="O60" i="35"/>
  <c r="P60" i="35"/>
  <c r="Q60" i="35"/>
  <c r="O61" i="35"/>
  <c r="P61" i="35"/>
  <c r="Q61" i="35"/>
  <c r="O62" i="35"/>
  <c r="P62" i="35"/>
  <c r="Q62" i="35"/>
  <c r="O63" i="35"/>
  <c r="P63" i="35"/>
  <c r="Q63" i="35"/>
  <c r="O64" i="35"/>
  <c r="P64" i="35"/>
  <c r="Q64" i="35"/>
  <c r="O65" i="35"/>
  <c r="P65" i="35"/>
  <c r="Q65" i="35"/>
  <c r="O66" i="35"/>
  <c r="P66" i="35"/>
  <c r="Q66" i="35"/>
  <c r="O67" i="35"/>
  <c r="P67" i="35"/>
  <c r="Q67" i="35"/>
  <c r="O68" i="35"/>
  <c r="P68" i="35"/>
  <c r="Q68" i="35"/>
  <c r="O69" i="35"/>
  <c r="P69" i="35"/>
  <c r="Q69" i="35"/>
  <c r="O70" i="35"/>
  <c r="P70" i="35"/>
  <c r="Q70" i="35"/>
  <c r="O71" i="35"/>
  <c r="P71" i="35"/>
  <c r="Q71" i="35"/>
  <c r="O72" i="35"/>
  <c r="P72" i="35"/>
  <c r="Q72" i="35"/>
  <c r="O73" i="35"/>
  <c r="P73" i="35"/>
  <c r="Q73" i="35"/>
  <c r="O74" i="35"/>
  <c r="P74" i="35"/>
  <c r="Q74" i="35"/>
  <c r="O75" i="35"/>
  <c r="P75" i="35"/>
  <c r="Q75" i="35"/>
  <c r="O76" i="35"/>
  <c r="P76" i="35"/>
  <c r="Q76" i="35"/>
  <c r="O77" i="35"/>
  <c r="P77" i="35"/>
  <c r="Q77" i="35"/>
  <c r="O78" i="35"/>
  <c r="P78" i="35"/>
  <c r="Q78" i="35"/>
  <c r="O79" i="35"/>
  <c r="P79" i="35"/>
  <c r="Q79" i="35"/>
  <c r="O80" i="35"/>
  <c r="P80" i="35"/>
  <c r="Q80" i="35"/>
  <c r="O81" i="35"/>
  <c r="P81" i="35"/>
  <c r="Q81" i="35"/>
  <c r="O82" i="35"/>
  <c r="P82" i="35"/>
  <c r="Q82" i="35"/>
  <c r="O83" i="35"/>
  <c r="P83" i="35"/>
  <c r="Q83" i="35"/>
  <c r="O84" i="35"/>
  <c r="P84" i="35"/>
  <c r="Q84" i="35"/>
  <c r="O85" i="35"/>
  <c r="P85" i="35"/>
  <c r="Q85" i="35"/>
  <c r="O86" i="35"/>
  <c r="P86" i="35"/>
  <c r="Q86" i="35"/>
  <c r="O87" i="35"/>
  <c r="P87" i="35"/>
  <c r="Q87" i="35"/>
  <c r="O88" i="35"/>
  <c r="P88" i="35"/>
  <c r="Q88" i="35"/>
  <c r="O89" i="35"/>
  <c r="P89" i="35"/>
  <c r="Q89" i="35"/>
  <c r="O90" i="35"/>
  <c r="P90" i="35"/>
  <c r="Q90" i="35"/>
  <c r="O91" i="35"/>
  <c r="P91" i="35"/>
  <c r="Q91" i="35"/>
  <c r="O92" i="35"/>
  <c r="P92" i="35"/>
  <c r="Q92" i="35"/>
  <c r="O93" i="35"/>
  <c r="P93" i="35"/>
  <c r="Q93" i="35"/>
  <c r="O94" i="35"/>
  <c r="P94" i="35"/>
  <c r="Q94" i="35"/>
  <c r="O95" i="35"/>
  <c r="P95" i="35"/>
  <c r="Q95" i="35"/>
  <c r="O96" i="35"/>
  <c r="P96" i="35"/>
  <c r="Q96" i="35"/>
  <c r="O97" i="35"/>
  <c r="P97" i="35"/>
  <c r="Q97" i="35"/>
  <c r="O98" i="35"/>
  <c r="P98" i="35"/>
  <c r="Q98" i="35"/>
  <c r="O99" i="35"/>
  <c r="P99" i="35"/>
  <c r="Q99" i="35"/>
  <c r="O100" i="35"/>
  <c r="P100" i="35"/>
  <c r="Q100" i="35"/>
  <c r="O101" i="35"/>
  <c r="P101" i="35"/>
  <c r="Q101" i="35"/>
  <c r="O102" i="35"/>
  <c r="P102" i="35"/>
  <c r="Q102" i="35"/>
  <c r="O103" i="35"/>
  <c r="P103" i="35"/>
  <c r="Q103" i="35"/>
  <c r="O104" i="35"/>
  <c r="P104" i="35"/>
  <c r="Q104" i="35"/>
  <c r="O105" i="35"/>
  <c r="P105" i="35"/>
  <c r="Q105" i="35"/>
  <c r="O106" i="35"/>
  <c r="P106" i="35"/>
  <c r="Q106" i="35"/>
  <c r="O107" i="35"/>
  <c r="P107" i="35"/>
  <c r="Q107" i="35"/>
  <c r="O108" i="35"/>
  <c r="P108" i="35"/>
  <c r="Q108" i="35"/>
  <c r="O109" i="35"/>
  <c r="P109" i="35"/>
  <c r="Q109" i="35"/>
  <c r="O110" i="35"/>
  <c r="P110" i="35"/>
  <c r="Q110" i="35"/>
  <c r="O111" i="35"/>
  <c r="P111" i="35"/>
  <c r="Q111" i="35"/>
  <c r="O112" i="35"/>
  <c r="P112" i="35"/>
  <c r="Q112" i="35"/>
  <c r="O113" i="35"/>
  <c r="P113" i="35"/>
  <c r="Q113" i="35"/>
  <c r="O114" i="35"/>
  <c r="P114" i="35"/>
  <c r="Q114" i="35"/>
  <c r="O115" i="35"/>
  <c r="P115" i="35"/>
  <c r="Q115" i="35"/>
  <c r="O116" i="35"/>
  <c r="P116" i="35"/>
  <c r="Q116" i="35"/>
  <c r="O117" i="35"/>
  <c r="P117" i="35"/>
  <c r="Q117" i="35"/>
  <c r="O118" i="35"/>
  <c r="P118" i="35"/>
  <c r="Q118" i="35"/>
  <c r="O119" i="35"/>
  <c r="P119" i="35"/>
  <c r="Q119" i="35"/>
  <c r="O120" i="35"/>
  <c r="P120" i="35"/>
  <c r="Q120" i="35"/>
  <c r="O121" i="35"/>
  <c r="P121" i="35"/>
  <c r="Q121" i="35"/>
  <c r="O122" i="35"/>
  <c r="P122" i="35"/>
  <c r="Q122" i="35"/>
  <c r="O123" i="35"/>
  <c r="P123" i="35"/>
  <c r="Q123" i="35"/>
  <c r="O124" i="35"/>
  <c r="P124" i="35"/>
  <c r="Q124" i="35"/>
  <c r="O125" i="35"/>
  <c r="P125" i="35"/>
  <c r="Q125" i="35"/>
  <c r="O126" i="35"/>
  <c r="P126" i="35"/>
  <c r="Q126" i="35"/>
  <c r="O127" i="35"/>
  <c r="P127" i="35"/>
  <c r="Q127" i="35"/>
  <c r="O128" i="35"/>
  <c r="P128" i="35"/>
  <c r="Q128" i="35"/>
  <c r="O129" i="35"/>
  <c r="P129" i="35"/>
  <c r="Q129" i="35"/>
  <c r="O130" i="35"/>
  <c r="P130" i="35"/>
  <c r="Q130" i="35"/>
  <c r="O131" i="35"/>
  <c r="P131" i="35"/>
  <c r="Q131" i="35"/>
  <c r="O132" i="35"/>
  <c r="P132" i="35"/>
  <c r="Q132" i="35"/>
  <c r="O133" i="35"/>
  <c r="P133" i="35"/>
  <c r="Q133" i="35"/>
  <c r="O134" i="35"/>
  <c r="P134" i="35"/>
  <c r="Q134" i="35"/>
  <c r="O135" i="35"/>
  <c r="P135" i="35"/>
  <c r="Q135" i="35"/>
  <c r="O136" i="35"/>
  <c r="P136" i="35"/>
  <c r="Q136" i="35"/>
  <c r="O137" i="35"/>
  <c r="P137" i="35"/>
  <c r="Q137" i="35"/>
  <c r="O138" i="35"/>
  <c r="P138" i="35"/>
  <c r="Q138" i="35"/>
  <c r="O139" i="35"/>
  <c r="P139" i="35"/>
  <c r="Q139" i="35"/>
  <c r="O140" i="35"/>
  <c r="P140" i="35"/>
  <c r="Q140" i="35"/>
  <c r="O141" i="35"/>
  <c r="P141" i="35"/>
  <c r="Q141" i="35"/>
  <c r="O142" i="35"/>
  <c r="P142" i="35"/>
  <c r="Q142" i="35"/>
  <c r="O143" i="35"/>
  <c r="P143" i="35"/>
  <c r="Q143" i="35"/>
  <c r="O144" i="35"/>
  <c r="P144" i="35"/>
  <c r="Q144" i="35"/>
  <c r="O145" i="35"/>
  <c r="P145" i="35"/>
  <c r="Q145" i="35"/>
  <c r="O146" i="35"/>
  <c r="P146" i="35"/>
  <c r="Q146" i="35"/>
  <c r="O147" i="35"/>
  <c r="P147" i="35"/>
  <c r="Q147" i="35"/>
  <c r="O148" i="35"/>
  <c r="P148" i="35"/>
  <c r="Q148" i="35"/>
  <c r="O149" i="35"/>
  <c r="P149" i="35"/>
  <c r="Q149" i="35"/>
  <c r="O150" i="35"/>
  <c r="P150" i="35"/>
  <c r="Q150" i="35"/>
  <c r="O151" i="35"/>
  <c r="P151" i="35"/>
  <c r="Q151" i="35"/>
  <c r="O152" i="35"/>
  <c r="P152" i="35"/>
  <c r="Q152" i="35"/>
  <c r="O153" i="35"/>
  <c r="P153" i="35"/>
  <c r="Q153" i="35"/>
  <c r="O43" i="33"/>
  <c r="P43" i="33"/>
  <c r="Q43" i="33"/>
  <c r="O44" i="33"/>
  <c r="P44" i="33"/>
  <c r="Q44" i="33"/>
  <c r="O45" i="33"/>
  <c r="P45" i="33"/>
  <c r="Q45" i="33"/>
  <c r="O46" i="33"/>
  <c r="P46" i="33"/>
  <c r="Q46" i="33"/>
  <c r="O47" i="33"/>
  <c r="P47" i="33"/>
  <c r="Q47" i="33"/>
  <c r="O48" i="33"/>
  <c r="P48" i="33"/>
  <c r="Q48" i="33"/>
  <c r="O49" i="33"/>
  <c r="P49" i="33"/>
  <c r="Q49" i="33"/>
  <c r="O50" i="33"/>
  <c r="P50" i="33"/>
  <c r="Q50" i="33"/>
  <c r="O51" i="33"/>
  <c r="P51" i="33"/>
  <c r="Q51" i="33"/>
  <c r="O52" i="33"/>
  <c r="P52" i="33"/>
  <c r="Q52" i="33"/>
  <c r="O53" i="33"/>
  <c r="P53" i="33"/>
  <c r="Q53" i="33"/>
  <c r="O54" i="33"/>
  <c r="P54" i="33"/>
  <c r="Q54" i="33"/>
  <c r="O55" i="33"/>
  <c r="P55" i="33"/>
  <c r="Q55" i="33"/>
  <c r="O56" i="33"/>
  <c r="P56" i="33"/>
  <c r="Q56" i="33"/>
  <c r="O57" i="33"/>
  <c r="P57" i="33"/>
  <c r="Q57" i="33"/>
  <c r="O58" i="33"/>
  <c r="P58" i="33"/>
  <c r="Q58" i="33"/>
  <c r="O59" i="33"/>
  <c r="P59" i="33"/>
  <c r="Q59" i="33"/>
  <c r="O60" i="33"/>
  <c r="P60" i="33"/>
  <c r="Q60" i="33"/>
  <c r="O61" i="33"/>
  <c r="P61" i="33"/>
  <c r="Q61" i="33"/>
  <c r="O62" i="33"/>
  <c r="P62" i="33"/>
  <c r="Q62" i="33"/>
  <c r="O63" i="33"/>
  <c r="P63" i="33"/>
  <c r="Q63" i="33"/>
  <c r="O64" i="33"/>
  <c r="P64" i="33"/>
  <c r="Q64" i="33"/>
  <c r="O65" i="33"/>
  <c r="P65" i="33"/>
  <c r="Q65" i="33"/>
  <c r="O66" i="33"/>
  <c r="P66" i="33"/>
  <c r="Q66" i="33"/>
  <c r="O67" i="33"/>
  <c r="P67" i="33"/>
  <c r="Q67" i="33"/>
  <c r="O68" i="33"/>
  <c r="P68" i="33"/>
  <c r="Q68" i="33"/>
  <c r="O69" i="33"/>
  <c r="P69" i="33"/>
  <c r="Q69" i="33"/>
  <c r="O70" i="33"/>
  <c r="P70" i="33"/>
  <c r="Q70" i="33"/>
  <c r="O71" i="33"/>
  <c r="P71" i="33"/>
  <c r="Q71" i="33"/>
  <c r="O72" i="33"/>
  <c r="P72" i="33"/>
  <c r="Q72" i="33"/>
  <c r="O73" i="33"/>
  <c r="P73" i="33"/>
  <c r="Q73" i="33"/>
  <c r="O74" i="33"/>
  <c r="P74" i="33"/>
  <c r="Q74" i="33"/>
  <c r="O75" i="33"/>
  <c r="P75" i="33"/>
  <c r="Q75" i="33"/>
  <c r="O76" i="33"/>
  <c r="P76" i="33"/>
  <c r="Q76" i="33"/>
  <c r="O77" i="33"/>
  <c r="P77" i="33"/>
  <c r="Q77" i="33"/>
  <c r="O78" i="33"/>
  <c r="P78" i="33"/>
  <c r="Q78" i="33"/>
  <c r="O79" i="33"/>
  <c r="P79" i="33"/>
  <c r="Q79" i="33"/>
  <c r="O80" i="33"/>
  <c r="P80" i="33"/>
  <c r="Q80" i="33"/>
  <c r="O81" i="33"/>
  <c r="P81" i="33"/>
  <c r="Q81" i="33"/>
  <c r="O82" i="33"/>
  <c r="P82" i="33"/>
  <c r="Q82" i="33"/>
  <c r="O83" i="33"/>
  <c r="P83" i="33"/>
  <c r="Q83" i="33"/>
  <c r="O84" i="33"/>
  <c r="P84" i="33"/>
  <c r="Q84" i="33"/>
  <c r="O85" i="33"/>
  <c r="P85" i="33"/>
  <c r="Q85" i="33"/>
  <c r="O86" i="33"/>
  <c r="P86" i="33"/>
  <c r="Q86" i="33"/>
  <c r="O87" i="33"/>
  <c r="P87" i="33"/>
  <c r="Q87" i="33"/>
  <c r="O88" i="33"/>
  <c r="P88" i="33"/>
  <c r="Q88" i="33"/>
  <c r="O89" i="33"/>
  <c r="P89" i="33"/>
  <c r="Q89" i="33"/>
  <c r="O90" i="33"/>
  <c r="P90" i="33"/>
  <c r="Q90" i="33"/>
  <c r="O91" i="33"/>
  <c r="P91" i="33"/>
  <c r="Q91" i="33"/>
  <c r="O92" i="33"/>
  <c r="P92" i="33"/>
  <c r="Q92" i="33"/>
  <c r="O93" i="33"/>
  <c r="P93" i="33"/>
  <c r="Q93" i="33"/>
  <c r="O94" i="33"/>
  <c r="P94" i="33"/>
  <c r="Q94" i="33"/>
  <c r="O95" i="33"/>
  <c r="P95" i="33"/>
  <c r="Q95" i="33"/>
  <c r="O96" i="33"/>
  <c r="P96" i="33"/>
  <c r="Q96" i="33"/>
  <c r="O97" i="33"/>
  <c r="P97" i="33"/>
  <c r="Q97" i="33"/>
  <c r="O98" i="33"/>
  <c r="P98" i="33"/>
  <c r="Q98" i="33"/>
  <c r="O99" i="33"/>
  <c r="P99" i="33"/>
  <c r="Q99" i="33"/>
  <c r="O100" i="33"/>
  <c r="P100" i="33"/>
  <c r="Q100" i="33"/>
  <c r="O101" i="33"/>
  <c r="P101" i="33"/>
  <c r="Q101" i="33"/>
  <c r="O102" i="33"/>
  <c r="P102" i="33"/>
  <c r="Q102" i="33"/>
  <c r="O103" i="33"/>
  <c r="P103" i="33"/>
  <c r="Q103" i="33"/>
  <c r="O104" i="33"/>
  <c r="P104" i="33"/>
  <c r="Q104" i="33"/>
  <c r="O105" i="33"/>
  <c r="P105" i="33"/>
  <c r="Q105" i="33"/>
  <c r="O106" i="33"/>
  <c r="P106" i="33"/>
  <c r="Q106" i="33"/>
  <c r="O107" i="33"/>
  <c r="P107" i="33"/>
  <c r="Q107" i="33"/>
  <c r="O108" i="33"/>
  <c r="P108" i="33"/>
  <c r="Q108" i="33"/>
  <c r="O109" i="33"/>
  <c r="P109" i="33"/>
  <c r="Q109" i="33"/>
  <c r="O110" i="33"/>
  <c r="P110" i="33"/>
  <c r="Q110" i="33"/>
  <c r="O111" i="33"/>
  <c r="P111" i="33"/>
  <c r="Q111" i="33"/>
  <c r="O112" i="33"/>
  <c r="P112" i="33"/>
  <c r="Q112" i="33"/>
  <c r="O113" i="33"/>
  <c r="P113" i="33"/>
  <c r="Q113" i="33"/>
  <c r="O114" i="33"/>
  <c r="P114" i="33"/>
  <c r="Q114" i="33"/>
  <c r="O115" i="33"/>
  <c r="P115" i="33"/>
  <c r="Q115" i="33"/>
  <c r="O116" i="33"/>
  <c r="P116" i="33"/>
  <c r="Q116" i="33"/>
  <c r="O117" i="33"/>
  <c r="P117" i="33"/>
  <c r="Q117" i="33"/>
  <c r="O118" i="33"/>
  <c r="P118" i="33"/>
  <c r="Q118" i="33"/>
  <c r="O119" i="33"/>
  <c r="P119" i="33"/>
  <c r="Q119" i="33"/>
  <c r="O120" i="33"/>
  <c r="P120" i="33"/>
  <c r="Q120" i="33"/>
  <c r="O121" i="33"/>
  <c r="P121" i="33"/>
  <c r="Q121" i="33"/>
  <c r="O122" i="33"/>
  <c r="P122" i="33"/>
  <c r="Q122" i="33"/>
  <c r="O123" i="33"/>
  <c r="P123" i="33"/>
  <c r="Q123" i="33"/>
  <c r="O124" i="33"/>
  <c r="P124" i="33"/>
  <c r="Q124" i="33"/>
  <c r="O125" i="33"/>
  <c r="P125" i="33"/>
  <c r="Q125" i="33"/>
  <c r="O126" i="33"/>
  <c r="P126" i="33"/>
  <c r="Q126" i="33"/>
  <c r="O127" i="33"/>
  <c r="P127" i="33"/>
  <c r="Q127" i="33"/>
  <c r="O128" i="33"/>
  <c r="P128" i="33"/>
  <c r="Q128" i="33"/>
  <c r="O129" i="33"/>
  <c r="P129" i="33"/>
  <c r="Q129" i="33"/>
  <c r="O130" i="33"/>
  <c r="P130" i="33"/>
  <c r="Q130" i="33"/>
  <c r="O131" i="33"/>
  <c r="P131" i="33"/>
  <c r="Q131" i="33"/>
  <c r="O132" i="33"/>
  <c r="P132" i="33"/>
  <c r="Q132" i="33"/>
  <c r="O133" i="33"/>
  <c r="P133" i="33"/>
  <c r="Q133" i="33"/>
  <c r="O134" i="33"/>
  <c r="P134" i="33"/>
  <c r="Q134" i="33"/>
  <c r="O135" i="33"/>
  <c r="P135" i="33"/>
  <c r="Q135" i="33"/>
  <c r="O136" i="33"/>
  <c r="P136" i="33"/>
  <c r="Q136" i="33"/>
  <c r="O137" i="33"/>
  <c r="P137" i="33"/>
  <c r="Q137" i="33"/>
  <c r="O138" i="33"/>
  <c r="P138" i="33"/>
  <c r="Q138" i="33"/>
  <c r="O139" i="33"/>
  <c r="P139" i="33"/>
  <c r="Q139" i="33"/>
  <c r="O140" i="33"/>
  <c r="P140" i="33"/>
  <c r="Q140" i="33"/>
  <c r="O141" i="33"/>
  <c r="P141" i="33"/>
  <c r="Q141" i="33"/>
  <c r="O142" i="33"/>
  <c r="P142" i="33"/>
  <c r="Q142" i="33"/>
  <c r="O143" i="33"/>
  <c r="P143" i="33"/>
  <c r="Q143" i="33"/>
  <c r="O144" i="33"/>
  <c r="P144" i="33"/>
  <c r="Q144" i="33"/>
  <c r="O145" i="33"/>
  <c r="P145" i="33"/>
  <c r="Q145" i="33"/>
  <c r="O146" i="33"/>
  <c r="P146" i="33"/>
  <c r="Q146" i="33"/>
  <c r="O147" i="33"/>
  <c r="P147" i="33"/>
  <c r="Q147" i="33"/>
  <c r="O148" i="33"/>
  <c r="P148" i="33"/>
  <c r="Q148" i="33"/>
  <c r="O149" i="33"/>
  <c r="P149" i="33"/>
  <c r="Q149" i="33"/>
  <c r="O150" i="33"/>
  <c r="P150" i="33"/>
  <c r="Q150" i="33"/>
  <c r="O151" i="33"/>
  <c r="P151" i="33"/>
  <c r="Q151" i="33"/>
  <c r="O152" i="33"/>
  <c r="P152" i="33"/>
  <c r="Q152" i="33"/>
  <c r="O153" i="33"/>
  <c r="P153" i="33"/>
  <c r="Q153" i="33"/>
  <c r="O41" i="31"/>
  <c r="P41" i="31"/>
  <c r="Q41" i="31"/>
  <c r="O42" i="31"/>
  <c r="P42" i="31"/>
  <c r="Q42" i="31"/>
  <c r="O43" i="31"/>
  <c r="P43" i="31"/>
  <c r="Q43" i="31"/>
  <c r="O44" i="31"/>
  <c r="P44" i="31"/>
  <c r="Q44" i="31"/>
  <c r="O45" i="31"/>
  <c r="P45" i="31"/>
  <c r="Q45" i="31"/>
  <c r="O46" i="31"/>
  <c r="P46" i="31"/>
  <c r="Q46" i="31"/>
  <c r="O47" i="31"/>
  <c r="P47" i="31"/>
  <c r="Q47" i="31"/>
  <c r="O48" i="31"/>
  <c r="P48" i="31"/>
  <c r="Q48" i="31"/>
  <c r="O49" i="31"/>
  <c r="P49" i="31"/>
  <c r="Q49" i="31"/>
  <c r="O50" i="31"/>
  <c r="P50" i="31"/>
  <c r="Q50" i="31"/>
  <c r="O51" i="31"/>
  <c r="P51" i="31"/>
  <c r="Q51" i="31"/>
  <c r="O52" i="31"/>
  <c r="P52" i="31"/>
  <c r="Q52" i="31"/>
  <c r="O53" i="31"/>
  <c r="P53" i="31"/>
  <c r="Q53" i="31"/>
  <c r="O54" i="31"/>
  <c r="P54" i="31"/>
  <c r="Q54" i="31"/>
  <c r="O55" i="31"/>
  <c r="P55" i="31"/>
  <c r="Q55" i="31"/>
  <c r="O56" i="31"/>
  <c r="P56" i="31"/>
  <c r="Q56" i="31"/>
  <c r="O57" i="31"/>
  <c r="P57" i="31"/>
  <c r="Q57" i="31"/>
  <c r="O58" i="31"/>
  <c r="P58" i="31"/>
  <c r="Q58" i="31"/>
  <c r="O59" i="31"/>
  <c r="P59" i="31"/>
  <c r="Q59" i="31"/>
  <c r="O60" i="31"/>
  <c r="P60" i="31"/>
  <c r="Q60" i="31"/>
  <c r="O61" i="31"/>
  <c r="P61" i="31"/>
  <c r="Q61" i="31"/>
  <c r="O62" i="31"/>
  <c r="P62" i="31"/>
  <c r="Q62" i="31"/>
  <c r="O63" i="31"/>
  <c r="P63" i="31"/>
  <c r="Q63" i="31"/>
  <c r="O64" i="31"/>
  <c r="P64" i="31"/>
  <c r="Q64" i="31"/>
  <c r="O65" i="31"/>
  <c r="P65" i="31"/>
  <c r="Q65" i="31"/>
  <c r="O66" i="31"/>
  <c r="P66" i="31"/>
  <c r="Q66" i="31"/>
  <c r="O67" i="31"/>
  <c r="P67" i="31"/>
  <c r="Q67" i="31"/>
  <c r="O68" i="31"/>
  <c r="P68" i="31"/>
  <c r="Q68" i="31"/>
  <c r="O69" i="31"/>
  <c r="P69" i="31"/>
  <c r="Q69" i="31"/>
  <c r="O70" i="31"/>
  <c r="P70" i="31"/>
  <c r="Q70" i="31"/>
  <c r="O71" i="31"/>
  <c r="P71" i="31"/>
  <c r="Q71" i="31"/>
  <c r="O72" i="31"/>
  <c r="P72" i="31"/>
  <c r="Q72" i="31"/>
  <c r="O73" i="31"/>
  <c r="P73" i="31"/>
  <c r="Q73" i="31"/>
  <c r="O74" i="31"/>
  <c r="P74" i="31"/>
  <c r="Q74" i="31"/>
  <c r="O75" i="31"/>
  <c r="P75" i="31"/>
  <c r="Q75" i="31"/>
  <c r="O76" i="31"/>
  <c r="P76" i="31"/>
  <c r="Q76" i="31"/>
  <c r="O77" i="31"/>
  <c r="P77" i="31"/>
  <c r="Q77" i="31"/>
  <c r="O78" i="31"/>
  <c r="P78" i="31"/>
  <c r="Q78" i="31"/>
  <c r="O79" i="31"/>
  <c r="P79" i="31"/>
  <c r="Q79" i="31"/>
  <c r="O80" i="31"/>
  <c r="P80" i="31"/>
  <c r="Q80" i="31"/>
  <c r="O81" i="31"/>
  <c r="P81" i="31"/>
  <c r="Q81" i="31"/>
  <c r="O82" i="31"/>
  <c r="P82" i="31"/>
  <c r="Q82" i="31"/>
  <c r="O83" i="31"/>
  <c r="P83" i="31"/>
  <c r="Q83" i="31"/>
  <c r="O84" i="31"/>
  <c r="P84" i="31"/>
  <c r="Q84" i="31"/>
  <c r="O85" i="31"/>
  <c r="P85" i="31"/>
  <c r="Q85" i="31"/>
  <c r="O86" i="31"/>
  <c r="P86" i="31"/>
  <c r="Q86" i="31"/>
  <c r="O87" i="31"/>
  <c r="P87" i="31"/>
  <c r="Q87" i="31"/>
  <c r="O88" i="31"/>
  <c r="P88" i="31"/>
  <c r="Q88" i="31"/>
  <c r="O89" i="31"/>
  <c r="P89" i="31"/>
  <c r="Q89" i="31"/>
  <c r="O90" i="31"/>
  <c r="P90" i="31"/>
  <c r="Q90" i="31"/>
  <c r="O91" i="31"/>
  <c r="P91" i="31"/>
  <c r="Q91" i="31"/>
  <c r="O92" i="31"/>
  <c r="P92" i="31"/>
  <c r="Q92" i="31"/>
  <c r="O93" i="31"/>
  <c r="P93" i="31"/>
  <c r="Q93" i="31"/>
  <c r="O94" i="31"/>
  <c r="P94" i="31"/>
  <c r="Q94" i="31"/>
  <c r="O95" i="31"/>
  <c r="P95" i="31"/>
  <c r="Q95" i="31"/>
  <c r="O96" i="31"/>
  <c r="P96" i="31"/>
  <c r="Q96" i="31"/>
  <c r="O97" i="31"/>
  <c r="P97" i="31"/>
  <c r="Q97" i="31"/>
  <c r="O98" i="31"/>
  <c r="P98" i="31"/>
  <c r="Q98" i="31"/>
  <c r="O99" i="31"/>
  <c r="P99" i="31"/>
  <c r="Q99" i="31"/>
  <c r="O100" i="31"/>
  <c r="P100" i="31"/>
  <c r="Q100" i="31"/>
  <c r="O101" i="31"/>
  <c r="P101" i="31"/>
  <c r="Q101" i="31"/>
  <c r="O102" i="31"/>
  <c r="P102" i="31"/>
  <c r="Q102" i="31"/>
  <c r="O103" i="31"/>
  <c r="P103" i="31"/>
  <c r="Q103" i="31"/>
  <c r="O104" i="31"/>
  <c r="P104" i="31"/>
  <c r="Q104" i="31"/>
  <c r="O105" i="31"/>
  <c r="P105" i="31"/>
  <c r="Q105" i="31"/>
  <c r="O106" i="31"/>
  <c r="P106" i="31"/>
  <c r="Q106" i="31"/>
  <c r="O107" i="31"/>
  <c r="P107" i="31"/>
  <c r="Q107" i="31"/>
  <c r="O108" i="31"/>
  <c r="P108" i="31"/>
  <c r="Q108" i="31"/>
  <c r="O109" i="31"/>
  <c r="P109" i="31"/>
  <c r="Q109" i="31"/>
  <c r="O110" i="31"/>
  <c r="P110" i="31"/>
  <c r="Q110" i="31"/>
  <c r="O111" i="31"/>
  <c r="P111" i="31"/>
  <c r="Q111" i="31"/>
  <c r="O112" i="31"/>
  <c r="P112" i="31"/>
  <c r="Q112" i="31"/>
  <c r="O113" i="31"/>
  <c r="P113" i="31"/>
  <c r="Q113" i="31"/>
  <c r="O114" i="31"/>
  <c r="P114" i="31"/>
  <c r="Q114" i="31"/>
  <c r="O115" i="31"/>
  <c r="P115" i="31"/>
  <c r="Q115" i="31"/>
  <c r="O116" i="31"/>
  <c r="P116" i="31"/>
  <c r="Q116" i="31"/>
  <c r="O117" i="31"/>
  <c r="P117" i="31"/>
  <c r="Q117" i="31"/>
  <c r="O118" i="31"/>
  <c r="P118" i="31"/>
  <c r="Q118" i="31"/>
  <c r="O119" i="31"/>
  <c r="P119" i="31"/>
  <c r="Q119" i="31"/>
  <c r="O120" i="31"/>
  <c r="P120" i="31"/>
  <c r="Q120" i="31"/>
  <c r="O121" i="31"/>
  <c r="P121" i="31"/>
  <c r="Q121" i="31"/>
  <c r="O122" i="31"/>
  <c r="P122" i="31"/>
  <c r="Q122" i="31"/>
  <c r="O123" i="31"/>
  <c r="P123" i="31"/>
  <c r="Q123" i="31"/>
  <c r="O124" i="31"/>
  <c r="P124" i="31"/>
  <c r="Q124" i="31"/>
  <c r="O125" i="31"/>
  <c r="P125" i="31"/>
  <c r="Q125" i="31"/>
  <c r="O126" i="31"/>
  <c r="P126" i="31"/>
  <c r="Q126" i="31"/>
  <c r="O127" i="31"/>
  <c r="P127" i="31"/>
  <c r="Q127" i="31"/>
  <c r="O128" i="31"/>
  <c r="P128" i="31"/>
  <c r="Q128" i="31"/>
  <c r="O129" i="31"/>
  <c r="P129" i="31"/>
  <c r="Q129" i="31"/>
  <c r="O130" i="31"/>
  <c r="P130" i="31"/>
  <c r="Q130" i="31"/>
  <c r="O131" i="31"/>
  <c r="P131" i="31"/>
  <c r="Q131" i="31"/>
  <c r="O132" i="31"/>
  <c r="P132" i="31"/>
  <c r="Q132" i="31"/>
  <c r="O133" i="31"/>
  <c r="P133" i="31"/>
  <c r="Q133" i="31"/>
  <c r="O134" i="31"/>
  <c r="P134" i="31"/>
  <c r="Q134" i="31"/>
  <c r="O135" i="31"/>
  <c r="P135" i="31"/>
  <c r="Q135" i="31"/>
  <c r="O136" i="31"/>
  <c r="P136" i="31"/>
  <c r="Q136" i="31"/>
  <c r="O137" i="31"/>
  <c r="P137" i="31"/>
  <c r="Q137" i="31"/>
  <c r="O138" i="31"/>
  <c r="P138" i="31"/>
  <c r="Q138" i="31"/>
  <c r="O139" i="31"/>
  <c r="P139" i="31"/>
  <c r="Q139" i="31"/>
  <c r="O140" i="31"/>
  <c r="P140" i="31"/>
  <c r="Q140" i="31"/>
  <c r="O141" i="31"/>
  <c r="P141" i="31"/>
  <c r="Q141" i="31"/>
  <c r="O142" i="31"/>
  <c r="P142" i="31"/>
  <c r="Q142" i="31"/>
  <c r="O143" i="31"/>
  <c r="P143" i="31"/>
  <c r="Q143" i="31"/>
  <c r="O144" i="31"/>
  <c r="P144" i="31"/>
  <c r="Q144" i="31"/>
  <c r="O145" i="31"/>
  <c r="P145" i="31"/>
  <c r="Q145" i="31"/>
  <c r="O146" i="31"/>
  <c r="P146" i="31"/>
  <c r="Q146" i="31"/>
  <c r="O147" i="31"/>
  <c r="P147" i="31"/>
  <c r="Q147" i="31"/>
  <c r="O148" i="31"/>
  <c r="P148" i="31"/>
  <c r="Q148" i="31"/>
  <c r="O149" i="31"/>
  <c r="P149" i="31"/>
  <c r="Q149" i="31"/>
  <c r="O150" i="31"/>
  <c r="P150" i="31"/>
  <c r="Q150" i="31"/>
  <c r="O151" i="31"/>
  <c r="P151" i="31"/>
  <c r="Q151" i="31"/>
  <c r="O152" i="31"/>
  <c r="P152" i="31"/>
  <c r="Q152" i="31"/>
  <c r="O153" i="31"/>
  <c r="P153" i="31"/>
  <c r="Q153" i="31"/>
  <c r="N35" i="35"/>
  <c r="N36" i="35"/>
  <c r="N38" i="35"/>
  <c r="N39" i="35"/>
  <c r="N40" i="35"/>
  <c r="N41" i="35"/>
  <c r="N42" i="35"/>
  <c r="N43" i="35"/>
  <c r="N44" i="35"/>
  <c r="N45" i="35"/>
  <c r="N46" i="35"/>
  <c r="N47" i="35"/>
  <c r="N48" i="35"/>
  <c r="N49" i="35"/>
  <c r="N50" i="35"/>
  <c r="N51" i="35"/>
  <c r="N52" i="35"/>
  <c r="N53" i="35"/>
  <c r="N54" i="35"/>
  <c r="N55" i="35"/>
  <c r="N56" i="35"/>
  <c r="N57" i="35"/>
  <c r="N58" i="35"/>
  <c r="N59" i="35"/>
  <c r="N60" i="35"/>
  <c r="N61" i="35"/>
  <c r="N62" i="35"/>
  <c r="N63" i="35"/>
  <c r="N64" i="35"/>
  <c r="N65" i="35"/>
  <c r="N66" i="35"/>
  <c r="N67" i="35"/>
  <c r="N68" i="35"/>
  <c r="N69" i="35"/>
  <c r="N70" i="35"/>
  <c r="N71" i="35"/>
  <c r="N72" i="35"/>
  <c r="N73" i="35"/>
  <c r="N74" i="35"/>
  <c r="N75" i="35"/>
  <c r="N76" i="35"/>
  <c r="N77" i="35"/>
  <c r="N78" i="35"/>
  <c r="N79" i="35"/>
  <c r="N80" i="35"/>
  <c r="N81" i="35"/>
  <c r="N82" i="35"/>
  <c r="N83" i="35"/>
  <c r="N84" i="35"/>
  <c r="N85" i="35"/>
  <c r="N86" i="35"/>
  <c r="N87" i="35"/>
  <c r="N88" i="35"/>
  <c r="N89" i="35"/>
  <c r="N90" i="35"/>
  <c r="N91" i="35"/>
  <c r="N92" i="35"/>
  <c r="N93" i="35"/>
  <c r="N94" i="35"/>
  <c r="N95" i="35"/>
  <c r="N96" i="35"/>
  <c r="N97" i="35"/>
  <c r="N98" i="35"/>
  <c r="N99" i="35"/>
  <c r="N100" i="35"/>
  <c r="N101" i="35"/>
  <c r="N102" i="35"/>
  <c r="N103" i="35"/>
  <c r="N104" i="35"/>
  <c r="N105" i="35"/>
  <c r="N106" i="35"/>
  <c r="N107" i="35"/>
  <c r="N108" i="35"/>
  <c r="N109" i="35"/>
  <c r="N110" i="35"/>
  <c r="N111" i="35"/>
  <c r="N112" i="35"/>
  <c r="N113" i="35"/>
  <c r="N114" i="35"/>
  <c r="N115" i="35"/>
  <c r="N116" i="35"/>
  <c r="N117" i="35"/>
  <c r="N118" i="35"/>
  <c r="N119" i="35"/>
  <c r="N120" i="35"/>
  <c r="N121" i="35"/>
  <c r="N122" i="35"/>
  <c r="N123" i="35"/>
  <c r="N124" i="35"/>
  <c r="N125" i="35"/>
  <c r="N126" i="35"/>
  <c r="N127" i="35"/>
  <c r="N128" i="35"/>
  <c r="N129" i="35"/>
  <c r="N130" i="35"/>
  <c r="N131" i="35"/>
  <c r="N132" i="35"/>
  <c r="N133" i="35"/>
  <c r="N134" i="35"/>
  <c r="N135" i="35"/>
  <c r="N136" i="35"/>
  <c r="N137" i="35"/>
  <c r="N138" i="35"/>
  <c r="N139" i="35"/>
  <c r="N140" i="35"/>
  <c r="N141" i="35"/>
  <c r="N142" i="35"/>
  <c r="N143" i="35"/>
  <c r="N144" i="35"/>
  <c r="N145" i="35"/>
  <c r="N146" i="35"/>
  <c r="N147" i="35"/>
  <c r="N148" i="35"/>
  <c r="N149" i="35"/>
  <c r="N150" i="35"/>
  <c r="N151" i="35"/>
  <c r="N152" i="35"/>
  <c r="N153" i="35"/>
  <c r="K24" i="35"/>
  <c r="K25" i="35"/>
  <c r="K26" i="35"/>
  <c r="K27" i="35"/>
  <c r="M35" i="33"/>
  <c r="M36" i="33"/>
  <c r="M37" i="33"/>
  <c r="M38" i="33"/>
  <c r="M39" i="33"/>
  <c r="M40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152" i="33"/>
  <c r="M153" i="33"/>
  <c r="K31" i="33"/>
  <c r="K32" i="33"/>
  <c r="K33" i="33"/>
  <c r="K34" i="33"/>
  <c r="L33" i="31"/>
  <c r="M33" i="31"/>
  <c r="N33" i="31"/>
  <c r="L34" i="31"/>
  <c r="M34" i="31"/>
  <c r="N34" i="31"/>
  <c r="L35" i="31"/>
  <c r="M35" i="31"/>
  <c r="N35" i="31"/>
  <c r="L36" i="31"/>
  <c r="M36" i="31"/>
  <c r="N36" i="31"/>
  <c r="L37" i="31"/>
  <c r="M37" i="31"/>
  <c r="N37" i="31"/>
  <c r="L38" i="31"/>
  <c r="M38" i="31"/>
  <c r="N38" i="31"/>
  <c r="L40" i="31"/>
  <c r="M40" i="31"/>
  <c r="N40" i="31"/>
  <c r="L41" i="31"/>
  <c r="M41" i="31"/>
  <c r="N41" i="31"/>
  <c r="L42" i="31"/>
  <c r="M42" i="31"/>
  <c r="N42" i="31"/>
  <c r="L43" i="31"/>
  <c r="M43" i="31"/>
  <c r="N43" i="31"/>
  <c r="L44" i="31"/>
  <c r="M44" i="31"/>
  <c r="N44" i="31"/>
  <c r="L45" i="31"/>
  <c r="M45" i="31"/>
  <c r="N45" i="31"/>
  <c r="L46" i="31"/>
  <c r="M46" i="31"/>
  <c r="N46" i="31"/>
  <c r="L47" i="31"/>
  <c r="M47" i="31"/>
  <c r="N47" i="31"/>
  <c r="L48" i="31"/>
  <c r="M48" i="31"/>
  <c r="N48" i="31"/>
  <c r="L49" i="31"/>
  <c r="M49" i="31"/>
  <c r="N49" i="31"/>
  <c r="L50" i="31"/>
  <c r="M50" i="31"/>
  <c r="N50" i="31"/>
  <c r="L51" i="31"/>
  <c r="M51" i="31"/>
  <c r="N51" i="31"/>
  <c r="L52" i="31"/>
  <c r="M52" i="31"/>
  <c r="N52" i="31"/>
  <c r="L53" i="31"/>
  <c r="M53" i="31"/>
  <c r="N53" i="31"/>
  <c r="L54" i="31"/>
  <c r="M54" i="31"/>
  <c r="N54" i="31"/>
  <c r="L55" i="31"/>
  <c r="M55" i="31"/>
  <c r="N55" i="31"/>
  <c r="L56" i="31"/>
  <c r="M56" i="31"/>
  <c r="N56" i="31"/>
  <c r="L57" i="31"/>
  <c r="M57" i="31"/>
  <c r="N57" i="31"/>
  <c r="L58" i="31"/>
  <c r="M58" i="31"/>
  <c r="N58" i="31"/>
  <c r="L59" i="31"/>
  <c r="M59" i="31"/>
  <c r="N59" i="31"/>
  <c r="L60" i="31"/>
  <c r="M60" i="31"/>
  <c r="N60" i="31"/>
  <c r="L61" i="31"/>
  <c r="M61" i="31"/>
  <c r="N61" i="31"/>
  <c r="L62" i="31"/>
  <c r="M62" i="31"/>
  <c r="N62" i="31"/>
  <c r="L63" i="31"/>
  <c r="M63" i="31"/>
  <c r="N63" i="31"/>
  <c r="L64" i="31"/>
  <c r="M64" i="31"/>
  <c r="N64" i="31"/>
  <c r="L65" i="31"/>
  <c r="M65" i="31"/>
  <c r="N65" i="31"/>
  <c r="L66" i="31"/>
  <c r="M66" i="31"/>
  <c r="N66" i="31"/>
  <c r="L67" i="31"/>
  <c r="M67" i="31"/>
  <c r="N67" i="31"/>
  <c r="L68" i="31"/>
  <c r="M68" i="31"/>
  <c r="N68" i="31"/>
  <c r="L69" i="31"/>
  <c r="M69" i="31"/>
  <c r="N69" i="31"/>
  <c r="L70" i="31"/>
  <c r="M70" i="31"/>
  <c r="N70" i="31"/>
  <c r="L71" i="31"/>
  <c r="M71" i="31"/>
  <c r="N71" i="31"/>
  <c r="L72" i="31"/>
  <c r="M72" i="31"/>
  <c r="N72" i="31"/>
  <c r="L73" i="31"/>
  <c r="M73" i="31"/>
  <c r="N73" i="31"/>
  <c r="L74" i="31"/>
  <c r="M74" i="31"/>
  <c r="N74" i="31"/>
  <c r="L75" i="31"/>
  <c r="M75" i="31"/>
  <c r="N75" i="31"/>
  <c r="L76" i="31"/>
  <c r="M76" i="31"/>
  <c r="N76" i="31"/>
  <c r="L77" i="31"/>
  <c r="M77" i="31"/>
  <c r="N77" i="31"/>
  <c r="L78" i="31"/>
  <c r="M78" i="31"/>
  <c r="N78" i="31"/>
  <c r="L79" i="31"/>
  <c r="M79" i="31"/>
  <c r="N79" i="31"/>
  <c r="L80" i="31"/>
  <c r="M80" i="31"/>
  <c r="N80" i="31"/>
  <c r="L81" i="31"/>
  <c r="M81" i="31"/>
  <c r="N81" i="31"/>
  <c r="L82" i="31"/>
  <c r="M82" i="31"/>
  <c r="N82" i="31"/>
  <c r="L83" i="31"/>
  <c r="M83" i="31"/>
  <c r="N83" i="31"/>
  <c r="L84" i="31"/>
  <c r="M84" i="31"/>
  <c r="N84" i="31"/>
  <c r="L85" i="31"/>
  <c r="M85" i="31"/>
  <c r="N85" i="31"/>
  <c r="L86" i="31"/>
  <c r="M86" i="31"/>
  <c r="N86" i="31"/>
  <c r="L87" i="31"/>
  <c r="M87" i="31"/>
  <c r="N87" i="31"/>
  <c r="L88" i="31"/>
  <c r="M88" i="31"/>
  <c r="N88" i="31"/>
  <c r="L89" i="31"/>
  <c r="M89" i="31"/>
  <c r="N89" i="31"/>
  <c r="L90" i="31"/>
  <c r="M90" i="31"/>
  <c r="N90" i="31"/>
  <c r="L91" i="31"/>
  <c r="M91" i="31"/>
  <c r="N91" i="31"/>
  <c r="L92" i="31"/>
  <c r="M92" i="31"/>
  <c r="N92" i="31"/>
  <c r="L93" i="31"/>
  <c r="M93" i="31"/>
  <c r="N93" i="31"/>
  <c r="L94" i="31"/>
  <c r="M94" i="31"/>
  <c r="N94" i="31"/>
  <c r="L95" i="31"/>
  <c r="M95" i="31"/>
  <c r="N95" i="31"/>
  <c r="L96" i="31"/>
  <c r="M96" i="31"/>
  <c r="N96" i="31"/>
  <c r="L97" i="31"/>
  <c r="M97" i="31"/>
  <c r="N97" i="31"/>
  <c r="L98" i="31"/>
  <c r="M98" i="31"/>
  <c r="N98" i="31"/>
  <c r="L99" i="31"/>
  <c r="M99" i="31"/>
  <c r="N99" i="31"/>
  <c r="L100" i="31"/>
  <c r="M100" i="31"/>
  <c r="N100" i="31"/>
  <c r="L101" i="31"/>
  <c r="M101" i="31"/>
  <c r="N101" i="31"/>
  <c r="L102" i="31"/>
  <c r="M102" i="31"/>
  <c r="N102" i="31"/>
  <c r="L103" i="31"/>
  <c r="M103" i="31"/>
  <c r="N103" i="31"/>
  <c r="L104" i="31"/>
  <c r="M104" i="31"/>
  <c r="N104" i="31"/>
  <c r="L105" i="31"/>
  <c r="M105" i="31"/>
  <c r="N105" i="31"/>
  <c r="L106" i="31"/>
  <c r="M106" i="31"/>
  <c r="N106" i="31"/>
  <c r="L107" i="31"/>
  <c r="M107" i="31"/>
  <c r="N107" i="31"/>
  <c r="L108" i="31"/>
  <c r="M108" i="31"/>
  <c r="N108" i="31"/>
  <c r="L109" i="31"/>
  <c r="M109" i="31"/>
  <c r="N109" i="31"/>
  <c r="L110" i="31"/>
  <c r="M110" i="31"/>
  <c r="N110" i="31"/>
  <c r="L111" i="31"/>
  <c r="M111" i="31"/>
  <c r="N111" i="31"/>
  <c r="L112" i="31"/>
  <c r="M112" i="31"/>
  <c r="N112" i="31"/>
  <c r="L113" i="31"/>
  <c r="M113" i="31"/>
  <c r="N113" i="31"/>
  <c r="L114" i="31"/>
  <c r="M114" i="31"/>
  <c r="N114" i="31"/>
  <c r="L115" i="31"/>
  <c r="M115" i="31"/>
  <c r="N115" i="31"/>
  <c r="L116" i="31"/>
  <c r="M116" i="31"/>
  <c r="N116" i="31"/>
  <c r="L117" i="31"/>
  <c r="M117" i="31"/>
  <c r="N117" i="31"/>
  <c r="L118" i="31"/>
  <c r="M118" i="31"/>
  <c r="N118" i="31"/>
  <c r="L119" i="31"/>
  <c r="M119" i="31"/>
  <c r="N119" i="31"/>
  <c r="L120" i="31"/>
  <c r="M120" i="31"/>
  <c r="N120" i="31"/>
  <c r="L121" i="31"/>
  <c r="M121" i="31"/>
  <c r="N121" i="31"/>
  <c r="L122" i="31"/>
  <c r="M122" i="31"/>
  <c r="N122" i="31"/>
  <c r="L123" i="31"/>
  <c r="M123" i="31"/>
  <c r="N123" i="31"/>
  <c r="L124" i="31"/>
  <c r="M124" i="31"/>
  <c r="N124" i="31"/>
  <c r="L125" i="31"/>
  <c r="M125" i="31"/>
  <c r="N125" i="31"/>
  <c r="L126" i="31"/>
  <c r="M126" i="31"/>
  <c r="N126" i="31"/>
  <c r="L127" i="31"/>
  <c r="M127" i="31"/>
  <c r="N127" i="31"/>
  <c r="L128" i="31"/>
  <c r="M128" i="31"/>
  <c r="N128" i="31"/>
  <c r="L129" i="31"/>
  <c r="M129" i="31"/>
  <c r="N129" i="31"/>
  <c r="L130" i="31"/>
  <c r="M130" i="31"/>
  <c r="N130" i="31"/>
  <c r="L131" i="31"/>
  <c r="M131" i="31"/>
  <c r="N131" i="31"/>
  <c r="L132" i="31"/>
  <c r="M132" i="31"/>
  <c r="N132" i="31"/>
  <c r="L133" i="31"/>
  <c r="M133" i="31"/>
  <c r="N133" i="31"/>
  <c r="L134" i="31"/>
  <c r="M134" i="31"/>
  <c r="N134" i="31"/>
  <c r="L135" i="31"/>
  <c r="M135" i="31"/>
  <c r="N135" i="31"/>
  <c r="L136" i="31"/>
  <c r="M136" i="31"/>
  <c r="N136" i="31"/>
  <c r="L137" i="31"/>
  <c r="M137" i="31"/>
  <c r="N137" i="31"/>
  <c r="L138" i="31"/>
  <c r="M138" i="31"/>
  <c r="N138" i="31"/>
  <c r="L139" i="31"/>
  <c r="M139" i="31"/>
  <c r="N139" i="31"/>
  <c r="L140" i="31"/>
  <c r="M140" i="31"/>
  <c r="N140" i="31"/>
  <c r="L141" i="31"/>
  <c r="M141" i="31"/>
  <c r="N141" i="31"/>
  <c r="L142" i="31"/>
  <c r="M142" i="31"/>
  <c r="N142" i="31"/>
  <c r="L143" i="31"/>
  <c r="M143" i="31"/>
  <c r="N143" i="31"/>
  <c r="L144" i="31"/>
  <c r="M144" i="31"/>
  <c r="N144" i="31"/>
  <c r="L145" i="31"/>
  <c r="M145" i="31"/>
  <c r="N145" i="31"/>
  <c r="L146" i="31"/>
  <c r="M146" i="31"/>
  <c r="N146" i="31"/>
  <c r="L147" i="31"/>
  <c r="M147" i="31"/>
  <c r="N147" i="31"/>
  <c r="L148" i="31"/>
  <c r="M148" i="31"/>
  <c r="N148" i="31"/>
  <c r="L149" i="31"/>
  <c r="M149" i="31"/>
  <c r="N149" i="31"/>
  <c r="L150" i="31"/>
  <c r="M150" i="31"/>
  <c r="N150" i="31"/>
  <c r="L151" i="31"/>
  <c r="M151" i="31"/>
  <c r="N151" i="31"/>
  <c r="L152" i="31"/>
  <c r="M152" i="31"/>
  <c r="N152" i="31"/>
  <c r="L153" i="31"/>
  <c r="M153" i="31"/>
  <c r="N153" i="31"/>
  <c r="K26" i="31"/>
  <c r="K27" i="31"/>
  <c r="K28" i="31"/>
  <c r="K29" i="31"/>
  <c r="K30" i="31"/>
  <c r="K31" i="31"/>
  <c r="K32" i="31"/>
  <c r="L30" i="28"/>
  <c r="M30" i="28"/>
  <c r="L31" i="28"/>
  <c r="M31" i="28"/>
  <c r="L32" i="28"/>
  <c r="M32" i="28"/>
  <c r="L33" i="28"/>
  <c r="M33" i="28"/>
  <c r="L34" i="28"/>
  <c r="M34" i="28"/>
  <c r="L35" i="28"/>
  <c r="M35" i="28"/>
  <c r="L37" i="28"/>
  <c r="M37" i="28"/>
  <c r="L38" i="28"/>
  <c r="M38" i="28"/>
  <c r="L39" i="28"/>
  <c r="M39" i="28"/>
  <c r="L40" i="28"/>
  <c r="M40" i="28"/>
  <c r="L41" i="28"/>
  <c r="M41" i="28"/>
  <c r="L42" i="28"/>
  <c r="M42" i="28"/>
  <c r="L43" i="28"/>
  <c r="M43" i="28"/>
  <c r="L44" i="28"/>
  <c r="M44" i="28"/>
  <c r="L45" i="28"/>
  <c r="M45" i="28"/>
  <c r="L46" i="28"/>
  <c r="M46" i="28"/>
  <c r="L47" i="28"/>
  <c r="M47" i="28"/>
  <c r="L48" i="28"/>
  <c r="M48" i="28"/>
  <c r="L49" i="28"/>
  <c r="M49" i="28"/>
  <c r="L50" i="28"/>
  <c r="M50" i="28"/>
  <c r="L51" i="28"/>
  <c r="M51" i="28"/>
  <c r="L52" i="28"/>
  <c r="M52" i="28"/>
  <c r="L53" i="28"/>
  <c r="M53" i="28"/>
  <c r="L54" i="28"/>
  <c r="M54" i="28"/>
  <c r="L55" i="28"/>
  <c r="M55" i="28"/>
  <c r="L56" i="28"/>
  <c r="M56" i="28"/>
  <c r="L57" i="28"/>
  <c r="M57" i="28"/>
  <c r="L58" i="28"/>
  <c r="M58" i="28"/>
  <c r="L59" i="28"/>
  <c r="M59" i="28"/>
  <c r="L60" i="28"/>
  <c r="M60" i="28"/>
  <c r="L61" i="28"/>
  <c r="M61" i="28"/>
  <c r="L62" i="28"/>
  <c r="M62" i="28"/>
  <c r="L63" i="28"/>
  <c r="M63" i="28"/>
  <c r="L64" i="28"/>
  <c r="M64" i="28"/>
  <c r="L65" i="28"/>
  <c r="M65" i="28"/>
  <c r="L66" i="28"/>
  <c r="M66" i="28"/>
  <c r="L67" i="28"/>
  <c r="M67" i="28"/>
  <c r="L68" i="28"/>
  <c r="M68" i="28"/>
  <c r="L69" i="28"/>
  <c r="M69" i="28"/>
  <c r="L70" i="28"/>
  <c r="M70" i="28"/>
  <c r="L71" i="28"/>
  <c r="M71" i="28"/>
  <c r="L72" i="28"/>
  <c r="M72" i="28"/>
  <c r="L73" i="28"/>
  <c r="M73" i="28"/>
  <c r="L74" i="28"/>
  <c r="M74" i="28"/>
  <c r="L75" i="28"/>
  <c r="M75" i="28"/>
  <c r="L76" i="28"/>
  <c r="M76" i="28"/>
  <c r="L77" i="28"/>
  <c r="M77" i="28"/>
  <c r="L78" i="28"/>
  <c r="M78" i="28"/>
  <c r="L79" i="28"/>
  <c r="M79" i="28"/>
  <c r="L80" i="28"/>
  <c r="M80" i="28"/>
  <c r="L81" i="28"/>
  <c r="M81" i="28"/>
  <c r="L82" i="28"/>
  <c r="M82" i="28"/>
  <c r="L83" i="28"/>
  <c r="M83" i="28"/>
  <c r="L84" i="28"/>
  <c r="M84" i="28"/>
  <c r="L85" i="28"/>
  <c r="M85" i="28"/>
  <c r="L86" i="28"/>
  <c r="M86" i="28"/>
  <c r="L87" i="28"/>
  <c r="M87" i="28"/>
  <c r="L88" i="28"/>
  <c r="M88" i="28"/>
  <c r="L89" i="28"/>
  <c r="M89" i="28"/>
  <c r="L90" i="28"/>
  <c r="M90" i="28"/>
  <c r="L91" i="28"/>
  <c r="M91" i="28"/>
  <c r="L92" i="28"/>
  <c r="M92" i="28"/>
  <c r="L93" i="28"/>
  <c r="M93" i="28"/>
  <c r="L94" i="28"/>
  <c r="M94" i="28"/>
  <c r="L95" i="28"/>
  <c r="M95" i="28"/>
  <c r="L96" i="28"/>
  <c r="M96" i="28"/>
  <c r="L97" i="28"/>
  <c r="M97" i="28"/>
  <c r="L98" i="28"/>
  <c r="M98" i="28"/>
  <c r="L99" i="28"/>
  <c r="M99" i="28"/>
  <c r="L100" i="28"/>
  <c r="M100" i="28"/>
  <c r="L101" i="28"/>
  <c r="M101" i="28"/>
  <c r="L102" i="28"/>
  <c r="M102" i="28"/>
  <c r="L103" i="28"/>
  <c r="M103" i="28"/>
  <c r="L104" i="28"/>
  <c r="M104" i="28"/>
  <c r="L105" i="28"/>
  <c r="M105" i="28"/>
  <c r="L106" i="28"/>
  <c r="M106" i="28"/>
  <c r="L107" i="28"/>
  <c r="M107" i="28"/>
  <c r="L108" i="28"/>
  <c r="M108" i="28"/>
  <c r="L109" i="28"/>
  <c r="M109" i="28"/>
  <c r="L110" i="28"/>
  <c r="M110" i="28"/>
  <c r="L111" i="28"/>
  <c r="M111" i="28"/>
  <c r="L112" i="28"/>
  <c r="M112" i="28"/>
  <c r="L113" i="28"/>
  <c r="M113" i="28"/>
  <c r="L114" i="28"/>
  <c r="M114" i="28"/>
  <c r="L115" i="28"/>
  <c r="M115" i="28"/>
  <c r="L116" i="28"/>
  <c r="M116" i="28"/>
  <c r="L117" i="28"/>
  <c r="M117" i="28"/>
  <c r="L118" i="28"/>
  <c r="M118" i="28"/>
  <c r="L119" i="28"/>
  <c r="M119" i="28"/>
  <c r="L120" i="28"/>
  <c r="M120" i="28"/>
  <c r="L121" i="28"/>
  <c r="M121" i="28"/>
  <c r="L122" i="28"/>
  <c r="M122" i="28"/>
  <c r="L123" i="28"/>
  <c r="M123" i="28"/>
  <c r="L124" i="28"/>
  <c r="M124" i="28"/>
  <c r="L125" i="28"/>
  <c r="M125" i="28"/>
  <c r="L126" i="28"/>
  <c r="M126" i="28"/>
  <c r="L127" i="28"/>
  <c r="M127" i="28"/>
  <c r="L128" i="28"/>
  <c r="M128" i="28"/>
  <c r="L129" i="28"/>
  <c r="M129" i="28"/>
  <c r="L130" i="28"/>
  <c r="M130" i="28"/>
  <c r="L131" i="28"/>
  <c r="M131" i="28"/>
  <c r="L132" i="28"/>
  <c r="M132" i="28"/>
  <c r="L133" i="28"/>
  <c r="M133" i="28"/>
  <c r="L134" i="28"/>
  <c r="M134" i="28"/>
  <c r="L135" i="28"/>
  <c r="M135" i="28"/>
  <c r="L136" i="28"/>
  <c r="M136" i="28"/>
  <c r="L137" i="28"/>
  <c r="M137" i="28"/>
  <c r="L138" i="28"/>
  <c r="M138" i="28"/>
  <c r="L139" i="28"/>
  <c r="M139" i="28"/>
  <c r="L140" i="28"/>
  <c r="M140" i="28"/>
  <c r="L141" i="28"/>
  <c r="M141" i="28"/>
  <c r="L142" i="28"/>
  <c r="M142" i="28"/>
  <c r="L143" i="28"/>
  <c r="M143" i="28"/>
  <c r="L144" i="28"/>
  <c r="M144" i="28"/>
  <c r="L145" i="28"/>
  <c r="M145" i="28"/>
  <c r="L146" i="28"/>
  <c r="M146" i="28"/>
  <c r="L147" i="28"/>
  <c r="M147" i="28"/>
  <c r="L148" i="28"/>
  <c r="M148" i="28"/>
  <c r="L149" i="28"/>
  <c r="M149" i="28"/>
  <c r="L150" i="28"/>
  <c r="M150" i="28"/>
  <c r="L151" i="28"/>
  <c r="M151" i="28"/>
  <c r="L152" i="28"/>
  <c r="M152" i="28"/>
  <c r="L153" i="28"/>
  <c r="M153" i="28"/>
  <c r="K23" i="28"/>
  <c r="K24" i="28"/>
  <c r="K25" i="28"/>
  <c r="K26" i="28"/>
  <c r="K27" i="28"/>
  <c r="K28" i="28"/>
  <c r="K29" i="28"/>
  <c r="K45" i="24"/>
  <c r="K46" i="24"/>
  <c r="K47" i="24"/>
  <c r="K48" i="22"/>
  <c r="K49" i="22"/>
  <c r="K50" i="22"/>
  <c r="K59" i="20"/>
  <c r="K57" i="20"/>
  <c r="K58" i="20"/>
  <c r="O38" i="28"/>
  <c r="P38" i="28"/>
  <c r="Q38" i="28"/>
  <c r="O39" i="28"/>
  <c r="P39" i="28"/>
  <c r="Q39" i="28"/>
  <c r="O40" i="28"/>
  <c r="P40" i="28"/>
  <c r="Q40" i="28"/>
  <c r="O41" i="28"/>
  <c r="P41" i="28"/>
  <c r="Q41" i="28"/>
  <c r="O42" i="28"/>
  <c r="P42" i="28"/>
  <c r="Q42" i="28"/>
  <c r="O43" i="28"/>
  <c r="P43" i="28"/>
  <c r="Q43" i="28"/>
  <c r="O44" i="28"/>
  <c r="P44" i="28"/>
  <c r="Q44" i="28"/>
  <c r="O45" i="28"/>
  <c r="P45" i="28"/>
  <c r="Q45" i="28"/>
  <c r="O46" i="28"/>
  <c r="P46" i="28"/>
  <c r="Q46" i="28"/>
  <c r="O47" i="28"/>
  <c r="P47" i="28"/>
  <c r="Q47" i="28"/>
  <c r="O48" i="28"/>
  <c r="P48" i="28"/>
  <c r="Q48" i="28"/>
  <c r="O49" i="28"/>
  <c r="P49" i="28"/>
  <c r="Q49" i="28"/>
  <c r="O50" i="28"/>
  <c r="P50" i="28"/>
  <c r="Q50" i="28"/>
  <c r="O51" i="28"/>
  <c r="P51" i="28"/>
  <c r="Q51" i="28"/>
  <c r="O52" i="28"/>
  <c r="P52" i="28"/>
  <c r="Q52" i="28"/>
  <c r="O53" i="28"/>
  <c r="P53" i="28"/>
  <c r="Q53" i="28"/>
  <c r="O54" i="28"/>
  <c r="P54" i="28"/>
  <c r="Q54" i="28"/>
  <c r="O55" i="28"/>
  <c r="P55" i="28"/>
  <c r="Q55" i="28"/>
  <c r="O56" i="28"/>
  <c r="P56" i="28"/>
  <c r="Q56" i="28"/>
  <c r="O57" i="28"/>
  <c r="P57" i="28"/>
  <c r="Q57" i="28"/>
  <c r="O58" i="28"/>
  <c r="P58" i="28"/>
  <c r="Q58" i="28"/>
  <c r="O59" i="28"/>
  <c r="P59" i="28"/>
  <c r="Q59" i="28"/>
  <c r="O60" i="28"/>
  <c r="P60" i="28"/>
  <c r="Q60" i="28"/>
  <c r="O61" i="28"/>
  <c r="P61" i="28"/>
  <c r="Q61" i="28"/>
  <c r="O62" i="28"/>
  <c r="P62" i="28"/>
  <c r="Q62" i="28"/>
  <c r="O63" i="28"/>
  <c r="P63" i="28"/>
  <c r="Q63" i="28"/>
  <c r="O64" i="28"/>
  <c r="P64" i="28"/>
  <c r="Q64" i="28"/>
  <c r="O65" i="28"/>
  <c r="P65" i="28"/>
  <c r="Q65" i="28"/>
  <c r="O66" i="28"/>
  <c r="P66" i="28"/>
  <c r="Q66" i="28"/>
  <c r="O67" i="28"/>
  <c r="P67" i="28"/>
  <c r="Q67" i="28"/>
  <c r="O68" i="28"/>
  <c r="P68" i="28"/>
  <c r="Q68" i="28"/>
  <c r="O69" i="28"/>
  <c r="P69" i="28"/>
  <c r="Q69" i="28"/>
  <c r="O70" i="28"/>
  <c r="P70" i="28"/>
  <c r="Q70" i="28"/>
  <c r="O71" i="28"/>
  <c r="P71" i="28"/>
  <c r="Q71" i="28"/>
  <c r="O72" i="28"/>
  <c r="P72" i="28"/>
  <c r="Q72" i="28"/>
  <c r="O73" i="28"/>
  <c r="P73" i="28"/>
  <c r="Q73" i="28"/>
  <c r="O74" i="28"/>
  <c r="P74" i="28"/>
  <c r="Q74" i="28"/>
  <c r="O75" i="28"/>
  <c r="P75" i="28"/>
  <c r="Q75" i="28"/>
  <c r="O76" i="28"/>
  <c r="P76" i="28"/>
  <c r="Q76" i="28"/>
  <c r="O77" i="28"/>
  <c r="P77" i="28"/>
  <c r="Q77" i="28"/>
  <c r="O78" i="28"/>
  <c r="P78" i="28"/>
  <c r="Q78" i="28"/>
  <c r="O79" i="28"/>
  <c r="P79" i="28"/>
  <c r="Q79" i="28"/>
  <c r="O80" i="28"/>
  <c r="P80" i="28"/>
  <c r="Q80" i="28"/>
  <c r="O81" i="28"/>
  <c r="P81" i="28"/>
  <c r="Q81" i="28"/>
  <c r="O82" i="28"/>
  <c r="P82" i="28"/>
  <c r="Q82" i="28"/>
  <c r="O83" i="28"/>
  <c r="P83" i="28"/>
  <c r="Q83" i="28"/>
  <c r="O84" i="28"/>
  <c r="P84" i="28"/>
  <c r="Q84" i="28"/>
  <c r="O85" i="28"/>
  <c r="P85" i="28"/>
  <c r="Q85" i="28"/>
  <c r="O86" i="28"/>
  <c r="P86" i="28"/>
  <c r="Q86" i="28"/>
  <c r="O87" i="28"/>
  <c r="P87" i="28"/>
  <c r="Q87" i="28"/>
  <c r="O88" i="28"/>
  <c r="P88" i="28"/>
  <c r="Q88" i="28"/>
  <c r="O89" i="28"/>
  <c r="P89" i="28"/>
  <c r="Q89" i="28"/>
  <c r="O90" i="28"/>
  <c r="P90" i="28"/>
  <c r="Q90" i="28"/>
  <c r="O91" i="28"/>
  <c r="P91" i="28"/>
  <c r="Q91" i="28"/>
  <c r="O92" i="28"/>
  <c r="P92" i="28"/>
  <c r="Q92" i="28"/>
  <c r="O93" i="28"/>
  <c r="P93" i="28"/>
  <c r="Q93" i="28"/>
  <c r="O94" i="28"/>
  <c r="P94" i="28"/>
  <c r="Q94" i="28"/>
  <c r="O95" i="28"/>
  <c r="P95" i="28"/>
  <c r="Q95" i="28"/>
  <c r="O96" i="28"/>
  <c r="P96" i="28"/>
  <c r="Q96" i="28"/>
  <c r="O97" i="28"/>
  <c r="P97" i="28"/>
  <c r="Q97" i="28"/>
  <c r="O98" i="28"/>
  <c r="P98" i="28"/>
  <c r="Q98" i="28"/>
  <c r="O99" i="28"/>
  <c r="P99" i="28"/>
  <c r="Q99" i="28"/>
  <c r="O100" i="28"/>
  <c r="P100" i="28"/>
  <c r="Q100" i="28"/>
  <c r="O101" i="28"/>
  <c r="P101" i="28"/>
  <c r="Q101" i="28"/>
  <c r="O102" i="28"/>
  <c r="P102" i="28"/>
  <c r="Q102" i="28"/>
  <c r="O103" i="28"/>
  <c r="P103" i="28"/>
  <c r="Q103" i="28"/>
  <c r="O104" i="28"/>
  <c r="P104" i="28"/>
  <c r="Q104" i="28"/>
  <c r="O105" i="28"/>
  <c r="P105" i="28"/>
  <c r="Q105" i="28"/>
  <c r="O106" i="28"/>
  <c r="P106" i="28"/>
  <c r="Q106" i="28"/>
  <c r="O107" i="28"/>
  <c r="P107" i="28"/>
  <c r="Q107" i="28"/>
  <c r="O108" i="28"/>
  <c r="P108" i="28"/>
  <c r="Q108" i="28"/>
  <c r="O109" i="28"/>
  <c r="P109" i="28"/>
  <c r="Q109" i="28"/>
  <c r="O110" i="28"/>
  <c r="P110" i="28"/>
  <c r="Q110" i="28"/>
  <c r="O111" i="28"/>
  <c r="P111" i="28"/>
  <c r="Q111" i="28"/>
  <c r="O112" i="28"/>
  <c r="P112" i="28"/>
  <c r="Q112" i="28"/>
  <c r="O113" i="28"/>
  <c r="P113" i="28"/>
  <c r="Q113" i="28"/>
  <c r="O114" i="28"/>
  <c r="P114" i="28"/>
  <c r="Q114" i="28"/>
  <c r="O115" i="28"/>
  <c r="P115" i="28"/>
  <c r="Q115" i="28"/>
  <c r="O116" i="28"/>
  <c r="P116" i="28"/>
  <c r="Q116" i="28"/>
  <c r="O117" i="28"/>
  <c r="P117" i="28"/>
  <c r="Q117" i="28"/>
  <c r="O118" i="28"/>
  <c r="P118" i="28"/>
  <c r="Q118" i="28"/>
  <c r="O119" i="28"/>
  <c r="P119" i="28"/>
  <c r="Q119" i="28"/>
  <c r="O120" i="28"/>
  <c r="P120" i="28"/>
  <c r="Q120" i="28"/>
  <c r="O121" i="28"/>
  <c r="P121" i="28"/>
  <c r="Q121" i="28"/>
  <c r="O122" i="28"/>
  <c r="P122" i="28"/>
  <c r="Q122" i="28"/>
  <c r="O123" i="28"/>
  <c r="P123" i="28"/>
  <c r="Q123" i="28"/>
  <c r="O124" i="28"/>
  <c r="P124" i="28"/>
  <c r="Q124" i="28"/>
  <c r="O125" i="28"/>
  <c r="P125" i="28"/>
  <c r="Q125" i="28"/>
  <c r="O126" i="28"/>
  <c r="P126" i="28"/>
  <c r="Q126" i="28"/>
  <c r="O127" i="28"/>
  <c r="P127" i="28"/>
  <c r="Q127" i="28"/>
  <c r="O128" i="28"/>
  <c r="P128" i="28"/>
  <c r="Q128" i="28"/>
  <c r="O129" i="28"/>
  <c r="P129" i="28"/>
  <c r="Q129" i="28"/>
  <c r="O130" i="28"/>
  <c r="P130" i="28"/>
  <c r="Q130" i="28"/>
  <c r="O131" i="28"/>
  <c r="P131" i="28"/>
  <c r="Q131" i="28"/>
  <c r="O132" i="28"/>
  <c r="P132" i="28"/>
  <c r="Q132" i="28"/>
  <c r="O133" i="28"/>
  <c r="P133" i="28"/>
  <c r="Q133" i="28"/>
  <c r="O134" i="28"/>
  <c r="P134" i="28"/>
  <c r="Q134" i="28"/>
  <c r="O135" i="28"/>
  <c r="P135" i="28"/>
  <c r="Q135" i="28"/>
  <c r="O136" i="28"/>
  <c r="P136" i="28"/>
  <c r="Q136" i="28"/>
  <c r="O137" i="28"/>
  <c r="P137" i="28"/>
  <c r="Q137" i="28"/>
  <c r="O138" i="28"/>
  <c r="P138" i="28"/>
  <c r="Q138" i="28"/>
  <c r="O139" i="28"/>
  <c r="P139" i="28"/>
  <c r="Q139" i="28"/>
  <c r="O140" i="28"/>
  <c r="P140" i="28"/>
  <c r="Q140" i="28"/>
  <c r="O141" i="28"/>
  <c r="P141" i="28"/>
  <c r="Q141" i="28"/>
  <c r="O142" i="28"/>
  <c r="P142" i="28"/>
  <c r="Q142" i="28"/>
  <c r="O143" i="28"/>
  <c r="P143" i="28"/>
  <c r="Q143" i="28"/>
  <c r="O144" i="28"/>
  <c r="P144" i="28"/>
  <c r="Q144" i="28"/>
  <c r="O145" i="28"/>
  <c r="P145" i="28"/>
  <c r="Q145" i="28"/>
  <c r="O146" i="28"/>
  <c r="P146" i="28"/>
  <c r="Q146" i="28"/>
  <c r="O147" i="28"/>
  <c r="P147" i="28"/>
  <c r="Q147" i="28"/>
  <c r="O148" i="28"/>
  <c r="P148" i="28"/>
  <c r="Q148" i="28"/>
  <c r="O149" i="28"/>
  <c r="P149" i="28"/>
  <c r="Q149" i="28"/>
  <c r="O150" i="28"/>
  <c r="P150" i="28"/>
  <c r="Q150" i="28"/>
  <c r="O151" i="28"/>
  <c r="P151" i="28"/>
  <c r="Q151" i="28"/>
  <c r="O152" i="28"/>
  <c r="P152" i="28"/>
  <c r="Q152" i="28"/>
  <c r="O153" i="28"/>
  <c r="P153" i="28"/>
  <c r="Q153" i="28"/>
  <c r="K22" i="28"/>
  <c r="K43" i="24"/>
  <c r="K44" i="24"/>
  <c r="K21" i="28"/>
  <c r="O56" i="24"/>
  <c r="P56" i="24"/>
  <c r="Q56" i="24"/>
  <c r="O57" i="24"/>
  <c r="P57" i="24"/>
  <c r="Q57" i="24"/>
  <c r="O58" i="24"/>
  <c r="P58" i="24"/>
  <c r="Q58" i="24"/>
  <c r="O59" i="24"/>
  <c r="P59" i="24"/>
  <c r="Q59" i="24"/>
  <c r="O60" i="24"/>
  <c r="P60" i="24"/>
  <c r="Q60" i="24"/>
  <c r="O61" i="24"/>
  <c r="P61" i="24"/>
  <c r="Q61" i="24"/>
  <c r="O62" i="24"/>
  <c r="P62" i="24"/>
  <c r="Q62" i="24"/>
  <c r="O63" i="24"/>
  <c r="P63" i="24"/>
  <c r="Q63" i="24"/>
  <c r="O64" i="24"/>
  <c r="P64" i="24"/>
  <c r="Q64" i="24"/>
  <c r="O65" i="24"/>
  <c r="P65" i="24"/>
  <c r="Q65" i="24"/>
  <c r="O66" i="24"/>
  <c r="P66" i="24"/>
  <c r="Q66" i="24"/>
  <c r="O67" i="24"/>
  <c r="P67" i="24"/>
  <c r="Q67" i="24"/>
  <c r="O68" i="24"/>
  <c r="P68" i="24"/>
  <c r="Q68" i="24"/>
  <c r="O69" i="24"/>
  <c r="P69" i="24"/>
  <c r="Q69" i="24"/>
  <c r="O70" i="24"/>
  <c r="P70" i="24"/>
  <c r="Q70" i="24"/>
  <c r="O71" i="24"/>
  <c r="P71" i="24"/>
  <c r="Q71" i="24"/>
  <c r="O72" i="24"/>
  <c r="P72" i="24"/>
  <c r="Q72" i="24"/>
  <c r="O73" i="24"/>
  <c r="P73" i="24"/>
  <c r="Q73" i="24"/>
  <c r="O74" i="24"/>
  <c r="P74" i="24"/>
  <c r="Q74" i="24"/>
  <c r="O75" i="24"/>
  <c r="P75" i="24"/>
  <c r="Q75" i="24"/>
  <c r="O76" i="24"/>
  <c r="P76" i="24"/>
  <c r="Q76" i="24"/>
  <c r="O77" i="24"/>
  <c r="P77" i="24"/>
  <c r="Q77" i="24"/>
  <c r="O78" i="24"/>
  <c r="P78" i="24"/>
  <c r="Q78" i="24"/>
  <c r="O79" i="24"/>
  <c r="P79" i="24"/>
  <c r="Q79" i="24"/>
  <c r="O80" i="24"/>
  <c r="P80" i="24"/>
  <c r="Q80" i="24"/>
  <c r="O81" i="24"/>
  <c r="P81" i="24"/>
  <c r="Q81" i="24"/>
  <c r="O82" i="24"/>
  <c r="P82" i="24"/>
  <c r="Q82" i="24"/>
  <c r="O83" i="24"/>
  <c r="P83" i="24"/>
  <c r="Q83" i="24"/>
  <c r="O84" i="24"/>
  <c r="P84" i="24"/>
  <c r="Q84" i="24"/>
  <c r="O85" i="24"/>
  <c r="P85" i="24"/>
  <c r="Q85" i="24"/>
  <c r="O86" i="24"/>
  <c r="P86" i="24"/>
  <c r="Q86" i="24"/>
  <c r="O87" i="24"/>
  <c r="P87" i="24"/>
  <c r="Q87" i="24"/>
  <c r="O88" i="24"/>
  <c r="P88" i="24"/>
  <c r="Q88" i="24"/>
  <c r="O89" i="24"/>
  <c r="P89" i="24"/>
  <c r="Q89" i="24"/>
  <c r="O90" i="24"/>
  <c r="P90" i="24"/>
  <c r="Q90" i="24"/>
  <c r="O91" i="24"/>
  <c r="P91" i="24"/>
  <c r="Q91" i="24"/>
  <c r="O92" i="24"/>
  <c r="P92" i="24"/>
  <c r="Q92" i="24"/>
  <c r="O93" i="24"/>
  <c r="P93" i="24"/>
  <c r="Q93" i="24"/>
  <c r="O94" i="24"/>
  <c r="P94" i="24"/>
  <c r="Q94" i="24"/>
  <c r="O95" i="24"/>
  <c r="P95" i="24"/>
  <c r="Q95" i="24"/>
  <c r="O96" i="24"/>
  <c r="P96" i="24"/>
  <c r="Q96" i="24"/>
  <c r="O97" i="24"/>
  <c r="P97" i="24"/>
  <c r="Q97" i="24"/>
  <c r="O98" i="24"/>
  <c r="P98" i="24"/>
  <c r="Q98" i="24"/>
  <c r="O99" i="24"/>
  <c r="P99" i="24"/>
  <c r="Q99" i="24"/>
  <c r="O100" i="24"/>
  <c r="P100" i="24"/>
  <c r="Q100" i="24"/>
  <c r="O101" i="24"/>
  <c r="P101" i="24"/>
  <c r="Q101" i="24"/>
  <c r="O102" i="24"/>
  <c r="P102" i="24"/>
  <c r="Q102" i="24"/>
  <c r="O103" i="24"/>
  <c r="P103" i="24"/>
  <c r="Q103" i="24"/>
  <c r="O104" i="24"/>
  <c r="P104" i="24"/>
  <c r="Q104" i="24"/>
  <c r="O105" i="24"/>
  <c r="P105" i="24"/>
  <c r="Q105" i="24"/>
  <c r="O106" i="24"/>
  <c r="P106" i="24"/>
  <c r="Q106" i="24"/>
  <c r="O107" i="24"/>
  <c r="P107" i="24"/>
  <c r="Q107" i="24"/>
  <c r="O108" i="24"/>
  <c r="P108" i="24"/>
  <c r="Q108" i="24"/>
  <c r="O109" i="24"/>
  <c r="P109" i="24"/>
  <c r="Q109" i="24"/>
  <c r="O110" i="24"/>
  <c r="P110" i="24"/>
  <c r="Q110" i="24"/>
  <c r="O111" i="24"/>
  <c r="P111" i="24"/>
  <c r="Q111" i="24"/>
  <c r="O112" i="24"/>
  <c r="P112" i="24"/>
  <c r="Q112" i="24"/>
  <c r="O113" i="24"/>
  <c r="P113" i="24"/>
  <c r="Q113" i="24"/>
  <c r="O114" i="24"/>
  <c r="P114" i="24"/>
  <c r="Q114" i="24"/>
  <c r="O115" i="24"/>
  <c r="P115" i="24"/>
  <c r="Q115" i="24"/>
  <c r="O116" i="24"/>
  <c r="P116" i="24"/>
  <c r="Q116" i="24"/>
  <c r="O117" i="24"/>
  <c r="P117" i="24"/>
  <c r="Q117" i="24"/>
  <c r="O118" i="24"/>
  <c r="P118" i="24"/>
  <c r="Q118" i="24"/>
  <c r="O119" i="24"/>
  <c r="P119" i="24"/>
  <c r="Q119" i="24"/>
  <c r="O120" i="24"/>
  <c r="P120" i="24"/>
  <c r="Q120" i="24"/>
  <c r="O121" i="24"/>
  <c r="P121" i="24"/>
  <c r="Q121" i="24"/>
  <c r="O122" i="24"/>
  <c r="P122" i="24"/>
  <c r="Q122" i="24"/>
  <c r="O123" i="24"/>
  <c r="P123" i="24"/>
  <c r="Q123" i="24"/>
  <c r="O124" i="24"/>
  <c r="P124" i="24"/>
  <c r="Q124" i="24"/>
  <c r="O125" i="24"/>
  <c r="P125" i="24"/>
  <c r="Q125" i="24"/>
  <c r="O126" i="24"/>
  <c r="P126" i="24"/>
  <c r="Q126" i="24"/>
  <c r="O127" i="24"/>
  <c r="P127" i="24"/>
  <c r="Q127" i="24"/>
  <c r="O128" i="24"/>
  <c r="P128" i="24"/>
  <c r="Q128" i="24"/>
  <c r="O129" i="24"/>
  <c r="P129" i="24"/>
  <c r="Q129" i="24"/>
  <c r="O130" i="24"/>
  <c r="P130" i="24"/>
  <c r="Q130" i="24"/>
  <c r="O131" i="24"/>
  <c r="P131" i="24"/>
  <c r="Q131" i="24"/>
  <c r="O132" i="24"/>
  <c r="P132" i="24"/>
  <c r="Q132" i="24"/>
  <c r="O133" i="24"/>
  <c r="P133" i="24"/>
  <c r="Q133" i="24"/>
  <c r="O134" i="24"/>
  <c r="P134" i="24"/>
  <c r="Q134" i="24"/>
  <c r="O135" i="24"/>
  <c r="P135" i="24"/>
  <c r="Q135" i="24"/>
  <c r="O136" i="24"/>
  <c r="P136" i="24"/>
  <c r="Q136" i="24"/>
  <c r="O137" i="24"/>
  <c r="P137" i="24"/>
  <c r="Q137" i="24"/>
  <c r="O138" i="24"/>
  <c r="P138" i="24"/>
  <c r="Q138" i="24"/>
  <c r="O139" i="24"/>
  <c r="P139" i="24"/>
  <c r="Q139" i="24"/>
  <c r="O140" i="24"/>
  <c r="P140" i="24"/>
  <c r="Q140" i="24"/>
  <c r="O141" i="24"/>
  <c r="P141" i="24"/>
  <c r="Q141" i="24"/>
  <c r="O142" i="24"/>
  <c r="P142" i="24"/>
  <c r="Q142" i="24"/>
  <c r="O143" i="24"/>
  <c r="P143" i="24"/>
  <c r="Q143" i="24"/>
  <c r="O144" i="24"/>
  <c r="P144" i="24"/>
  <c r="Q144" i="24"/>
  <c r="O145" i="24"/>
  <c r="P145" i="24"/>
  <c r="Q145" i="24"/>
  <c r="O146" i="24"/>
  <c r="P146" i="24"/>
  <c r="Q146" i="24"/>
  <c r="O147" i="24"/>
  <c r="P147" i="24"/>
  <c r="Q147" i="24"/>
  <c r="O148" i="24"/>
  <c r="P148" i="24"/>
  <c r="Q148" i="24"/>
  <c r="O149" i="24"/>
  <c r="P149" i="24"/>
  <c r="Q149" i="24"/>
  <c r="O150" i="24"/>
  <c r="P150" i="24"/>
  <c r="Q150" i="24"/>
  <c r="O151" i="24"/>
  <c r="P151" i="24"/>
  <c r="Q151" i="24"/>
  <c r="O152" i="24"/>
  <c r="P152" i="24"/>
  <c r="Q152" i="24"/>
  <c r="O153" i="24"/>
  <c r="P153" i="24"/>
  <c r="Q153" i="24"/>
  <c r="S51" i="20"/>
  <c r="T51" i="20"/>
  <c r="U51" i="20"/>
  <c r="K38" i="24"/>
  <c r="K39" i="24"/>
  <c r="K40" i="24"/>
  <c r="K41" i="24"/>
  <c r="K42" i="24"/>
  <c r="K43" i="22"/>
  <c r="K44" i="22"/>
  <c r="K45" i="22"/>
  <c r="K46" i="22"/>
  <c r="K47" i="22"/>
  <c r="K52" i="20"/>
  <c r="K53" i="20"/>
  <c r="K54" i="20"/>
  <c r="K55" i="20"/>
  <c r="K56" i="20"/>
  <c r="O60" i="22"/>
  <c r="P60" i="22"/>
  <c r="O61" i="22"/>
  <c r="P61" i="22"/>
  <c r="O62" i="22"/>
  <c r="P62" i="22"/>
  <c r="O63" i="22"/>
  <c r="P63" i="22"/>
  <c r="O64" i="22"/>
  <c r="P64" i="22"/>
  <c r="O65" i="22"/>
  <c r="P65" i="22"/>
  <c r="O66" i="22"/>
  <c r="P66" i="22"/>
  <c r="O67" i="22"/>
  <c r="P67" i="22"/>
  <c r="O68" i="22"/>
  <c r="P68" i="22"/>
  <c r="O69" i="22"/>
  <c r="P69" i="22"/>
  <c r="O70" i="22"/>
  <c r="P70" i="22"/>
  <c r="O71" i="22"/>
  <c r="P71" i="22"/>
  <c r="O72" i="22"/>
  <c r="P72" i="22"/>
  <c r="O73" i="22"/>
  <c r="P73" i="22"/>
  <c r="O74" i="22"/>
  <c r="P74" i="22"/>
  <c r="O75" i="22"/>
  <c r="P75" i="22"/>
  <c r="O76" i="22"/>
  <c r="P76" i="22"/>
  <c r="O77" i="22"/>
  <c r="P77" i="22"/>
  <c r="O78" i="22"/>
  <c r="P78" i="22"/>
  <c r="O79" i="22"/>
  <c r="P79" i="22"/>
  <c r="O80" i="22"/>
  <c r="P80" i="22"/>
  <c r="O81" i="22"/>
  <c r="P81" i="22"/>
  <c r="O82" i="22"/>
  <c r="P82" i="22"/>
  <c r="O83" i="22"/>
  <c r="P83" i="22"/>
  <c r="O84" i="22"/>
  <c r="P84" i="22"/>
  <c r="O85" i="22"/>
  <c r="P85" i="22"/>
  <c r="O86" i="22"/>
  <c r="P86" i="22"/>
  <c r="O87" i="22"/>
  <c r="P87" i="22"/>
  <c r="O88" i="22"/>
  <c r="P88" i="22"/>
  <c r="O89" i="22"/>
  <c r="P89" i="22"/>
  <c r="O90" i="22"/>
  <c r="P90" i="22"/>
  <c r="O91" i="22"/>
  <c r="P91" i="22"/>
  <c r="O92" i="22"/>
  <c r="P92" i="22"/>
  <c r="O93" i="22"/>
  <c r="P93" i="22"/>
  <c r="O94" i="22"/>
  <c r="P94" i="22"/>
  <c r="O95" i="22"/>
  <c r="P95" i="22"/>
  <c r="O96" i="22"/>
  <c r="P96" i="22"/>
  <c r="O97" i="22"/>
  <c r="P97" i="22"/>
  <c r="O98" i="22"/>
  <c r="P98" i="22"/>
  <c r="O99" i="22"/>
  <c r="P99" i="22"/>
  <c r="O100" i="22"/>
  <c r="P100" i="22"/>
  <c r="O101" i="22"/>
  <c r="P101" i="22"/>
  <c r="O102" i="22"/>
  <c r="P102" i="22"/>
  <c r="O103" i="22"/>
  <c r="P103" i="22"/>
  <c r="O104" i="22"/>
  <c r="P104" i="22"/>
  <c r="O105" i="22"/>
  <c r="P105" i="22"/>
  <c r="O106" i="22"/>
  <c r="P106" i="22"/>
  <c r="O107" i="22"/>
  <c r="P107" i="22"/>
  <c r="O108" i="22"/>
  <c r="P108" i="22"/>
  <c r="O109" i="22"/>
  <c r="P109" i="22"/>
  <c r="O110" i="22"/>
  <c r="P110" i="22"/>
  <c r="O111" i="22"/>
  <c r="P111" i="22"/>
  <c r="O112" i="22"/>
  <c r="P112" i="22"/>
  <c r="O113" i="22"/>
  <c r="P113" i="22"/>
  <c r="O114" i="22"/>
  <c r="P114" i="22"/>
  <c r="O115" i="22"/>
  <c r="P115" i="22"/>
  <c r="O116" i="22"/>
  <c r="P116" i="22"/>
  <c r="O117" i="22"/>
  <c r="P117" i="22"/>
  <c r="O118" i="22"/>
  <c r="P118" i="22"/>
  <c r="O119" i="22"/>
  <c r="P119" i="22"/>
  <c r="O120" i="22"/>
  <c r="P120" i="22"/>
  <c r="O121" i="22"/>
  <c r="P121" i="22"/>
  <c r="O122" i="22"/>
  <c r="P122" i="22"/>
  <c r="O123" i="22"/>
  <c r="P123" i="22"/>
  <c r="O124" i="22"/>
  <c r="P124" i="22"/>
  <c r="O125" i="22"/>
  <c r="P125" i="22"/>
  <c r="O126" i="22"/>
  <c r="P126" i="22"/>
  <c r="O127" i="22"/>
  <c r="P127" i="22"/>
  <c r="O128" i="22"/>
  <c r="P128" i="22"/>
  <c r="O129" i="22"/>
  <c r="P129" i="22"/>
  <c r="O130" i="22"/>
  <c r="P130" i="22"/>
  <c r="O131" i="22"/>
  <c r="P131" i="22"/>
  <c r="O132" i="22"/>
  <c r="P132" i="22"/>
  <c r="O133" i="22"/>
  <c r="P133" i="22"/>
  <c r="O134" i="22"/>
  <c r="P134" i="22"/>
  <c r="O135" i="22"/>
  <c r="P135" i="22"/>
  <c r="O136" i="22"/>
  <c r="P136" i="22"/>
  <c r="O137" i="22"/>
  <c r="P137" i="22"/>
  <c r="O138" i="22"/>
  <c r="P138" i="22"/>
  <c r="O139" i="22"/>
  <c r="P139" i="22"/>
  <c r="O140" i="22"/>
  <c r="P140" i="22"/>
  <c r="O141" i="22"/>
  <c r="P141" i="22"/>
  <c r="O142" i="22"/>
  <c r="P142" i="22"/>
  <c r="O143" i="22"/>
  <c r="P143" i="22"/>
  <c r="O144" i="22"/>
  <c r="P144" i="22"/>
  <c r="O145" i="22"/>
  <c r="P145" i="22"/>
  <c r="O146" i="22"/>
  <c r="P146" i="22"/>
  <c r="O147" i="22"/>
  <c r="P147" i="22"/>
  <c r="O148" i="22"/>
  <c r="P148" i="22"/>
  <c r="O149" i="22"/>
  <c r="P149" i="22"/>
  <c r="O150" i="22"/>
  <c r="P150" i="22"/>
  <c r="O151" i="22"/>
  <c r="P151" i="22"/>
  <c r="O152" i="22"/>
  <c r="P152" i="22"/>
  <c r="O153" i="22"/>
  <c r="P153" i="22"/>
  <c r="K36" i="24"/>
  <c r="K37" i="24"/>
  <c r="K41" i="22"/>
  <c r="K42" i="22"/>
  <c r="K50" i="20"/>
  <c r="K51" i="20"/>
  <c r="K17" i="37"/>
  <c r="K18" i="37"/>
  <c r="K19" i="37"/>
  <c r="K20" i="37"/>
  <c r="K21" i="37"/>
  <c r="K22" i="37"/>
  <c r="X153" i="37"/>
  <c r="W153" i="37"/>
  <c r="V153" i="37"/>
  <c r="U153" i="37"/>
  <c r="T153" i="37"/>
  <c r="S153" i="37"/>
  <c r="R153" i="37"/>
  <c r="N153" i="37"/>
  <c r="M153" i="37"/>
  <c r="L153" i="37"/>
  <c r="X152" i="37"/>
  <c r="W152" i="37"/>
  <c r="V152" i="37"/>
  <c r="U152" i="37"/>
  <c r="T152" i="37"/>
  <c r="S152" i="37"/>
  <c r="R152" i="37"/>
  <c r="N152" i="37"/>
  <c r="M152" i="37"/>
  <c r="L152" i="37"/>
  <c r="X151" i="37"/>
  <c r="W151" i="37"/>
  <c r="V151" i="37"/>
  <c r="U151" i="37"/>
  <c r="T151" i="37"/>
  <c r="S151" i="37"/>
  <c r="R151" i="37"/>
  <c r="N151" i="37"/>
  <c r="M151" i="37"/>
  <c r="L151" i="37"/>
  <c r="X150" i="37"/>
  <c r="W150" i="37"/>
  <c r="V150" i="37"/>
  <c r="U150" i="37"/>
  <c r="T150" i="37"/>
  <c r="S150" i="37"/>
  <c r="R150" i="37"/>
  <c r="N150" i="37"/>
  <c r="M150" i="37"/>
  <c r="L150" i="37"/>
  <c r="X149" i="37"/>
  <c r="W149" i="37"/>
  <c r="V149" i="37"/>
  <c r="U149" i="37"/>
  <c r="T149" i="37"/>
  <c r="S149" i="37"/>
  <c r="R149" i="37"/>
  <c r="N149" i="37"/>
  <c r="M149" i="37"/>
  <c r="L149" i="37"/>
  <c r="X148" i="37"/>
  <c r="W148" i="37"/>
  <c r="V148" i="37"/>
  <c r="U148" i="37"/>
  <c r="T148" i="37"/>
  <c r="S148" i="37"/>
  <c r="R148" i="37"/>
  <c r="N148" i="37"/>
  <c r="M148" i="37"/>
  <c r="L148" i="37"/>
  <c r="X147" i="37"/>
  <c r="W147" i="37"/>
  <c r="V147" i="37"/>
  <c r="U147" i="37"/>
  <c r="T147" i="37"/>
  <c r="S147" i="37"/>
  <c r="R147" i="37"/>
  <c r="N147" i="37"/>
  <c r="M147" i="37"/>
  <c r="L147" i="37"/>
  <c r="X146" i="37"/>
  <c r="W146" i="37"/>
  <c r="V146" i="37"/>
  <c r="U146" i="37"/>
  <c r="T146" i="37"/>
  <c r="S146" i="37"/>
  <c r="R146" i="37"/>
  <c r="N146" i="37"/>
  <c r="M146" i="37"/>
  <c r="L146" i="37"/>
  <c r="X145" i="37"/>
  <c r="W145" i="37"/>
  <c r="V145" i="37"/>
  <c r="U145" i="37"/>
  <c r="T145" i="37"/>
  <c r="S145" i="37"/>
  <c r="R145" i="37"/>
  <c r="N145" i="37"/>
  <c r="M145" i="37"/>
  <c r="L145" i="37"/>
  <c r="X144" i="37"/>
  <c r="W144" i="37"/>
  <c r="V144" i="37"/>
  <c r="U144" i="37"/>
  <c r="T144" i="37"/>
  <c r="S144" i="37"/>
  <c r="R144" i="37"/>
  <c r="N144" i="37"/>
  <c r="M144" i="37"/>
  <c r="L144" i="37"/>
  <c r="X143" i="37"/>
  <c r="W143" i="37"/>
  <c r="V143" i="37"/>
  <c r="U143" i="37"/>
  <c r="T143" i="37"/>
  <c r="S143" i="37"/>
  <c r="R143" i="37"/>
  <c r="N143" i="37"/>
  <c r="M143" i="37"/>
  <c r="L143" i="37"/>
  <c r="X142" i="37"/>
  <c r="W142" i="37"/>
  <c r="V142" i="37"/>
  <c r="U142" i="37"/>
  <c r="T142" i="37"/>
  <c r="S142" i="37"/>
  <c r="R142" i="37"/>
  <c r="N142" i="37"/>
  <c r="M142" i="37"/>
  <c r="L142" i="37"/>
  <c r="X141" i="37"/>
  <c r="W141" i="37"/>
  <c r="V141" i="37"/>
  <c r="U141" i="37"/>
  <c r="T141" i="37"/>
  <c r="S141" i="37"/>
  <c r="R141" i="37"/>
  <c r="N141" i="37"/>
  <c r="M141" i="37"/>
  <c r="L141" i="37"/>
  <c r="X140" i="37"/>
  <c r="W140" i="37"/>
  <c r="V140" i="37"/>
  <c r="U140" i="37"/>
  <c r="T140" i="37"/>
  <c r="S140" i="37"/>
  <c r="R140" i="37"/>
  <c r="N140" i="37"/>
  <c r="M140" i="37"/>
  <c r="L140" i="37"/>
  <c r="X139" i="37"/>
  <c r="W139" i="37"/>
  <c r="V139" i="37"/>
  <c r="U139" i="37"/>
  <c r="T139" i="37"/>
  <c r="S139" i="37"/>
  <c r="R139" i="37"/>
  <c r="N139" i="37"/>
  <c r="M139" i="37"/>
  <c r="L139" i="37"/>
  <c r="X138" i="37"/>
  <c r="W138" i="37"/>
  <c r="V138" i="37"/>
  <c r="U138" i="37"/>
  <c r="T138" i="37"/>
  <c r="S138" i="37"/>
  <c r="R138" i="37"/>
  <c r="N138" i="37"/>
  <c r="M138" i="37"/>
  <c r="L138" i="37"/>
  <c r="X137" i="37"/>
  <c r="W137" i="37"/>
  <c r="V137" i="37"/>
  <c r="U137" i="37"/>
  <c r="T137" i="37"/>
  <c r="S137" i="37"/>
  <c r="R137" i="37"/>
  <c r="N137" i="37"/>
  <c r="M137" i="37"/>
  <c r="L137" i="37"/>
  <c r="X136" i="37"/>
  <c r="W136" i="37"/>
  <c r="V136" i="37"/>
  <c r="U136" i="37"/>
  <c r="T136" i="37"/>
  <c r="S136" i="37"/>
  <c r="R136" i="37"/>
  <c r="N136" i="37"/>
  <c r="M136" i="37"/>
  <c r="L136" i="37"/>
  <c r="X135" i="37"/>
  <c r="W135" i="37"/>
  <c r="V135" i="37"/>
  <c r="U135" i="37"/>
  <c r="T135" i="37"/>
  <c r="S135" i="37"/>
  <c r="R135" i="37"/>
  <c r="N135" i="37"/>
  <c r="M135" i="37"/>
  <c r="L135" i="37"/>
  <c r="X134" i="37"/>
  <c r="W134" i="37"/>
  <c r="V134" i="37"/>
  <c r="U134" i="37"/>
  <c r="T134" i="37"/>
  <c r="S134" i="37"/>
  <c r="R134" i="37"/>
  <c r="N134" i="37"/>
  <c r="M134" i="37"/>
  <c r="L134" i="37"/>
  <c r="X133" i="37"/>
  <c r="W133" i="37"/>
  <c r="V133" i="37"/>
  <c r="U133" i="37"/>
  <c r="T133" i="37"/>
  <c r="S133" i="37"/>
  <c r="R133" i="37"/>
  <c r="N133" i="37"/>
  <c r="M133" i="37"/>
  <c r="L133" i="37"/>
  <c r="X132" i="37"/>
  <c r="W132" i="37"/>
  <c r="V132" i="37"/>
  <c r="U132" i="37"/>
  <c r="T132" i="37"/>
  <c r="S132" i="37"/>
  <c r="R132" i="37"/>
  <c r="N132" i="37"/>
  <c r="M132" i="37"/>
  <c r="L132" i="37"/>
  <c r="X131" i="37"/>
  <c r="W131" i="37"/>
  <c r="V131" i="37"/>
  <c r="U131" i="37"/>
  <c r="T131" i="37"/>
  <c r="S131" i="37"/>
  <c r="R131" i="37"/>
  <c r="N131" i="37"/>
  <c r="M131" i="37"/>
  <c r="L131" i="37"/>
  <c r="X130" i="37"/>
  <c r="W130" i="37"/>
  <c r="V130" i="37"/>
  <c r="U130" i="37"/>
  <c r="T130" i="37"/>
  <c r="S130" i="37"/>
  <c r="R130" i="37"/>
  <c r="N130" i="37"/>
  <c r="M130" i="37"/>
  <c r="L130" i="37"/>
  <c r="X129" i="37"/>
  <c r="W129" i="37"/>
  <c r="V129" i="37"/>
  <c r="U129" i="37"/>
  <c r="T129" i="37"/>
  <c r="S129" i="37"/>
  <c r="R129" i="37"/>
  <c r="N129" i="37"/>
  <c r="M129" i="37"/>
  <c r="L129" i="37"/>
  <c r="X128" i="37"/>
  <c r="W128" i="37"/>
  <c r="V128" i="37"/>
  <c r="U128" i="37"/>
  <c r="T128" i="37"/>
  <c r="S128" i="37"/>
  <c r="R128" i="37"/>
  <c r="N128" i="37"/>
  <c r="M128" i="37"/>
  <c r="L128" i="37"/>
  <c r="X127" i="37"/>
  <c r="W127" i="37"/>
  <c r="V127" i="37"/>
  <c r="U127" i="37"/>
  <c r="T127" i="37"/>
  <c r="S127" i="37"/>
  <c r="R127" i="37"/>
  <c r="N127" i="37"/>
  <c r="M127" i="37"/>
  <c r="L127" i="37"/>
  <c r="X126" i="37"/>
  <c r="W126" i="37"/>
  <c r="V126" i="37"/>
  <c r="U126" i="37"/>
  <c r="T126" i="37"/>
  <c r="S126" i="37"/>
  <c r="R126" i="37"/>
  <c r="N126" i="37"/>
  <c r="M126" i="37"/>
  <c r="L126" i="37"/>
  <c r="X125" i="37"/>
  <c r="W125" i="37"/>
  <c r="V125" i="37"/>
  <c r="U125" i="37"/>
  <c r="T125" i="37"/>
  <c r="S125" i="37"/>
  <c r="R125" i="37"/>
  <c r="N125" i="37"/>
  <c r="M125" i="37"/>
  <c r="L125" i="37"/>
  <c r="X124" i="37"/>
  <c r="W124" i="37"/>
  <c r="V124" i="37"/>
  <c r="U124" i="37"/>
  <c r="T124" i="37"/>
  <c r="S124" i="37"/>
  <c r="R124" i="37"/>
  <c r="N124" i="37"/>
  <c r="M124" i="37"/>
  <c r="L124" i="37"/>
  <c r="X123" i="37"/>
  <c r="W123" i="37"/>
  <c r="V123" i="37"/>
  <c r="U123" i="37"/>
  <c r="T123" i="37"/>
  <c r="S123" i="37"/>
  <c r="R123" i="37"/>
  <c r="N123" i="37"/>
  <c r="M123" i="37"/>
  <c r="L123" i="37"/>
  <c r="X122" i="37"/>
  <c r="W122" i="37"/>
  <c r="V122" i="37"/>
  <c r="U122" i="37"/>
  <c r="T122" i="37"/>
  <c r="S122" i="37"/>
  <c r="R122" i="37"/>
  <c r="N122" i="37"/>
  <c r="M122" i="37"/>
  <c r="L122" i="37"/>
  <c r="X121" i="37"/>
  <c r="W121" i="37"/>
  <c r="V121" i="37"/>
  <c r="U121" i="37"/>
  <c r="T121" i="37"/>
  <c r="S121" i="37"/>
  <c r="R121" i="37"/>
  <c r="N121" i="37"/>
  <c r="M121" i="37"/>
  <c r="L121" i="37"/>
  <c r="X120" i="37"/>
  <c r="W120" i="37"/>
  <c r="V120" i="37"/>
  <c r="U120" i="37"/>
  <c r="T120" i="37"/>
  <c r="S120" i="37"/>
  <c r="R120" i="37"/>
  <c r="N120" i="37"/>
  <c r="M120" i="37"/>
  <c r="L120" i="37"/>
  <c r="X119" i="37"/>
  <c r="W119" i="37"/>
  <c r="V119" i="37"/>
  <c r="U119" i="37"/>
  <c r="T119" i="37"/>
  <c r="S119" i="37"/>
  <c r="R119" i="37"/>
  <c r="N119" i="37"/>
  <c r="M119" i="37"/>
  <c r="L119" i="37"/>
  <c r="X118" i="37"/>
  <c r="W118" i="37"/>
  <c r="V118" i="37"/>
  <c r="U118" i="37"/>
  <c r="T118" i="37"/>
  <c r="S118" i="37"/>
  <c r="R118" i="37"/>
  <c r="N118" i="37"/>
  <c r="M118" i="37"/>
  <c r="L118" i="37"/>
  <c r="X117" i="37"/>
  <c r="W117" i="37"/>
  <c r="V117" i="37"/>
  <c r="U117" i="37"/>
  <c r="T117" i="37"/>
  <c r="S117" i="37"/>
  <c r="R117" i="37"/>
  <c r="N117" i="37"/>
  <c r="M117" i="37"/>
  <c r="L117" i="37"/>
  <c r="X116" i="37"/>
  <c r="W116" i="37"/>
  <c r="V116" i="37"/>
  <c r="U116" i="37"/>
  <c r="T116" i="37"/>
  <c r="S116" i="37"/>
  <c r="R116" i="37"/>
  <c r="N116" i="37"/>
  <c r="M116" i="37"/>
  <c r="L116" i="37"/>
  <c r="X115" i="37"/>
  <c r="W115" i="37"/>
  <c r="V115" i="37"/>
  <c r="U115" i="37"/>
  <c r="T115" i="37"/>
  <c r="S115" i="37"/>
  <c r="R115" i="37"/>
  <c r="N115" i="37"/>
  <c r="M115" i="37"/>
  <c r="L115" i="37"/>
  <c r="X114" i="37"/>
  <c r="W114" i="37"/>
  <c r="V114" i="37"/>
  <c r="U114" i="37"/>
  <c r="T114" i="37"/>
  <c r="S114" i="37"/>
  <c r="R114" i="37"/>
  <c r="N114" i="37"/>
  <c r="M114" i="37"/>
  <c r="L114" i="37"/>
  <c r="X113" i="37"/>
  <c r="W113" i="37"/>
  <c r="V113" i="37"/>
  <c r="U113" i="37"/>
  <c r="T113" i="37"/>
  <c r="S113" i="37"/>
  <c r="R113" i="37"/>
  <c r="N113" i="37"/>
  <c r="M113" i="37"/>
  <c r="L113" i="37"/>
  <c r="X112" i="37"/>
  <c r="W112" i="37"/>
  <c r="V112" i="37"/>
  <c r="U112" i="37"/>
  <c r="T112" i="37"/>
  <c r="S112" i="37"/>
  <c r="R112" i="37"/>
  <c r="N112" i="37"/>
  <c r="M112" i="37"/>
  <c r="L112" i="37"/>
  <c r="X111" i="37"/>
  <c r="W111" i="37"/>
  <c r="V111" i="37"/>
  <c r="U111" i="37"/>
  <c r="T111" i="37"/>
  <c r="S111" i="37"/>
  <c r="R111" i="37"/>
  <c r="N111" i="37"/>
  <c r="M111" i="37"/>
  <c r="L111" i="37"/>
  <c r="X110" i="37"/>
  <c r="W110" i="37"/>
  <c r="V110" i="37"/>
  <c r="U110" i="37"/>
  <c r="T110" i="37"/>
  <c r="S110" i="37"/>
  <c r="R110" i="37"/>
  <c r="N110" i="37"/>
  <c r="M110" i="37"/>
  <c r="L110" i="37"/>
  <c r="X109" i="37"/>
  <c r="W109" i="37"/>
  <c r="V109" i="37"/>
  <c r="U109" i="37"/>
  <c r="T109" i="37"/>
  <c r="S109" i="37"/>
  <c r="R109" i="37"/>
  <c r="N109" i="37"/>
  <c r="M109" i="37"/>
  <c r="L109" i="37"/>
  <c r="X108" i="37"/>
  <c r="W108" i="37"/>
  <c r="V108" i="37"/>
  <c r="U108" i="37"/>
  <c r="T108" i="37"/>
  <c r="S108" i="37"/>
  <c r="R108" i="37"/>
  <c r="N108" i="37"/>
  <c r="M108" i="37"/>
  <c r="L108" i="37"/>
  <c r="X107" i="37"/>
  <c r="W107" i="37"/>
  <c r="V107" i="37"/>
  <c r="U107" i="37"/>
  <c r="T107" i="37"/>
  <c r="S107" i="37"/>
  <c r="R107" i="37"/>
  <c r="N107" i="37"/>
  <c r="M107" i="37"/>
  <c r="L107" i="37"/>
  <c r="X106" i="37"/>
  <c r="W106" i="37"/>
  <c r="V106" i="37"/>
  <c r="U106" i="37"/>
  <c r="T106" i="37"/>
  <c r="S106" i="37"/>
  <c r="R106" i="37"/>
  <c r="N106" i="37"/>
  <c r="M106" i="37"/>
  <c r="L106" i="37"/>
  <c r="X105" i="37"/>
  <c r="W105" i="37"/>
  <c r="V105" i="37"/>
  <c r="U105" i="37"/>
  <c r="T105" i="37"/>
  <c r="S105" i="37"/>
  <c r="R105" i="37"/>
  <c r="N105" i="37"/>
  <c r="M105" i="37"/>
  <c r="L105" i="37"/>
  <c r="X104" i="37"/>
  <c r="W104" i="37"/>
  <c r="V104" i="37"/>
  <c r="U104" i="37"/>
  <c r="T104" i="37"/>
  <c r="S104" i="37"/>
  <c r="R104" i="37"/>
  <c r="N104" i="37"/>
  <c r="M104" i="37"/>
  <c r="L104" i="37"/>
  <c r="X103" i="37"/>
  <c r="W103" i="37"/>
  <c r="V103" i="37"/>
  <c r="U103" i="37"/>
  <c r="T103" i="37"/>
  <c r="S103" i="37"/>
  <c r="R103" i="37"/>
  <c r="N103" i="37"/>
  <c r="M103" i="37"/>
  <c r="L103" i="37"/>
  <c r="X102" i="37"/>
  <c r="W102" i="37"/>
  <c r="V102" i="37"/>
  <c r="U102" i="37"/>
  <c r="T102" i="37"/>
  <c r="S102" i="37"/>
  <c r="R102" i="37"/>
  <c r="N102" i="37"/>
  <c r="M102" i="37"/>
  <c r="L102" i="37"/>
  <c r="X101" i="37"/>
  <c r="W101" i="37"/>
  <c r="V101" i="37"/>
  <c r="U101" i="37"/>
  <c r="T101" i="37"/>
  <c r="S101" i="37"/>
  <c r="R101" i="37"/>
  <c r="N101" i="37"/>
  <c r="M101" i="37"/>
  <c r="L101" i="37"/>
  <c r="X100" i="37"/>
  <c r="W100" i="37"/>
  <c r="V100" i="37"/>
  <c r="U100" i="37"/>
  <c r="T100" i="37"/>
  <c r="S100" i="37"/>
  <c r="R100" i="37"/>
  <c r="N100" i="37"/>
  <c r="M100" i="37"/>
  <c r="L100" i="37"/>
  <c r="X99" i="37"/>
  <c r="W99" i="37"/>
  <c r="V99" i="37"/>
  <c r="U99" i="37"/>
  <c r="T99" i="37"/>
  <c r="S99" i="37"/>
  <c r="R99" i="37"/>
  <c r="N99" i="37"/>
  <c r="M99" i="37"/>
  <c r="L99" i="37"/>
  <c r="X98" i="37"/>
  <c r="W98" i="37"/>
  <c r="V98" i="37"/>
  <c r="U98" i="37"/>
  <c r="T98" i="37"/>
  <c r="S98" i="37"/>
  <c r="R98" i="37"/>
  <c r="N98" i="37"/>
  <c r="M98" i="37"/>
  <c r="L98" i="37"/>
  <c r="X97" i="37"/>
  <c r="W97" i="37"/>
  <c r="V97" i="37"/>
  <c r="U97" i="37"/>
  <c r="T97" i="37"/>
  <c r="S97" i="37"/>
  <c r="R97" i="37"/>
  <c r="N97" i="37"/>
  <c r="M97" i="37"/>
  <c r="L97" i="37"/>
  <c r="X96" i="37"/>
  <c r="W96" i="37"/>
  <c r="V96" i="37"/>
  <c r="U96" i="37"/>
  <c r="T96" i="37"/>
  <c r="S96" i="37"/>
  <c r="R96" i="37"/>
  <c r="N96" i="37"/>
  <c r="M96" i="37"/>
  <c r="L96" i="37"/>
  <c r="X95" i="37"/>
  <c r="W95" i="37"/>
  <c r="V95" i="37"/>
  <c r="U95" i="37"/>
  <c r="T95" i="37"/>
  <c r="S95" i="37"/>
  <c r="R95" i="37"/>
  <c r="N95" i="37"/>
  <c r="M95" i="37"/>
  <c r="L95" i="37"/>
  <c r="X94" i="37"/>
  <c r="W94" i="37"/>
  <c r="V94" i="37"/>
  <c r="U94" i="37"/>
  <c r="T94" i="37"/>
  <c r="S94" i="37"/>
  <c r="R94" i="37"/>
  <c r="N94" i="37"/>
  <c r="M94" i="37"/>
  <c r="L94" i="37"/>
  <c r="X93" i="37"/>
  <c r="W93" i="37"/>
  <c r="V93" i="37"/>
  <c r="U93" i="37"/>
  <c r="T93" i="37"/>
  <c r="S93" i="37"/>
  <c r="R93" i="37"/>
  <c r="N93" i="37"/>
  <c r="M93" i="37"/>
  <c r="L93" i="37"/>
  <c r="X92" i="37"/>
  <c r="W92" i="37"/>
  <c r="V92" i="37"/>
  <c r="U92" i="37"/>
  <c r="T92" i="37"/>
  <c r="S92" i="37"/>
  <c r="R92" i="37"/>
  <c r="N92" i="37"/>
  <c r="M92" i="37"/>
  <c r="L92" i="37"/>
  <c r="X91" i="37"/>
  <c r="W91" i="37"/>
  <c r="V91" i="37"/>
  <c r="U91" i="37"/>
  <c r="T91" i="37"/>
  <c r="S91" i="37"/>
  <c r="R91" i="37"/>
  <c r="N91" i="37"/>
  <c r="M91" i="37"/>
  <c r="L91" i="37"/>
  <c r="X90" i="37"/>
  <c r="W90" i="37"/>
  <c r="V90" i="37"/>
  <c r="U90" i="37"/>
  <c r="T90" i="37"/>
  <c r="S90" i="37"/>
  <c r="R90" i="37"/>
  <c r="N90" i="37"/>
  <c r="M90" i="37"/>
  <c r="L90" i="37"/>
  <c r="X89" i="37"/>
  <c r="W89" i="37"/>
  <c r="V89" i="37"/>
  <c r="U89" i="37"/>
  <c r="T89" i="37"/>
  <c r="S89" i="37"/>
  <c r="R89" i="37"/>
  <c r="N89" i="37"/>
  <c r="M89" i="37"/>
  <c r="L89" i="37"/>
  <c r="X88" i="37"/>
  <c r="W88" i="37"/>
  <c r="V88" i="37"/>
  <c r="U88" i="37"/>
  <c r="T88" i="37"/>
  <c r="S88" i="37"/>
  <c r="R88" i="37"/>
  <c r="N88" i="37"/>
  <c r="M88" i="37"/>
  <c r="L88" i="37"/>
  <c r="X87" i="37"/>
  <c r="W87" i="37"/>
  <c r="V87" i="37"/>
  <c r="U87" i="37"/>
  <c r="T87" i="37"/>
  <c r="S87" i="37"/>
  <c r="R87" i="37"/>
  <c r="N87" i="37"/>
  <c r="M87" i="37"/>
  <c r="L87" i="37"/>
  <c r="X86" i="37"/>
  <c r="W86" i="37"/>
  <c r="V86" i="37"/>
  <c r="U86" i="37"/>
  <c r="T86" i="37"/>
  <c r="S86" i="37"/>
  <c r="R86" i="37"/>
  <c r="N86" i="37"/>
  <c r="M86" i="37"/>
  <c r="L86" i="37"/>
  <c r="X85" i="37"/>
  <c r="W85" i="37"/>
  <c r="V85" i="37"/>
  <c r="U85" i="37"/>
  <c r="T85" i="37"/>
  <c r="S85" i="37"/>
  <c r="R85" i="37"/>
  <c r="N85" i="37"/>
  <c r="M85" i="37"/>
  <c r="L85" i="37"/>
  <c r="X84" i="37"/>
  <c r="W84" i="37"/>
  <c r="V84" i="37"/>
  <c r="U84" i="37"/>
  <c r="T84" i="37"/>
  <c r="S84" i="37"/>
  <c r="R84" i="37"/>
  <c r="N84" i="37"/>
  <c r="M84" i="37"/>
  <c r="L84" i="37"/>
  <c r="X83" i="37"/>
  <c r="W83" i="37"/>
  <c r="V83" i="37"/>
  <c r="U83" i="37"/>
  <c r="T83" i="37"/>
  <c r="S83" i="37"/>
  <c r="R83" i="37"/>
  <c r="N83" i="37"/>
  <c r="M83" i="37"/>
  <c r="L83" i="37"/>
  <c r="X82" i="37"/>
  <c r="W82" i="37"/>
  <c r="V82" i="37"/>
  <c r="U82" i="37"/>
  <c r="T82" i="37"/>
  <c r="S82" i="37"/>
  <c r="R82" i="37"/>
  <c r="N82" i="37"/>
  <c r="M82" i="37"/>
  <c r="L82" i="37"/>
  <c r="X81" i="37"/>
  <c r="W81" i="37"/>
  <c r="V81" i="37"/>
  <c r="U81" i="37"/>
  <c r="T81" i="37"/>
  <c r="S81" i="37"/>
  <c r="R81" i="37"/>
  <c r="N81" i="37"/>
  <c r="M81" i="37"/>
  <c r="L81" i="37"/>
  <c r="X80" i="37"/>
  <c r="W80" i="37"/>
  <c r="V80" i="37"/>
  <c r="U80" i="37"/>
  <c r="T80" i="37"/>
  <c r="S80" i="37"/>
  <c r="R80" i="37"/>
  <c r="N80" i="37"/>
  <c r="M80" i="37"/>
  <c r="L80" i="37"/>
  <c r="X79" i="37"/>
  <c r="W79" i="37"/>
  <c r="V79" i="37"/>
  <c r="U79" i="37"/>
  <c r="T79" i="37"/>
  <c r="S79" i="37"/>
  <c r="R79" i="37"/>
  <c r="N79" i="37"/>
  <c r="M79" i="37"/>
  <c r="L79" i="37"/>
  <c r="X78" i="37"/>
  <c r="W78" i="37"/>
  <c r="V78" i="37"/>
  <c r="U78" i="37"/>
  <c r="T78" i="37"/>
  <c r="S78" i="37"/>
  <c r="R78" i="37"/>
  <c r="N78" i="37"/>
  <c r="M78" i="37"/>
  <c r="L78" i="37"/>
  <c r="X77" i="37"/>
  <c r="W77" i="37"/>
  <c r="V77" i="37"/>
  <c r="U77" i="37"/>
  <c r="T77" i="37"/>
  <c r="S77" i="37"/>
  <c r="R77" i="37"/>
  <c r="N77" i="37"/>
  <c r="M77" i="37"/>
  <c r="L77" i="37"/>
  <c r="X76" i="37"/>
  <c r="W76" i="37"/>
  <c r="V76" i="37"/>
  <c r="U76" i="37"/>
  <c r="T76" i="37"/>
  <c r="S76" i="37"/>
  <c r="R76" i="37"/>
  <c r="N76" i="37"/>
  <c r="M76" i="37"/>
  <c r="L76" i="37"/>
  <c r="X75" i="37"/>
  <c r="W75" i="37"/>
  <c r="V75" i="37"/>
  <c r="U75" i="37"/>
  <c r="T75" i="37"/>
  <c r="S75" i="37"/>
  <c r="R75" i="37"/>
  <c r="N75" i="37"/>
  <c r="M75" i="37"/>
  <c r="L75" i="37"/>
  <c r="X74" i="37"/>
  <c r="W74" i="37"/>
  <c r="V74" i="37"/>
  <c r="U74" i="37"/>
  <c r="T74" i="37"/>
  <c r="S74" i="37"/>
  <c r="R74" i="37"/>
  <c r="N74" i="37"/>
  <c r="M74" i="37"/>
  <c r="L74" i="37"/>
  <c r="X73" i="37"/>
  <c r="W73" i="37"/>
  <c r="V73" i="37"/>
  <c r="U73" i="37"/>
  <c r="T73" i="37"/>
  <c r="S73" i="37"/>
  <c r="R73" i="37"/>
  <c r="N73" i="37"/>
  <c r="M73" i="37"/>
  <c r="L73" i="37"/>
  <c r="X72" i="37"/>
  <c r="W72" i="37"/>
  <c r="V72" i="37"/>
  <c r="U72" i="37"/>
  <c r="T72" i="37"/>
  <c r="S72" i="37"/>
  <c r="R72" i="37"/>
  <c r="N72" i="37"/>
  <c r="M72" i="37"/>
  <c r="L72" i="37"/>
  <c r="X71" i="37"/>
  <c r="W71" i="37"/>
  <c r="V71" i="37"/>
  <c r="U71" i="37"/>
  <c r="T71" i="37"/>
  <c r="S71" i="37"/>
  <c r="R71" i="37"/>
  <c r="N71" i="37"/>
  <c r="M71" i="37"/>
  <c r="L71" i="37"/>
  <c r="X70" i="37"/>
  <c r="W70" i="37"/>
  <c r="V70" i="37"/>
  <c r="U70" i="37"/>
  <c r="T70" i="37"/>
  <c r="S70" i="37"/>
  <c r="R70" i="37"/>
  <c r="N70" i="37"/>
  <c r="M70" i="37"/>
  <c r="L70" i="37"/>
  <c r="X69" i="37"/>
  <c r="W69" i="37"/>
  <c r="V69" i="37"/>
  <c r="U69" i="37"/>
  <c r="T69" i="37"/>
  <c r="S69" i="37"/>
  <c r="R69" i="37"/>
  <c r="N69" i="37"/>
  <c r="M69" i="37"/>
  <c r="L69" i="37"/>
  <c r="X68" i="37"/>
  <c r="W68" i="37"/>
  <c r="V68" i="37"/>
  <c r="U68" i="37"/>
  <c r="T68" i="37"/>
  <c r="S68" i="37"/>
  <c r="R68" i="37"/>
  <c r="N68" i="37"/>
  <c r="M68" i="37"/>
  <c r="L68" i="37"/>
  <c r="X67" i="37"/>
  <c r="W67" i="37"/>
  <c r="V67" i="37"/>
  <c r="U67" i="37"/>
  <c r="T67" i="37"/>
  <c r="S67" i="37"/>
  <c r="R67" i="37"/>
  <c r="N67" i="37"/>
  <c r="M67" i="37"/>
  <c r="L67" i="37"/>
  <c r="X66" i="37"/>
  <c r="W66" i="37"/>
  <c r="V66" i="37"/>
  <c r="U66" i="37"/>
  <c r="T66" i="37"/>
  <c r="S66" i="37"/>
  <c r="R66" i="37"/>
  <c r="N66" i="37"/>
  <c r="M66" i="37"/>
  <c r="L66" i="37"/>
  <c r="X65" i="37"/>
  <c r="W65" i="37"/>
  <c r="V65" i="37"/>
  <c r="U65" i="37"/>
  <c r="T65" i="37"/>
  <c r="S65" i="37"/>
  <c r="R65" i="37"/>
  <c r="N65" i="37"/>
  <c r="M65" i="37"/>
  <c r="L65" i="37"/>
  <c r="X64" i="37"/>
  <c r="W64" i="37"/>
  <c r="V64" i="37"/>
  <c r="U64" i="37"/>
  <c r="T64" i="37"/>
  <c r="S64" i="37"/>
  <c r="R64" i="37"/>
  <c r="N64" i="37"/>
  <c r="M64" i="37"/>
  <c r="L64" i="37"/>
  <c r="X63" i="37"/>
  <c r="W63" i="37"/>
  <c r="V63" i="37"/>
  <c r="U63" i="37"/>
  <c r="T63" i="37"/>
  <c r="S63" i="37"/>
  <c r="R63" i="37"/>
  <c r="N63" i="37"/>
  <c r="M63" i="37"/>
  <c r="L63" i="37"/>
  <c r="X62" i="37"/>
  <c r="W62" i="37"/>
  <c r="V62" i="37"/>
  <c r="U62" i="37"/>
  <c r="T62" i="37"/>
  <c r="S62" i="37"/>
  <c r="R62" i="37"/>
  <c r="N62" i="37"/>
  <c r="M62" i="37"/>
  <c r="L62" i="37"/>
  <c r="X61" i="37"/>
  <c r="W61" i="37"/>
  <c r="V61" i="37"/>
  <c r="U61" i="37"/>
  <c r="T61" i="37"/>
  <c r="S61" i="37"/>
  <c r="R61" i="37"/>
  <c r="N61" i="37"/>
  <c r="M61" i="37"/>
  <c r="L61" i="37"/>
  <c r="X60" i="37"/>
  <c r="W60" i="37"/>
  <c r="V60" i="37"/>
  <c r="U60" i="37"/>
  <c r="T60" i="37"/>
  <c r="S60" i="37"/>
  <c r="R60" i="37"/>
  <c r="N60" i="37"/>
  <c r="M60" i="37"/>
  <c r="L60" i="37"/>
  <c r="X59" i="37"/>
  <c r="W59" i="37"/>
  <c r="V59" i="37"/>
  <c r="U59" i="37"/>
  <c r="T59" i="37"/>
  <c r="S59" i="37"/>
  <c r="R59" i="37"/>
  <c r="N59" i="37"/>
  <c r="M59" i="37"/>
  <c r="L59" i="37"/>
  <c r="X58" i="37"/>
  <c r="W58" i="37"/>
  <c r="V58" i="37"/>
  <c r="U58" i="37"/>
  <c r="T58" i="37"/>
  <c r="S58" i="37"/>
  <c r="R58" i="37"/>
  <c r="N58" i="37"/>
  <c r="M58" i="37"/>
  <c r="L58" i="37"/>
  <c r="X57" i="37"/>
  <c r="W57" i="37"/>
  <c r="V57" i="37"/>
  <c r="U57" i="37"/>
  <c r="T57" i="37"/>
  <c r="S57" i="37"/>
  <c r="R57" i="37"/>
  <c r="N57" i="37"/>
  <c r="M57" i="37"/>
  <c r="L57" i="37"/>
  <c r="X56" i="37"/>
  <c r="W56" i="37"/>
  <c r="V56" i="37"/>
  <c r="U56" i="37"/>
  <c r="T56" i="37"/>
  <c r="S56" i="37"/>
  <c r="R56" i="37"/>
  <c r="N56" i="37"/>
  <c r="M56" i="37"/>
  <c r="L56" i="37"/>
  <c r="X55" i="37"/>
  <c r="W55" i="37"/>
  <c r="V55" i="37"/>
  <c r="U55" i="37"/>
  <c r="T55" i="37"/>
  <c r="S55" i="37"/>
  <c r="R55" i="37"/>
  <c r="N55" i="37"/>
  <c r="M55" i="37"/>
  <c r="L55" i="37"/>
  <c r="X54" i="37"/>
  <c r="W54" i="37"/>
  <c r="V54" i="37"/>
  <c r="U54" i="37"/>
  <c r="T54" i="37"/>
  <c r="S54" i="37"/>
  <c r="R54" i="37"/>
  <c r="N54" i="37"/>
  <c r="M54" i="37"/>
  <c r="L54" i="37"/>
  <c r="X53" i="37"/>
  <c r="W53" i="37"/>
  <c r="V53" i="37"/>
  <c r="U53" i="37"/>
  <c r="T53" i="37"/>
  <c r="S53" i="37"/>
  <c r="R53" i="37"/>
  <c r="N53" i="37"/>
  <c r="M53" i="37"/>
  <c r="L53" i="37"/>
  <c r="X52" i="37"/>
  <c r="W52" i="37"/>
  <c r="V52" i="37"/>
  <c r="U52" i="37"/>
  <c r="T52" i="37"/>
  <c r="S52" i="37"/>
  <c r="R52" i="37"/>
  <c r="N52" i="37"/>
  <c r="M52" i="37"/>
  <c r="L52" i="37"/>
  <c r="X51" i="37"/>
  <c r="W51" i="37"/>
  <c r="V51" i="37"/>
  <c r="U51" i="37"/>
  <c r="T51" i="37"/>
  <c r="S51" i="37"/>
  <c r="R51" i="37"/>
  <c r="N51" i="37"/>
  <c r="M51" i="37"/>
  <c r="L51" i="37"/>
  <c r="X50" i="37"/>
  <c r="W50" i="37"/>
  <c r="V50" i="37"/>
  <c r="U50" i="37"/>
  <c r="T50" i="37"/>
  <c r="S50" i="37"/>
  <c r="R50" i="37"/>
  <c r="N50" i="37"/>
  <c r="M50" i="37"/>
  <c r="L50" i="37"/>
  <c r="X49" i="37"/>
  <c r="W49" i="37"/>
  <c r="V49" i="37"/>
  <c r="U49" i="37"/>
  <c r="T49" i="37"/>
  <c r="S49" i="37"/>
  <c r="R49" i="37"/>
  <c r="N49" i="37"/>
  <c r="M49" i="37"/>
  <c r="L49" i="37"/>
  <c r="X48" i="37"/>
  <c r="W48" i="37"/>
  <c r="V48" i="37"/>
  <c r="U48" i="37"/>
  <c r="T48" i="37"/>
  <c r="S48" i="37"/>
  <c r="R48" i="37"/>
  <c r="N48" i="37"/>
  <c r="M48" i="37"/>
  <c r="L48" i="37"/>
  <c r="X47" i="37"/>
  <c r="W47" i="37"/>
  <c r="V47" i="37"/>
  <c r="U47" i="37"/>
  <c r="T47" i="37"/>
  <c r="S47" i="37"/>
  <c r="R47" i="37"/>
  <c r="N47" i="37"/>
  <c r="M47" i="37"/>
  <c r="L47" i="37"/>
  <c r="X46" i="37"/>
  <c r="W46" i="37"/>
  <c r="V46" i="37"/>
  <c r="U46" i="37"/>
  <c r="T46" i="37"/>
  <c r="S46" i="37"/>
  <c r="R46" i="37"/>
  <c r="N46" i="37"/>
  <c r="M46" i="37"/>
  <c r="L46" i="37"/>
  <c r="X45" i="37"/>
  <c r="W45" i="37"/>
  <c r="V45" i="37"/>
  <c r="U45" i="37"/>
  <c r="T45" i="37"/>
  <c r="S45" i="37"/>
  <c r="R45" i="37"/>
  <c r="N45" i="37"/>
  <c r="M45" i="37"/>
  <c r="L45" i="37"/>
  <c r="X44" i="37"/>
  <c r="W44" i="37"/>
  <c r="V44" i="37"/>
  <c r="U44" i="37"/>
  <c r="T44" i="37"/>
  <c r="S44" i="37"/>
  <c r="R44" i="37"/>
  <c r="N44" i="37"/>
  <c r="M44" i="37"/>
  <c r="L44" i="37"/>
  <c r="X43" i="37"/>
  <c r="W43" i="37"/>
  <c r="V43" i="37"/>
  <c r="U43" i="37"/>
  <c r="T43" i="37"/>
  <c r="S43" i="37"/>
  <c r="R43" i="37"/>
  <c r="N43" i="37"/>
  <c r="M43" i="37"/>
  <c r="L43" i="37"/>
  <c r="X42" i="37"/>
  <c r="W42" i="37"/>
  <c r="V42" i="37"/>
  <c r="U42" i="37"/>
  <c r="T42" i="37"/>
  <c r="S42" i="37"/>
  <c r="R42" i="37"/>
  <c r="N42" i="37"/>
  <c r="M42" i="37"/>
  <c r="L42" i="37"/>
  <c r="X41" i="37"/>
  <c r="W41" i="37"/>
  <c r="V41" i="37"/>
  <c r="U41" i="37"/>
  <c r="T41" i="37"/>
  <c r="S41" i="37"/>
  <c r="R41" i="37"/>
  <c r="N41" i="37"/>
  <c r="M41" i="37"/>
  <c r="L41" i="37"/>
  <c r="X40" i="37"/>
  <c r="W40" i="37"/>
  <c r="V40" i="37"/>
  <c r="R40" i="37"/>
  <c r="N40" i="37"/>
  <c r="M40" i="37"/>
  <c r="L40" i="37"/>
  <c r="X39" i="37"/>
  <c r="W39" i="37"/>
  <c r="V39" i="37"/>
  <c r="U39" i="37"/>
  <c r="T39" i="37"/>
  <c r="S39" i="37"/>
  <c r="R39" i="37"/>
  <c r="N39" i="37"/>
  <c r="M39" i="37"/>
  <c r="L39" i="37"/>
  <c r="X38" i="37"/>
  <c r="W38" i="37"/>
  <c r="V38" i="37"/>
  <c r="U38" i="37"/>
  <c r="T38" i="37"/>
  <c r="S38" i="37"/>
  <c r="R38" i="37"/>
  <c r="N38" i="37"/>
  <c r="M38" i="37"/>
  <c r="L38" i="37"/>
  <c r="X37" i="37"/>
  <c r="W37" i="37"/>
  <c r="V37" i="37"/>
  <c r="R37" i="37"/>
  <c r="N37" i="37"/>
  <c r="M37" i="37"/>
  <c r="L37" i="37"/>
  <c r="X36" i="37"/>
  <c r="W36" i="37"/>
  <c r="V36" i="37"/>
  <c r="U36" i="37"/>
  <c r="T36" i="37"/>
  <c r="S36" i="37"/>
  <c r="R36" i="37"/>
  <c r="N36" i="37"/>
  <c r="M36" i="37"/>
  <c r="L36" i="37"/>
  <c r="X35" i="37"/>
  <c r="W35" i="37"/>
  <c r="V35" i="37"/>
  <c r="U35" i="37"/>
  <c r="T35" i="37"/>
  <c r="S35" i="37"/>
  <c r="R35" i="37"/>
  <c r="N35" i="37"/>
  <c r="M35" i="37"/>
  <c r="L35" i="37"/>
  <c r="X34" i="37"/>
  <c r="W34" i="37"/>
  <c r="V34" i="37"/>
  <c r="U34" i="37"/>
  <c r="T34" i="37"/>
  <c r="S34" i="37"/>
  <c r="R34" i="37"/>
  <c r="N34" i="37"/>
  <c r="M34" i="37"/>
  <c r="L34" i="37"/>
  <c r="X33" i="37"/>
  <c r="W33" i="37"/>
  <c r="V33" i="37"/>
  <c r="U33" i="37"/>
  <c r="T33" i="37"/>
  <c r="S33" i="37"/>
  <c r="R33" i="37"/>
  <c r="N33" i="37"/>
  <c r="M33" i="37"/>
  <c r="L33" i="37"/>
  <c r="X32" i="37"/>
  <c r="W32" i="37"/>
  <c r="V32" i="37"/>
  <c r="U32" i="37"/>
  <c r="T32" i="37"/>
  <c r="S32" i="37"/>
  <c r="R32" i="37"/>
  <c r="N32" i="37"/>
  <c r="M32" i="37"/>
  <c r="L32" i="37"/>
  <c r="X31" i="37"/>
  <c r="W31" i="37"/>
  <c r="V31" i="37"/>
  <c r="U31" i="37"/>
  <c r="T31" i="37"/>
  <c r="S31" i="37"/>
  <c r="R31" i="37"/>
  <c r="N31" i="37"/>
  <c r="M31" i="37"/>
  <c r="L31" i="37"/>
  <c r="X30" i="37"/>
  <c r="W30" i="37"/>
  <c r="V30" i="37"/>
  <c r="U30" i="37"/>
  <c r="T30" i="37"/>
  <c r="S30" i="37"/>
  <c r="R30" i="37"/>
  <c r="N30" i="37"/>
  <c r="M30" i="37"/>
  <c r="L30" i="37"/>
  <c r="X29" i="37"/>
  <c r="W29" i="37"/>
  <c r="V29" i="37"/>
  <c r="U29" i="37"/>
  <c r="T29" i="37"/>
  <c r="S29" i="37"/>
  <c r="R29" i="37"/>
  <c r="N29" i="37"/>
  <c r="M29" i="37"/>
  <c r="L29" i="37"/>
  <c r="X28" i="37"/>
  <c r="W28" i="37"/>
  <c r="V28" i="37"/>
  <c r="U28" i="37"/>
  <c r="T28" i="37"/>
  <c r="S28" i="37"/>
  <c r="R28" i="37"/>
  <c r="N28" i="37"/>
  <c r="M28" i="37"/>
  <c r="L28" i="37"/>
  <c r="X27" i="37"/>
  <c r="W27" i="37"/>
  <c r="V27" i="37"/>
  <c r="U27" i="37"/>
  <c r="T27" i="37"/>
  <c r="S27" i="37"/>
  <c r="R27" i="37"/>
  <c r="N27" i="37"/>
  <c r="M27" i="37"/>
  <c r="L27" i="37"/>
  <c r="X26" i="37"/>
  <c r="W26" i="37"/>
  <c r="V26" i="37"/>
  <c r="U26" i="37"/>
  <c r="T26" i="37"/>
  <c r="S26" i="37"/>
  <c r="R26" i="37"/>
  <c r="N26" i="37"/>
  <c r="M26" i="37"/>
  <c r="L26" i="37"/>
  <c r="X25" i="37"/>
  <c r="W25" i="37"/>
  <c r="V25" i="37"/>
  <c r="U25" i="37"/>
  <c r="T25" i="37"/>
  <c r="S25" i="37"/>
  <c r="R25" i="37"/>
  <c r="N25" i="37"/>
  <c r="M25" i="37"/>
  <c r="L25" i="37"/>
  <c r="X24" i="37"/>
  <c r="W24" i="37"/>
  <c r="V24" i="37"/>
  <c r="U24" i="37"/>
  <c r="T24" i="37"/>
  <c r="S24" i="37"/>
  <c r="R24" i="37"/>
  <c r="N24" i="37"/>
  <c r="M24" i="37"/>
  <c r="L24" i="37"/>
  <c r="X23" i="37"/>
  <c r="W23" i="37"/>
  <c r="V23" i="37"/>
  <c r="U23" i="37"/>
  <c r="T23" i="37"/>
  <c r="S23" i="37"/>
  <c r="R23" i="37"/>
  <c r="N23" i="37"/>
  <c r="Q41" i="37" s="1"/>
  <c r="M23" i="37"/>
  <c r="P25" i="37" s="1"/>
  <c r="L23" i="37"/>
  <c r="O25" i="37" s="1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R16" i="37"/>
  <c r="N16" i="37"/>
  <c r="M16" i="37"/>
  <c r="L16" i="37"/>
  <c r="K16" i="37"/>
  <c r="Y2" i="37"/>
  <c r="K23" i="35"/>
  <c r="K30" i="33"/>
  <c r="K40" i="22"/>
  <c r="K48" i="20"/>
  <c r="K49" i="20"/>
  <c r="K43" i="18"/>
  <c r="K52" i="16"/>
  <c r="K43" i="14"/>
  <c r="K53" i="11"/>
  <c r="K61" i="9"/>
  <c r="K41" i="7"/>
  <c r="K25" i="31"/>
  <c r="K20" i="28"/>
  <c r="K35" i="24"/>
  <c r="K20" i="33"/>
  <c r="K21" i="33"/>
  <c r="K22" i="33"/>
  <c r="K23" i="33"/>
  <c r="K24" i="33"/>
  <c r="K25" i="33"/>
  <c r="K26" i="33"/>
  <c r="K27" i="33"/>
  <c r="K28" i="33"/>
  <c r="K29" i="33"/>
  <c r="K22" i="35"/>
  <c r="X153" i="35"/>
  <c r="W153" i="35"/>
  <c r="V153" i="35"/>
  <c r="U153" i="35"/>
  <c r="T153" i="35"/>
  <c r="S153" i="35"/>
  <c r="R153" i="35"/>
  <c r="M153" i="35"/>
  <c r="X152" i="35"/>
  <c r="W152" i="35"/>
  <c r="V152" i="35"/>
  <c r="U152" i="35"/>
  <c r="T152" i="35"/>
  <c r="S152" i="35"/>
  <c r="R152" i="35"/>
  <c r="M152" i="35"/>
  <c r="X151" i="35"/>
  <c r="W151" i="35"/>
  <c r="V151" i="35"/>
  <c r="U151" i="35"/>
  <c r="T151" i="35"/>
  <c r="S151" i="35"/>
  <c r="R151" i="35"/>
  <c r="M151" i="35"/>
  <c r="X150" i="35"/>
  <c r="W150" i="35"/>
  <c r="V150" i="35"/>
  <c r="U150" i="35"/>
  <c r="T150" i="35"/>
  <c r="S150" i="35"/>
  <c r="R150" i="35"/>
  <c r="M150" i="35"/>
  <c r="X149" i="35"/>
  <c r="W149" i="35"/>
  <c r="V149" i="35"/>
  <c r="U149" i="35"/>
  <c r="T149" i="35"/>
  <c r="S149" i="35"/>
  <c r="R149" i="35"/>
  <c r="M149" i="35"/>
  <c r="X148" i="35"/>
  <c r="W148" i="35"/>
  <c r="V148" i="35"/>
  <c r="U148" i="35"/>
  <c r="T148" i="35"/>
  <c r="S148" i="35"/>
  <c r="R148" i="35"/>
  <c r="M148" i="35"/>
  <c r="X147" i="35"/>
  <c r="W147" i="35"/>
  <c r="V147" i="35"/>
  <c r="U147" i="35"/>
  <c r="T147" i="35"/>
  <c r="S147" i="35"/>
  <c r="R147" i="35"/>
  <c r="M147" i="35"/>
  <c r="X146" i="35"/>
  <c r="W146" i="35"/>
  <c r="V146" i="35"/>
  <c r="U146" i="35"/>
  <c r="T146" i="35"/>
  <c r="S146" i="35"/>
  <c r="R146" i="35"/>
  <c r="M146" i="35"/>
  <c r="X145" i="35"/>
  <c r="W145" i="35"/>
  <c r="V145" i="35"/>
  <c r="U145" i="35"/>
  <c r="T145" i="35"/>
  <c r="S145" i="35"/>
  <c r="R145" i="35"/>
  <c r="M145" i="35"/>
  <c r="X144" i="35"/>
  <c r="W144" i="35"/>
  <c r="V144" i="35"/>
  <c r="U144" i="35"/>
  <c r="T144" i="35"/>
  <c r="S144" i="35"/>
  <c r="R144" i="35"/>
  <c r="M144" i="35"/>
  <c r="X143" i="35"/>
  <c r="W143" i="35"/>
  <c r="V143" i="35"/>
  <c r="U143" i="35"/>
  <c r="T143" i="35"/>
  <c r="S143" i="35"/>
  <c r="R143" i="35"/>
  <c r="M143" i="35"/>
  <c r="X142" i="35"/>
  <c r="W142" i="35"/>
  <c r="V142" i="35"/>
  <c r="U142" i="35"/>
  <c r="T142" i="35"/>
  <c r="S142" i="35"/>
  <c r="R142" i="35"/>
  <c r="M142" i="35"/>
  <c r="X141" i="35"/>
  <c r="W141" i="35"/>
  <c r="V141" i="35"/>
  <c r="U141" i="35"/>
  <c r="T141" i="35"/>
  <c r="S141" i="35"/>
  <c r="R141" i="35"/>
  <c r="M141" i="35"/>
  <c r="X140" i="35"/>
  <c r="W140" i="35"/>
  <c r="V140" i="35"/>
  <c r="U140" i="35"/>
  <c r="T140" i="35"/>
  <c r="S140" i="35"/>
  <c r="R140" i="35"/>
  <c r="M140" i="35"/>
  <c r="X139" i="35"/>
  <c r="W139" i="35"/>
  <c r="V139" i="35"/>
  <c r="U139" i="35"/>
  <c r="T139" i="35"/>
  <c r="S139" i="35"/>
  <c r="R139" i="35"/>
  <c r="M139" i="35"/>
  <c r="X138" i="35"/>
  <c r="W138" i="35"/>
  <c r="V138" i="35"/>
  <c r="U138" i="35"/>
  <c r="T138" i="35"/>
  <c r="S138" i="35"/>
  <c r="R138" i="35"/>
  <c r="M138" i="35"/>
  <c r="X137" i="35"/>
  <c r="W137" i="35"/>
  <c r="V137" i="35"/>
  <c r="U137" i="35"/>
  <c r="T137" i="35"/>
  <c r="S137" i="35"/>
  <c r="R137" i="35"/>
  <c r="M137" i="35"/>
  <c r="X136" i="35"/>
  <c r="W136" i="35"/>
  <c r="V136" i="35"/>
  <c r="U136" i="35"/>
  <c r="T136" i="35"/>
  <c r="S136" i="35"/>
  <c r="R136" i="35"/>
  <c r="M136" i="35"/>
  <c r="X135" i="35"/>
  <c r="W135" i="35"/>
  <c r="V135" i="35"/>
  <c r="U135" i="35"/>
  <c r="T135" i="35"/>
  <c r="S135" i="35"/>
  <c r="R135" i="35"/>
  <c r="M135" i="35"/>
  <c r="X134" i="35"/>
  <c r="W134" i="35"/>
  <c r="V134" i="35"/>
  <c r="U134" i="35"/>
  <c r="T134" i="35"/>
  <c r="S134" i="35"/>
  <c r="R134" i="35"/>
  <c r="M134" i="35"/>
  <c r="X133" i="35"/>
  <c r="W133" i="35"/>
  <c r="V133" i="35"/>
  <c r="U133" i="35"/>
  <c r="T133" i="35"/>
  <c r="S133" i="35"/>
  <c r="R133" i="35"/>
  <c r="M133" i="35"/>
  <c r="X132" i="35"/>
  <c r="W132" i="35"/>
  <c r="V132" i="35"/>
  <c r="U132" i="35"/>
  <c r="T132" i="35"/>
  <c r="S132" i="35"/>
  <c r="R132" i="35"/>
  <c r="M132" i="35"/>
  <c r="X131" i="35"/>
  <c r="W131" i="35"/>
  <c r="V131" i="35"/>
  <c r="U131" i="35"/>
  <c r="T131" i="35"/>
  <c r="S131" i="35"/>
  <c r="R131" i="35"/>
  <c r="M131" i="35"/>
  <c r="X130" i="35"/>
  <c r="W130" i="35"/>
  <c r="V130" i="35"/>
  <c r="U130" i="35"/>
  <c r="T130" i="35"/>
  <c r="S130" i="35"/>
  <c r="R130" i="35"/>
  <c r="M130" i="35"/>
  <c r="X129" i="35"/>
  <c r="W129" i="35"/>
  <c r="V129" i="35"/>
  <c r="U129" i="35"/>
  <c r="T129" i="35"/>
  <c r="S129" i="35"/>
  <c r="R129" i="35"/>
  <c r="M129" i="35"/>
  <c r="X128" i="35"/>
  <c r="W128" i="35"/>
  <c r="V128" i="35"/>
  <c r="U128" i="35"/>
  <c r="T128" i="35"/>
  <c r="S128" i="35"/>
  <c r="R128" i="35"/>
  <c r="M128" i="35"/>
  <c r="X127" i="35"/>
  <c r="W127" i="35"/>
  <c r="V127" i="35"/>
  <c r="U127" i="35"/>
  <c r="T127" i="35"/>
  <c r="S127" i="35"/>
  <c r="R127" i="35"/>
  <c r="M127" i="35"/>
  <c r="X126" i="35"/>
  <c r="W126" i="35"/>
  <c r="V126" i="35"/>
  <c r="U126" i="35"/>
  <c r="T126" i="35"/>
  <c r="S126" i="35"/>
  <c r="R126" i="35"/>
  <c r="M126" i="35"/>
  <c r="X125" i="35"/>
  <c r="W125" i="35"/>
  <c r="V125" i="35"/>
  <c r="U125" i="35"/>
  <c r="T125" i="35"/>
  <c r="S125" i="35"/>
  <c r="R125" i="35"/>
  <c r="M125" i="35"/>
  <c r="X124" i="35"/>
  <c r="W124" i="35"/>
  <c r="V124" i="35"/>
  <c r="U124" i="35"/>
  <c r="T124" i="35"/>
  <c r="S124" i="35"/>
  <c r="R124" i="35"/>
  <c r="M124" i="35"/>
  <c r="X123" i="35"/>
  <c r="W123" i="35"/>
  <c r="V123" i="35"/>
  <c r="U123" i="35"/>
  <c r="T123" i="35"/>
  <c r="S123" i="35"/>
  <c r="R123" i="35"/>
  <c r="M123" i="35"/>
  <c r="X122" i="35"/>
  <c r="W122" i="35"/>
  <c r="V122" i="35"/>
  <c r="U122" i="35"/>
  <c r="T122" i="35"/>
  <c r="S122" i="35"/>
  <c r="R122" i="35"/>
  <c r="M122" i="35"/>
  <c r="X121" i="35"/>
  <c r="W121" i="35"/>
  <c r="V121" i="35"/>
  <c r="U121" i="35"/>
  <c r="T121" i="35"/>
  <c r="S121" i="35"/>
  <c r="R121" i="35"/>
  <c r="M121" i="35"/>
  <c r="X120" i="35"/>
  <c r="W120" i="35"/>
  <c r="V120" i="35"/>
  <c r="U120" i="35"/>
  <c r="T120" i="35"/>
  <c r="S120" i="35"/>
  <c r="R120" i="35"/>
  <c r="M120" i="35"/>
  <c r="X119" i="35"/>
  <c r="W119" i="35"/>
  <c r="V119" i="35"/>
  <c r="U119" i="35"/>
  <c r="T119" i="35"/>
  <c r="S119" i="35"/>
  <c r="R119" i="35"/>
  <c r="M119" i="35"/>
  <c r="X118" i="35"/>
  <c r="W118" i="35"/>
  <c r="V118" i="35"/>
  <c r="U118" i="35"/>
  <c r="T118" i="35"/>
  <c r="S118" i="35"/>
  <c r="R118" i="35"/>
  <c r="M118" i="35"/>
  <c r="X117" i="35"/>
  <c r="W117" i="35"/>
  <c r="V117" i="35"/>
  <c r="U117" i="35"/>
  <c r="T117" i="35"/>
  <c r="S117" i="35"/>
  <c r="R117" i="35"/>
  <c r="M117" i="35"/>
  <c r="X116" i="35"/>
  <c r="W116" i="35"/>
  <c r="V116" i="35"/>
  <c r="U116" i="35"/>
  <c r="T116" i="35"/>
  <c r="S116" i="35"/>
  <c r="R116" i="35"/>
  <c r="M116" i="35"/>
  <c r="X115" i="35"/>
  <c r="W115" i="35"/>
  <c r="V115" i="35"/>
  <c r="U115" i="35"/>
  <c r="T115" i="35"/>
  <c r="S115" i="35"/>
  <c r="R115" i="35"/>
  <c r="M115" i="35"/>
  <c r="X114" i="35"/>
  <c r="W114" i="35"/>
  <c r="V114" i="35"/>
  <c r="U114" i="35"/>
  <c r="T114" i="35"/>
  <c r="S114" i="35"/>
  <c r="R114" i="35"/>
  <c r="M114" i="35"/>
  <c r="X113" i="35"/>
  <c r="W113" i="35"/>
  <c r="V113" i="35"/>
  <c r="U113" i="35"/>
  <c r="T113" i="35"/>
  <c r="S113" i="35"/>
  <c r="R113" i="35"/>
  <c r="M113" i="35"/>
  <c r="X112" i="35"/>
  <c r="W112" i="35"/>
  <c r="V112" i="35"/>
  <c r="U112" i="35"/>
  <c r="T112" i="35"/>
  <c r="S112" i="35"/>
  <c r="R112" i="35"/>
  <c r="M112" i="35"/>
  <c r="X111" i="35"/>
  <c r="W111" i="35"/>
  <c r="V111" i="35"/>
  <c r="U111" i="35"/>
  <c r="T111" i="35"/>
  <c r="S111" i="35"/>
  <c r="R111" i="35"/>
  <c r="M111" i="35"/>
  <c r="X110" i="35"/>
  <c r="W110" i="35"/>
  <c r="V110" i="35"/>
  <c r="U110" i="35"/>
  <c r="T110" i="35"/>
  <c r="S110" i="35"/>
  <c r="R110" i="35"/>
  <c r="M110" i="35"/>
  <c r="X109" i="35"/>
  <c r="W109" i="35"/>
  <c r="V109" i="35"/>
  <c r="U109" i="35"/>
  <c r="T109" i="35"/>
  <c r="S109" i="35"/>
  <c r="R109" i="35"/>
  <c r="M109" i="35"/>
  <c r="X108" i="35"/>
  <c r="W108" i="35"/>
  <c r="V108" i="35"/>
  <c r="U108" i="35"/>
  <c r="T108" i="35"/>
  <c r="S108" i="35"/>
  <c r="R108" i="35"/>
  <c r="M108" i="35"/>
  <c r="X107" i="35"/>
  <c r="W107" i="35"/>
  <c r="V107" i="35"/>
  <c r="U107" i="35"/>
  <c r="T107" i="35"/>
  <c r="S107" i="35"/>
  <c r="R107" i="35"/>
  <c r="M107" i="35"/>
  <c r="X106" i="35"/>
  <c r="W106" i="35"/>
  <c r="V106" i="35"/>
  <c r="U106" i="35"/>
  <c r="T106" i="35"/>
  <c r="S106" i="35"/>
  <c r="R106" i="35"/>
  <c r="M106" i="35"/>
  <c r="X105" i="35"/>
  <c r="W105" i="35"/>
  <c r="V105" i="35"/>
  <c r="U105" i="35"/>
  <c r="T105" i="35"/>
  <c r="S105" i="35"/>
  <c r="R105" i="35"/>
  <c r="M105" i="35"/>
  <c r="X104" i="35"/>
  <c r="W104" i="35"/>
  <c r="V104" i="35"/>
  <c r="U104" i="35"/>
  <c r="T104" i="35"/>
  <c r="S104" i="35"/>
  <c r="R104" i="35"/>
  <c r="M104" i="35"/>
  <c r="X103" i="35"/>
  <c r="W103" i="35"/>
  <c r="V103" i="35"/>
  <c r="U103" i="35"/>
  <c r="T103" i="35"/>
  <c r="S103" i="35"/>
  <c r="R103" i="35"/>
  <c r="M103" i="35"/>
  <c r="X102" i="35"/>
  <c r="W102" i="35"/>
  <c r="V102" i="35"/>
  <c r="U102" i="35"/>
  <c r="T102" i="35"/>
  <c r="S102" i="35"/>
  <c r="R102" i="35"/>
  <c r="M102" i="35"/>
  <c r="X101" i="35"/>
  <c r="W101" i="35"/>
  <c r="V101" i="35"/>
  <c r="U101" i="35"/>
  <c r="T101" i="35"/>
  <c r="S101" i="35"/>
  <c r="R101" i="35"/>
  <c r="M101" i="35"/>
  <c r="X100" i="35"/>
  <c r="W100" i="35"/>
  <c r="V100" i="35"/>
  <c r="U100" i="35"/>
  <c r="T100" i="35"/>
  <c r="S100" i="35"/>
  <c r="R100" i="35"/>
  <c r="M100" i="35"/>
  <c r="X99" i="35"/>
  <c r="W99" i="35"/>
  <c r="V99" i="35"/>
  <c r="U99" i="35"/>
  <c r="T99" i="35"/>
  <c r="S99" i="35"/>
  <c r="R99" i="35"/>
  <c r="M99" i="35"/>
  <c r="X98" i="35"/>
  <c r="W98" i="35"/>
  <c r="V98" i="35"/>
  <c r="U98" i="35"/>
  <c r="T98" i="35"/>
  <c r="S98" i="35"/>
  <c r="R98" i="35"/>
  <c r="M98" i="35"/>
  <c r="X97" i="35"/>
  <c r="W97" i="35"/>
  <c r="V97" i="35"/>
  <c r="U97" i="35"/>
  <c r="T97" i="35"/>
  <c r="S97" i="35"/>
  <c r="R97" i="35"/>
  <c r="M97" i="35"/>
  <c r="X96" i="35"/>
  <c r="W96" i="35"/>
  <c r="V96" i="35"/>
  <c r="U96" i="35"/>
  <c r="T96" i="35"/>
  <c r="S96" i="35"/>
  <c r="R96" i="35"/>
  <c r="M96" i="35"/>
  <c r="X95" i="35"/>
  <c r="W95" i="35"/>
  <c r="V95" i="35"/>
  <c r="U95" i="35"/>
  <c r="T95" i="35"/>
  <c r="S95" i="35"/>
  <c r="R95" i="35"/>
  <c r="M95" i="35"/>
  <c r="X94" i="35"/>
  <c r="W94" i="35"/>
  <c r="V94" i="35"/>
  <c r="U94" i="35"/>
  <c r="T94" i="35"/>
  <c r="S94" i="35"/>
  <c r="R94" i="35"/>
  <c r="M94" i="35"/>
  <c r="X93" i="35"/>
  <c r="W93" i="35"/>
  <c r="V93" i="35"/>
  <c r="U93" i="35"/>
  <c r="T93" i="35"/>
  <c r="S93" i="35"/>
  <c r="R93" i="35"/>
  <c r="M93" i="35"/>
  <c r="X92" i="35"/>
  <c r="W92" i="35"/>
  <c r="V92" i="35"/>
  <c r="U92" i="35"/>
  <c r="T92" i="35"/>
  <c r="S92" i="35"/>
  <c r="R92" i="35"/>
  <c r="M92" i="35"/>
  <c r="X91" i="35"/>
  <c r="W91" i="35"/>
  <c r="V91" i="35"/>
  <c r="U91" i="35"/>
  <c r="T91" i="35"/>
  <c r="S91" i="35"/>
  <c r="R91" i="35"/>
  <c r="M91" i="35"/>
  <c r="X90" i="35"/>
  <c r="W90" i="35"/>
  <c r="V90" i="35"/>
  <c r="U90" i="35"/>
  <c r="T90" i="35"/>
  <c r="S90" i="35"/>
  <c r="R90" i="35"/>
  <c r="M90" i="35"/>
  <c r="X89" i="35"/>
  <c r="W89" i="35"/>
  <c r="V89" i="35"/>
  <c r="U89" i="35"/>
  <c r="T89" i="35"/>
  <c r="S89" i="35"/>
  <c r="R89" i="35"/>
  <c r="M89" i="35"/>
  <c r="X88" i="35"/>
  <c r="W88" i="35"/>
  <c r="V88" i="35"/>
  <c r="U88" i="35"/>
  <c r="T88" i="35"/>
  <c r="S88" i="35"/>
  <c r="R88" i="35"/>
  <c r="M88" i="35"/>
  <c r="X87" i="35"/>
  <c r="W87" i="35"/>
  <c r="V87" i="35"/>
  <c r="U87" i="35"/>
  <c r="T87" i="35"/>
  <c r="S87" i="35"/>
  <c r="R87" i="35"/>
  <c r="M87" i="35"/>
  <c r="X86" i="35"/>
  <c r="W86" i="35"/>
  <c r="V86" i="35"/>
  <c r="U86" i="35"/>
  <c r="T86" i="35"/>
  <c r="S86" i="35"/>
  <c r="R86" i="35"/>
  <c r="M86" i="35"/>
  <c r="X85" i="35"/>
  <c r="W85" i="35"/>
  <c r="V85" i="35"/>
  <c r="U85" i="35"/>
  <c r="T85" i="35"/>
  <c r="S85" i="35"/>
  <c r="R85" i="35"/>
  <c r="M85" i="35"/>
  <c r="X84" i="35"/>
  <c r="W84" i="35"/>
  <c r="V84" i="35"/>
  <c r="U84" i="35"/>
  <c r="T84" i="35"/>
  <c r="S84" i="35"/>
  <c r="R84" i="35"/>
  <c r="M84" i="35"/>
  <c r="X83" i="35"/>
  <c r="W83" i="35"/>
  <c r="V83" i="35"/>
  <c r="U83" i="35"/>
  <c r="T83" i="35"/>
  <c r="S83" i="35"/>
  <c r="R83" i="35"/>
  <c r="M83" i="35"/>
  <c r="X82" i="35"/>
  <c r="W82" i="35"/>
  <c r="V82" i="35"/>
  <c r="U82" i="35"/>
  <c r="T82" i="35"/>
  <c r="S82" i="35"/>
  <c r="R82" i="35"/>
  <c r="M82" i="35"/>
  <c r="X81" i="35"/>
  <c r="W81" i="35"/>
  <c r="V81" i="35"/>
  <c r="U81" i="35"/>
  <c r="T81" i="35"/>
  <c r="S81" i="35"/>
  <c r="R81" i="35"/>
  <c r="M81" i="35"/>
  <c r="X80" i="35"/>
  <c r="W80" i="35"/>
  <c r="V80" i="35"/>
  <c r="U80" i="35"/>
  <c r="T80" i="35"/>
  <c r="S80" i="35"/>
  <c r="R80" i="35"/>
  <c r="M80" i="35"/>
  <c r="X79" i="35"/>
  <c r="W79" i="35"/>
  <c r="V79" i="35"/>
  <c r="U79" i="35"/>
  <c r="T79" i="35"/>
  <c r="S79" i="35"/>
  <c r="R79" i="35"/>
  <c r="M79" i="35"/>
  <c r="X78" i="35"/>
  <c r="W78" i="35"/>
  <c r="V78" i="35"/>
  <c r="U78" i="35"/>
  <c r="T78" i="35"/>
  <c r="S78" i="35"/>
  <c r="R78" i="35"/>
  <c r="M78" i="35"/>
  <c r="X77" i="35"/>
  <c r="W77" i="35"/>
  <c r="V77" i="35"/>
  <c r="U77" i="35"/>
  <c r="T77" i="35"/>
  <c r="S77" i="35"/>
  <c r="R77" i="35"/>
  <c r="M77" i="35"/>
  <c r="X76" i="35"/>
  <c r="W76" i="35"/>
  <c r="V76" i="35"/>
  <c r="U76" i="35"/>
  <c r="T76" i="35"/>
  <c r="S76" i="35"/>
  <c r="R76" i="35"/>
  <c r="M76" i="35"/>
  <c r="X75" i="35"/>
  <c r="W75" i="35"/>
  <c r="V75" i="35"/>
  <c r="U75" i="35"/>
  <c r="T75" i="35"/>
  <c r="S75" i="35"/>
  <c r="R75" i="35"/>
  <c r="M75" i="35"/>
  <c r="X74" i="35"/>
  <c r="W74" i="35"/>
  <c r="V74" i="35"/>
  <c r="U74" i="35"/>
  <c r="T74" i="35"/>
  <c r="S74" i="35"/>
  <c r="R74" i="35"/>
  <c r="M74" i="35"/>
  <c r="X73" i="35"/>
  <c r="W73" i="35"/>
  <c r="V73" i="35"/>
  <c r="U73" i="35"/>
  <c r="T73" i="35"/>
  <c r="S73" i="35"/>
  <c r="R73" i="35"/>
  <c r="M73" i="35"/>
  <c r="X72" i="35"/>
  <c r="W72" i="35"/>
  <c r="V72" i="35"/>
  <c r="U72" i="35"/>
  <c r="T72" i="35"/>
  <c r="S72" i="35"/>
  <c r="R72" i="35"/>
  <c r="M72" i="35"/>
  <c r="X71" i="35"/>
  <c r="W71" i="35"/>
  <c r="V71" i="35"/>
  <c r="U71" i="35"/>
  <c r="T71" i="35"/>
  <c r="S71" i="35"/>
  <c r="R71" i="35"/>
  <c r="M71" i="35"/>
  <c r="X70" i="35"/>
  <c r="W70" i="35"/>
  <c r="V70" i="35"/>
  <c r="U70" i="35"/>
  <c r="T70" i="35"/>
  <c r="S70" i="35"/>
  <c r="R70" i="35"/>
  <c r="M70" i="35"/>
  <c r="X69" i="35"/>
  <c r="W69" i="35"/>
  <c r="V69" i="35"/>
  <c r="U69" i="35"/>
  <c r="T69" i="35"/>
  <c r="S69" i="35"/>
  <c r="R69" i="35"/>
  <c r="M69" i="35"/>
  <c r="X68" i="35"/>
  <c r="W68" i="35"/>
  <c r="V68" i="35"/>
  <c r="U68" i="35"/>
  <c r="T68" i="35"/>
  <c r="S68" i="35"/>
  <c r="R68" i="35"/>
  <c r="M68" i="35"/>
  <c r="X67" i="35"/>
  <c r="W67" i="35"/>
  <c r="V67" i="35"/>
  <c r="U67" i="35"/>
  <c r="T67" i="35"/>
  <c r="S67" i="35"/>
  <c r="R67" i="35"/>
  <c r="M67" i="35"/>
  <c r="X66" i="35"/>
  <c r="W66" i="35"/>
  <c r="V66" i="35"/>
  <c r="U66" i="35"/>
  <c r="T66" i="35"/>
  <c r="S66" i="35"/>
  <c r="R66" i="35"/>
  <c r="M66" i="35"/>
  <c r="X65" i="35"/>
  <c r="W65" i="35"/>
  <c r="V65" i="35"/>
  <c r="U65" i="35"/>
  <c r="T65" i="35"/>
  <c r="S65" i="35"/>
  <c r="R65" i="35"/>
  <c r="M65" i="35"/>
  <c r="X64" i="35"/>
  <c r="W64" i="35"/>
  <c r="V64" i="35"/>
  <c r="U64" i="35"/>
  <c r="T64" i="35"/>
  <c r="S64" i="35"/>
  <c r="R64" i="35"/>
  <c r="M64" i="35"/>
  <c r="X63" i="35"/>
  <c r="W63" i="35"/>
  <c r="V63" i="35"/>
  <c r="U63" i="35"/>
  <c r="T63" i="35"/>
  <c r="S63" i="35"/>
  <c r="R63" i="35"/>
  <c r="M63" i="35"/>
  <c r="X62" i="35"/>
  <c r="W62" i="35"/>
  <c r="V62" i="35"/>
  <c r="U62" i="35"/>
  <c r="T62" i="35"/>
  <c r="S62" i="35"/>
  <c r="R62" i="35"/>
  <c r="M62" i="35"/>
  <c r="X61" i="35"/>
  <c r="W61" i="35"/>
  <c r="V61" i="35"/>
  <c r="U61" i="35"/>
  <c r="T61" i="35"/>
  <c r="S61" i="35"/>
  <c r="R61" i="35"/>
  <c r="M61" i="35"/>
  <c r="X60" i="35"/>
  <c r="W60" i="35"/>
  <c r="V60" i="35"/>
  <c r="U60" i="35"/>
  <c r="T60" i="35"/>
  <c r="S60" i="35"/>
  <c r="R60" i="35"/>
  <c r="M60" i="35"/>
  <c r="X59" i="35"/>
  <c r="W59" i="35"/>
  <c r="V59" i="35"/>
  <c r="U59" i="35"/>
  <c r="T59" i="35"/>
  <c r="S59" i="35"/>
  <c r="R59" i="35"/>
  <c r="M59" i="35"/>
  <c r="X58" i="35"/>
  <c r="W58" i="35"/>
  <c r="V58" i="35"/>
  <c r="U58" i="35"/>
  <c r="T58" i="35"/>
  <c r="S58" i="35"/>
  <c r="R58" i="35"/>
  <c r="M58" i="35"/>
  <c r="X57" i="35"/>
  <c r="W57" i="35"/>
  <c r="V57" i="35"/>
  <c r="U57" i="35"/>
  <c r="T57" i="35"/>
  <c r="S57" i="35"/>
  <c r="R57" i="35"/>
  <c r="M57" i="35"/>
  <c r="X56" i="35"/>
  <c r="W56" i="35"/>
  <c r="V56" i="35"/>
  <c r="U56" i="35"/>
  <c r="T56" i="35"/>
  <c r="S56" i="35"/>
  <c r="R56" i="35"/>
  <c r="M56" i="35"/>
  <c r="X55" i="35"/>
  <c r="W55" i="35"/>
  <c r="V55" i="35"/>
  <c r="U55" i="35"/>
  <c r="T55" i="35"/>
  <c r="S55" i="35"/>
  <c r="R55" i="35"/>
  <c r="M55" i="35"/>
  <c r="X54" i="35"/>
  <c r="W54" i="35"/>
  <c r="V54" i="35"/>
  <c r="U54" i="35"/>
  <c r="T54" i="35"/>
  <c r="S54" i="35"/>
  <c r="R54" i="35"/>
  <c r="M54" i="35"/>
  <c r="X53" i="35"/>
  <c r="W53" i="35"/>
  <c r="V53" i="35"/>
  <c r="U53" i="35"/>
  <c r="T53" i="35"/>
  <c r="S53" i="35"/>
  <c r="R53" i="35"/>
  <c r="M53" i="35"/>
  <c r="X52" i="35"/>
  <c r="W52" i="35"/>
  <c r="V52" i="35"/>
  <c r="U52" i="35"/>
  <c r="T52" i="35"/>
  <c r="S52" i="35"/>
  <c r="R52" i="35"/>
  <c r="M52" i="35"/>
  <c r="X51" i="35"/>
  <c r="W51" i="35"/>
  <c r="V51" i="35"/>
  <c r="U51" i="35"/>
  <c r="T51" i="35"/>
  <c r="S51" i="35"/>
  <c r="R51" i="35"/>
  <c r="M51" i="35"/>
  <c r="X50" i="35"/>
  <c r="W50" i="35"/>
  <c r="V50" i="35"/>
  <c r="U50" i="35"/>
  <c r="T50" i="35"/>
  <c r="S50" i="35"/>
  <c r="R50" i="35"/>
  <c r="M50" i="35"/>
  <c r="X49" i="35"/>
  <c r="W49" i="35"/>
  <c r="V49" i="35"/>
  <c r="U49" i="35"/>
  <c r="T49" i="35"/>
  <c r="S49" i="35"/>
  <c r="R49" i="35"/>
  <c r="M49" i="35"/>
  <c r="X48" i="35"/>
  <c r="W48" i="35"/>
  <c r="V48" i="35"/>
  <c r="U48" i="35"/>
  <c r="T48" i="35"/>
  <c r="S48" i="35"/>
  <c r="R48" i="35"/>
  <c r="M48" i="35"/>
  <c r="X47" i="35"/>
  <c r="W47" i="35"/>
  <c r="V47" i="35"/>
  <c r="U47" i="35"/>
  <c r="T47" i="35"/>
  <c r="S47" i="35"/>
  <c r="R47" i="35"/>
  <c r="M47" i="35"/>
  <c r="X46" i="35"/>
  <c r="W46" i="35"/>
  <c r="V46" i="35"/>
  <c r="U46" i="35"/>
  <c r="T46" i="35"/>
  <c r="S46" i="35"/>
  <c r="R46" i="35"/>
  <c r="M46" i="35"/>
  <c r="X45" i="35"/>
  <c r="W45" i="35"/>
  <c r="V45" i="35"/>
  <c r="U45" i="35"/>
  <c r="T45" i="35"/>
  <c r="S45" i="35"/>
  <c r="R45" i="35"/>
  <c r="M45" i="35"/>
  <c r="X44" i="35"/>
  <c r="W44" i="35"/>
  <c r="V44" i="35"/>
  <c r="U44" i="35"/>
  <c r="T44" i="35"/>
  <c r="S44" i="35"/>
  <c r="R44" i="35"/>
  <c r="M44" i="35"/>
  <c r="X43" i="35"/>
  <c r="W43" i="35"/>
  <c r="V43" i="35"/>
  <c r="U43" i="35"/>
  <c r="T43" i="35"/>
  <c r="S43" i="35"/>
  <c r="R43" i="35"/>
  <c r="M43" i="35"/>
  <c r="X42" i="35"/>
  <c r="W42" i="35"/>
  <c r="V42" i="35"/>
  <c r="U42" i="35"/>
  <c r="T42" i="35"/>
  <c r="S42" i="35"/>
  <c r="R42" i="35"/>
  <c r="M42" i="35"/>
  <c r="X41" i="35"/>
  <c r="W41" i="35"/>
  <c r="V41" i="35"/>
  <c r="U41" i="35"/>
  <c r="T41" i="35"/>
  <c r="S41" i="35"/>
  <c r="R41" i="35"/>
  <c r="M41" i="35"/>
  <c r="X40" i="35"/>
  <c r="W40" i="35"/>
  <c r="V40" i="35"/>
  <c r="U40" i="35"/>
  <c r="T40" i="35"/>
  <c r="S40" i="35"/>
  <c r="R40" i="35"/>
  <c r="M40" i="35"/>
  <c r="X39" i="35"/>
  <c r="W39" i="35"/>
  <c r="V39" i="35"/>
  <c r="U39" i="35"/>
  <c r="T39" i="35"/>
  <c r="S39" i="35"/>
  <c r="R39" i="35"/>
  <c r="M39" i="35"/>
  <c r="X38" i="35"/>
  <c r="W38" i="35"/>
  <c r="V38" i="35"/>
  <c r="U38" i="35"/>
  <c r="T38" i="35"/>
  <c r="S38" i="35"/>
  <c r="R38" i="35"/>
  <c r="M38" i="35"/>
  <c r="X37" i="35"/>
  <c r="W37" i="35"/>
  <c r="V37" i="35"/>
  <c r="R37" i="35"/>
  <c r="M37" i="35"/>
  <c r="X36" i="35"/>
  <c r="W36" i="35"/>
  <c r="V36" i="35"/>
  <c r="U36" i="35"/>
  <c r="T36" i="35"/>
  <c r="S36" i="35"/>
  <c r="R36" i="35"/>
  <c r="M36" i="35"/>
  <c r="X35" i="35"/>
  <c r="W35" i="35"/>
  <c r="V35" i="35"/>
  <c r="U35" i="35"/>
  <c r="T35" i="35"/>
  <c r="S35" i="35"/>
  <c r="R35" i="35"/>
  <c r="M35" i="35"/>
  <c r="X34" i="35"/>
  <c r="W34" i="35"/>
  <c r="V34" i="35"/>
  <c r="R34" i="35"/>
  <c r="M34" i="35"/>
  <c r="X33" i="35"/>
  <c r="W33" i="35"/>
  <c r="V33" i="35"/>
  <c r="U33" i="35"/>
  <c r="T33" i="35"/>
  <c r="S33" i="35"/>
  <c r="R33" i="35"/>
  <c r="M33" i="35"/>
  <c r="X32" i="35"/>
  <c r="W32" i="35"/>
  <c r="V32" i="35"/>
  <c r="U32" i="35"/>
  <c r="T32" i="35"/>
  <c r="S32" i="35"/>
  <c r="R32" i="35"/>
  <c r="M32" i="35"/>
  <c r="X31" i="35"/>
  <c r="W31" i="35"/>
  <c r="V31" i="35"/>
  <c r="U31" i="35"/>
  <c r="T31" i="35"/>
  <c r="S31" i="35"/>
  <c r="R31" i="35"/>
  <c r="M31" i="35"/>
  <c r="X30" i="35"/>
  <c r="W30" i="35"/>
  <c r="V30" i="35"/>
  <c r="U30" i="35"/>
  <c r="T30" i="35"/>
  <c r="S30" i="35"/>
  <c r="R30" i="35"/>
  <c r="M30" i="35"/>
  <c r="X29" i="35"/>
  <c r="W29" i="35"/>
  <c r="V29" i="35"/>
  <c r="U29" i="35"/>
  <c r="T29" i="35"/>
  <c r="S29" i="35"/>
  <c r="R29" i="35"/>
  <c r="M29" i="35"/>
  <c r="X28" i="35"/>
  <c r="W28" i="35"/>
  <c r="V28" i="35"/>
  <c r="U28" i="35"/>
  <c r="T28" i="35"/>
  <c r="S28" i="35"/>
  <c r="R28" i="35"/>
  <c r="M28" i="35"/>
  <c r="X27" i="35"/>
  <c r="W27" i="35"/>
  <c r="V27" i="35"/>
  <c r="U27" i="35"/>
  <c r="T27" i="35"/>
  <c r="S27" i="35"/>
  <c r="R27" i="35"/>
  <c r="M27" i="35"/>
  <c r="L27" i="35"/>
  <c r="U26" i="35"/>
  <c r="T26" i="35"/>
  <c r="S26" i="35"/>
  <c r="R26" i="35"/>
  <c r="M26" i="35"/>
  <c r="P38" i="35" s="1"/>
  <c r="L26" i="35"/>
  <c r="O33" i="35" s="1"/>
  <c r="X25" i="35"/>
  <c r="W25" i="35"/>
  <c r="V25" i="35"/>
  <c r="U25" i="35"/>
  <c r="T25" i="35"/>
  <c r="S25" i="35"/>
  <c r="R25" i="35"/>
  <c r="Q25" i="35"/>
  <c r="P25" i="35"/>
  <c r="O25" i="35"/>
  <c r="N25" i="35"/>
  <c r="N37" i="35" s="1"/>
  <c r="M25" i="35"/>
  <c r="L25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R16" i="35"/>
  <c r="N16" i="35"/>
  <c r="M16" i="35"/>
  <c r="L16" i="35"/>
  <c r="K16" i="35"/>
  <c r="Y2" i="35"/>
  <c r="X153" i="33"/>
  <c r="W153" i="33"/>
  <c r="V153" i="33"/>
  <c r="U153" i="33"/>
  <c r="T153" i="33"/>
  <c r="S153" i="33"/>
  <c r="R153" i="33"/>
  <c r="N153" i="33"/>
  <c r="L153" i="33"/>
  <c r="X152" i="33"/>
  <c r="W152" i="33"/>
  <c r="V152" i="33"/>
  <c r="U152" i="33"/>
  <c r="T152" i="33"/>
  <c r="S152" i="33"/>
  <c r="R152" i="33"/>
  <c r="N152" i="33"/>
  <c r="L152" i="33"/>
  <c r="X151" i="33"/>
  <c r="W151" i="33"/>
  <c r="V151" i="33"/>
  <c r="U151" i="33"/>
  <c r="T151" i="33"/>
  <c r="S151" i="33"/>
  <c r="R151" i="33"/>
  <c r="N151" i="33"/>
  <c r="L151" i="33"/>
  <c r="X150" i="33"/>
  <c r="W150" i="33"/>
  <c r="V150" i="33"/>
  <c r="U150" i="33"/>
  <c r="T150" i="33"/>
  <c r="S150" i="33"/>
  <c r="R150" i="33"/>
  <c r="N150" i="33"/>
  <c r="L150" i="33"/>
  <c r="X149" i="33"/>
  <c r="W149" i="33"/>
  <c r="V149" i="33"/>
  <c r="U149" i="33"/>
  <c r="T149" i="33"/>
  <c r="S149" i="33"/>
  <c r="R149" i="33"/>
  <c r="N149" i="33"/>
  <c r="L149" i="33"/>
  <c r="X148" i="33"/>
  <c r="W148" i="33"/>
  <c r="V148" i="33"/>
  <c r="U148" i="33"/>
  <c r="T148" i="33"/>
  <c r="S148" i="33"/>
  <c r="R148" i="33"/>
  <c r="N148" i="33"/>
  <c r="L148" i="33"/>
  <c r="X147" i="33"/>
  <c r="W147" i="33"/>
  <c r="V147" i="33"/>
  <c r="U147" i="33"/>
  <c r="T147" i="33"/>
  <c r="S147" i="33"/>
  <c r="R147" i="33"/>
  <c r="N147" i="33"/>
  <c r="L147" i="33"/>
  <c r="X146" i="33"/>
  <c r="W146" i="33"/>
  <c r="V146" i="33"/>
  <c r="U146" i="33"/>
  <c r="T146" i="33"/>
  <c r="S146" i="33"/>
  <c r="R146" i="33"/>
  <c r="N146" i="33"/>
  <c r="L146" i="33"/>
  <c r="X145" i="33"/>
  <c r="W145" i="33"/>
  <c r="V145" i="33"/>
  <c r="U145" i="33"/>
  <c r="T145" i="33"/>
  <c r="S145" i="33"/>
  <c r="R145" i="33"/>
  <c r="N145" i="33"/>
  <c r="L145" i="33"/>
  <c r="X144" i="33"/>
  <c r="W144" i="33"/>
  <c r="V144" i="33"/>
  <c r="U144" i="33"/>
  <c r="T144" i="33"/>
  <c r="S144" i="33"/>
  <c r="R144" i="33"/>
  <c r="N144" i="33"/>
  <c r="L144" i="33"/>
  <c r="X143" i="33"/>
  <c r="W143" i="33"/>
  <c r="V143" i="33"/>
  <c r="U143" i="33"/>
  <c r="T143" i="33"/>
  <c r="S143" i="33"/>
  <c r="R143" i="33"/>
  <c r="N143" i="33"/>
  <c r="L143" i="33"/>
  <c r="X142" i="33"/>
  <c r="W142" i="33"/>
  <c r="V142" i="33"/>
  <c r="U142" i="33"/>
  <c r="T142" i="33"/>
  <c r="S142" i="33"/>
  <c r="R142" i="33"/>
  <c r="N142" i="33"/>
  <c r="L142" i="33"/>
  <c r="X141" i="33"/>
  <c r="W141" i="33"/>
  <c r="V141" i="33"/>
  <c r="U141" i="33"/>
  <c r="T141" i="33"/>
  <c r="S141" i="33"/>
  <c r="R141" i="33"/>
  <c r="N141" i="33"/>
  <c r="L141" i="33"/>
  <c r="X140" i="33"/>
  <c r="W140" i="33"/>
  <c r="V140" i="33"/>
  <c r="U140" i="33"/>
  <c r="T140" i="33"/>
  <c r="S140" i="33"/>
  <c r="R140" i="33"/>
  <c r="N140" i="33"/>
  <c r="L140" i="33"/>
  <c r="X139" i="33"/>
  <c r="W139" i="33"/>
  <c r="V139" i="33"/>
  <c r="U139" i="33"/>
  <c r="T139" i="33"/>
  <c r="S139" i="33"/>
  <c r="R139" i="33"/>
  <c r="N139" i="33"/>
  <c r="L139" i="33"/>
  <c r="X138" i="33"/>
  <c r="W138" i="33"/>
  <c r="V138" i="33"/>
  <c r="U138" i="33"/>
  <c r="T138" i="33"/>
  <c r="S138" i="33"/>
  <c r="R138" i="33"/>
  <c r="N138" i="33"/>
  <c r="L138" i="33"/>
  <c r="X137" i="33"/>
  <c r="W137" i="33"/>
  <c r="V137" i="33"/>
  <c r="U137" i="33"/>
  <c r="T137" i="33"/>
  <c r="S137" i="33"/>
  <c r="R137" i="33"/>
  <c r="N137" i="33"/>
  <c r="L137" i="33"/>
  <c r="X136" i="33"/>
  <c r="W136" i="33"/>
  <c r="V136" i="33"/>
  <c r="U136" i="33"/>
  <c r="T136" i="33"/>
  <c r="S136" i="33"/>
  <c r="R136" i="33"/>
  <c r="N136" i="33"/>
  <c r="L136" i="33"/>
  <c r="X135" i="33"/>
  <c r="W135" i="33"/>
  <c r="V135" i="33"/>
  <c r="U135" i="33"/>
  <c r="T135" i="33"/>
  <c r="S135" i="33"/>
  <c r="R135" i="33"/>
  <c r="N135" i="33"/>
  <c r="L135" i="33"/>
  <c r="X134" i="33"/>
  <c r="W134" i="33"/>
  <c r="V134" i="33"/>
  <c r="U134" i="33"/>
  <c r="T134" i="33"/>
  <c r="S134" i="33"/>
  <c r="R134" i="33"/>
  <c r="N134" i="33"/>
  <c r="L134" i="33"/>
  <c r="X133" i="33"/>
  <c r="W133" i="33"/>
  <c r="V133" i="33"/>
  <c r="U133" i="33"/>
  <c r="T133" i="33"/>
  <c r="S133" i="33"/>
  <c r="R133" i="33"/>
  <c r="N133" i="33"/>
  <c r="L133" i="33"/>
  <c r="X132" i="33"/>
  <c r="W132" i="33"/>
  <c r="V132" i="33"/>
  <c r="U132" i="33"/>
  <c r="T132" i="33"/>
  <c r="S132" i="33"/>
  <c r="R132" i="33"/>
  <c r="N132" i="33"/>
  <c r="L132" i="33"/>
  <c r="X131" i="33"/>
  <c r="W131" i="33"/>
  <c r="V131" i="33"/>
  <c r="U131" i="33"/>
  <c r="T131" i="33"/>
  <c r="S131" i="33"/>
  <c r="R131" i="33"/>
  <c r="N131" i="33"/>
  <c r="L131" i="33"/>
  <c r="X130" i="33"/>
  <c r="W130" i="33"/>
  <c r="V130" i="33"/>
  <c r="U130" i="33"/>
  <c r="T130" i="33"/>
  <c r="S130" i="33"/>
  <c r="R130" i="33"/>
  <c r="N130" i="33"/>
  <c r="L130" i="33"/>
  <c r="X129" i="33"/>
  <c r="W129" i="33"/>
  <c r="V129" i="33"/>
  <c r="U129" i="33"/>
  <c r="T129" i="33"/>
  <c r="S129" i="33"/>
  <c r="R129" i="33"/>
  <c r="N129" i="33"/>
  <c r="L129" i="33"/>
  <c r="X128" i="33"/>
  <c r="W128" i="33"/>
  <c r="V128" i="33"/>
  <c r="U128" i="33"/>
  <c r="T128" i="33"/>
  <c r="S128" i="33"/>
  <c r="R128" i="33"/>
  <c r="N128" i="33"/>
  <c r="L128" i="33"/>
  <c r="X127" i="33"/>
  <c r="W127" i="33"/>
  <c r="V127" i="33"/>
  <c r="U127" i="33"/>
  <c r="T127" i="33"/>
  <c r="S127" i="33"/>
  <c r="R127" i="33"/>
  <c r="N127" i="33"/>
  <c r="L127" i="33"/>
  <c r="X126" i="33"/>
  <c r="W126" i="33"/>
  <c r="V126" i="33"/>
  <c r="U126" i="33"/>
  <c r="T126" i="33"/>
  <c r="S126" i="33"/>
  <c r="R126" i="33"/>
  <c r="N126" i="33"/>
  <c r="L126" i="33"/>
  <c r="X125" i="33"/>
  <c r="W125" i="33"/>
  <c r="V125" i="33"/>
  <c r="U125" i="33"/>
  <c r="T125" i="33"/>
  <c r="S125" i="33"/>
  <c r="R125" i="33"/>
  <c r="N125" i="33"/>
  <c r="L125" i="33"/>
  <c r="X124" i="33"/>
  <c r="W124" i="33"/>
  <c r="V124" i="33"/>
  <c r="U124" i="33"/>
  <c r="T124" i="33"/>
  <c r="S124" i="33"/>
  <c r="R124" i="33"/>
  <c r="N124" i="33"/>
  <c r="L124" i="33"/>
  <c r="X123" i="33"/>
  <c r="W123" i="33"/>
  <c r="V123" i="33"/>
  <c r="U123" i="33"/>
  <c r="T123" i="33"/>
  <c r="S123" i="33"/>
  <c r="R123" i="33"/>
  <c r="N123" i="33"/>
  <c r="L123" i="33"/>
  <c r="X122" i="33"/>
  <c r="W122" i="33"/>
  <c r="V122" i="33"/>
  <c r="U122" i="33"/>
  <c r="T122" i="33"/>
  <c r="S122" i="33"/>
  <c r="R122" i="33"/>
  <c r="N122" i="33"/>
  <c r="L122" i="33"/>
  <c r="X121" i="33"/>
  <c r="W121" i="33"/>
  <c r="V121" i="33"/>
  <c r="U121" i="33"/>
  <c r="T121" i="33"/>
  <c r="S121" i="33"/>
  <c r="R121" i="33"/>
  <c r="N121" i="33"/>
  <c r="L121" i="33"/>
  <c r="X120" i="33"/>
  <c r="W120" i="33"/>
  <c r="V120" i="33"/>
  <c r="U120" i="33"/>
  <c r="T120" i="33"/>
  <c r="S120" i="33"/>
  <c r="R120" i="33"/>
  <c r="N120" i="33"/>
  <c r="L120" i="33"/>
  <c r="X119" i="33"/>
  <c r="W119" i="33"/>
  <c r="V119" i="33"/>
  <c r="U119" i="33"/>
  <c r="T119" i="33"/>
  <c r="S119" i="33"/>
  <c r="R119" i="33"/>
  <c r="N119" i="33"/>
  <c r="L119" i="33"/>
  <c r="X118" i="33"/>
  <c r="W118" i="33"/>
  <c r="V118" i="33"/>
  <c r="U118" i="33"/>
  <c r="T118" i="33"/>
  <c r="S118" i="33"/>
  <c r="R118" i="33"/>
  <c r="N118" i="33"/>
  <c r="L118" i="33"/>
  <c r="X117" i="33"/>
  <c r="W117" i="33"/>
  <c r="V117" i="33"/>
  <c r="U117" i="33"/>
  <c r="T117" i="33"/>
  <c r="S117" i="33"/>
  <c r="R117" i="33"/>
  <c r="N117" i="33"/>
  <c r="L117" i="33"/>
  <c r="X116" i="33"/>
  <c r="W116" i="33"/>
  <c r="V116" i="33"/>
  <c r="U116" i="33"/>
  <c r="T116" i="33"/>
  <c r="S116" i="33"/>
  <c r="R116" i="33"/>
  <c r="N116" i="33"/>
  <c r="L116" i="33"/>
  <c r="X115" i="33"/>
  <c r="W115" i="33"/>
  <c r="V115" i="33"/>
  <c r="U115" i="33"/>
  <c r="T115" i="33"/>
  <c r="S115" i="33"/>
  <c r="R115" i="33"/>
  <c r="N115" i="33"/>
  <c r="L115" i="33"/>
  <c r="X114" i="33"/>
  <c r="W114" i="33"/>
  <c r="V114" i="33"/>
  <c r="U114" i="33"/>
  <c r="T114" i="33"/>
  <c r="S114" i="33"/>
  <c r="R114" i="33"/>
  <c r="N114" i="33"/>
  <c r="L114" i="33"/>
  <c r="X113" i="33"/>
  <c r="W113" i="33"/>
  <c r="V113" i="33"/>
  <c r="U113" i="33"/>
  <c r="T113" i="33"/>
  <c r="S113" i="33"/>
  <c r="R113" i="33"/>
  <c r="N113" i="33"/>
  <c r="L113" i="33"/>
  <c r="X112" i="33"/>
  <c r="W112" i="33"/>
  <c r="V112" i="33"/>
  <c r="U112" i="33"/>
  <c r="T112" i="33"/>
  <c r="S112" i="33"/>
  <c r="R112" i="33"/>
  <c r="N112" i="33"/>
  <c r="L112" i="33"/>
  <c r="X111" i="33"/>
  <c r="W111" i="33"/>
  <c r="V111" i="33"/>
  <c r="U111" i="33"/>
  <c r="T111" i="33"/>
  <c r="S111" i="33"/>
  <c r="R111" i="33"/>
  <c r="N111" i="33"/>
  <c r="L111" i="33"/>
  <c r="X110" i="33"/>
  <c r="W110" i="33"/>
  <c r="V110" i="33"/>
  <c r="U110" i="33"/>
  <c r="T110" i="33"/>
  <c r="S110" i="33"/>
  <c r="R110" i="33"/>
  <c r="N110" i="33"/>
  <c r="L110" i="33"/>
  <c r="X109" i="33"/>
  <c r="W109" i="33"/>
  <c r="V109" i="33"/>
  <c r="U109" i="33"/>
  <c r="T109" i="33"/>
  <c r="S109" i="33"/>
  <c r="R109" i="33"/>
  <c r="N109" i="33"/>
  <c r="L109" i="33"/>
  <c r="X108" i="33"/>
  <c r="W108" i="33"/>
  <c r="V108" i="33"/>
  <c r="U108" i="33"/>
  <c r="T108" i="33"/>
  <c r="S108" i="33"/>
  <c r="R108" i="33"/>
  <c r="N108" i="33"/>
  <c r="L108" i="33"/>
  <c r="X107" i="33"/>
  <c r="W107" i="33"/>
  <c r="V107" i="33"/>
  <c r="U107" i="33"/>
  <c r="T107" i="33"/>
  <c r="S107" i="33"/>
  <c r="R107" i="33"/>
  <c r="N107" i="33"/>
  <c r="L107" i="33"/>
  <c r="X106" i="33"/>
  <c r="W106" i="33"/>
  <c r="V106" i="33"/>
  <c r="U106" i="33"/>
  <c r="T106" i="33"/>
  <c r="S106" i="33"/>
  <c r="R106" i="33"/>
  <c r="N106" i="33"/>
  <c r="L106" i="33"/>
  <c r="X105" i="33"/>
  <c r="W105" i="33"/>
  <c r="V105" i="33"/>
  <c r="U105" i="33"/>
  <c r="T105" i="33"/>
  <c r="S105" i="33"/>
  <c r="R105" i="33"/>
  <c r="N105" i="33"/>
  <c r="L105" i="33"/>
  <c r="X104" i="33"/>
  <c r="W104" i="33"/>
  <c r="V104" i="33"/>
  <c r="U104" i="33"/>
  <c r="T104" i="33"/>
  <c r="S104" i="33"/>
  <c r="R104" i="33"/>
  <c r="N104" i="33"/>
  <c r="L104" i="33"/>
  <c r="X103" i="33"/>
  <c r="W103" i="33"/>
  <c r="V103" i="33"/>
  <c r="U103" i="33"/>
  <c r="T103" i="33"/>
  <c r="S103" i="33"/>
  <c r="R103" i="33"/>
  <c r="N103" i="33"/>
  <c r="L103" i="33"/>
  <c r="X102" i="33"/>
  <c r="W102" i="33"/>
  <c r="V102" i="33"/>
  <c r="U102" i="33"/>
  <c r="T102" i="33"/>
  <c r="S102" i="33"/>
  <c r="R102" i="33"/>
  <c r="N102" i="33"/>
  <c r="L102" i="33"/>
  <c r="X101" i="33"/>
  <c r="W101" i="33"/>
  <c r="V101" i="33"/>
  <c r="U101" i="33"/>
  <c r="T101" i="33"/>
  <c r="S101" i="33"/>
  <c r="R101" i="33"/>
  <c r="N101" i="33"/>
  <c r="L101" i="33"/>
  <c r="X100" i="33"/>
  <c r="W100" i="33"/>
  <c r="V100" i="33"/>
  <c r="U100" i="33"/>
  <c r="T100" i="33"/>
  <c r="S100" i="33"/>
  <c r="R100" i="33"/>
  <c r="N100" i="33"/>
  <c r="L100" i="33"/>
  <c r="X99" i="33"/>
  <c r="W99" i="33"/>
  <c r="V99" i="33"/>
  <c r="U99" i="33"/>
  <c r="T99" i="33"/>
  <c r="S99" i="33"/>
  <c r="R99" i="33"/>
  <c r="N99" i="33"/>
  <c r="L99" i="33"/>
  <c r="X98" i="33"/>
  <c r="W98" i="33"/>
  <c r="V98" i="33"/>
  <c r="U98" i="33"/>
  <c r="T98" i="33"/>
  <c r="S98" i="33"/>
  <c r="R98" i="33"/>
  <c r="N98" i="33"/>
  <c r="L98" i="33"/>
  <c r="X97" i="33"/>
  <c r="W97" i="33"/>
  <c r="V97" i="33"/>
  <c r="U97" i="33"/>
  <c r="T97" i="33"/>
  <c r="S97" i="33"/>
  <c r="R97" i="33"/>
  <c r="N97" i="33"/>
  <c r="L97" i="33"/>
  <c r="X96" i="33"/>
  <c r="W96" i="33"/>
  <c r="V96" i="33"/>
  <c r="U96" i="33"/>
  <c r="T96" i="33"/>
  <c r="S96" i="33"/>
  <c r="R96" i="33"/>
  <c r="N96" i="33"/>
  <c r="L96" i="33"/>
  <c r="X95" i="33"/>
  <c r="W95" i="33"/>
  <c r="V95" i="33"/>
  <c r="U95" i="33"/>
  <c r="T95" i="33"/>
  <c r="S95" i="33"/>
  <c r="R95" i="33"/>
  <c r="N95" i="33"/>
  <c r="L95" i="33"/>
  <c r="X94" i="33"/>
  <c r="W94" i="33"/>
  <c r="V94" i="33"/>
  <c r="U94" i="33"/>
  <c r="T94" i="33"/>
  <c r="S94" i="33"/>
  <c r="R94" i="33"/>
  <c r="N94" i="33"/>
  <c r="L94" i="33"/>
  <c r="X93" i="33"/>
  <c r="W93" i="33"/>
  <c r="V93" i="33"/>
  <c r="U93" i="33"/>
  <c r="T93" i="33"/>
  <c r="S93" i="33"/>
  <c r="R93" i="33"/>
  <c r="N93" i="33"/>
  <c r="L93" i="33"/>
  <c r="X92" i="33"/>
  <c r="W92" i="33"/>
  <c r="V92" i="33"/>
  <c r="U92" i="33"/>
  <c r="T92" i="33"/>
  <c r="S92" i="33"/>
  <c r="R92" i="33"/>
  <c r="N92" i="33"/>
  <c r="L92" i="33"/>
  <c r="X91" i="33"/>
  <c r="W91" i="33"/>
  <c r="V91" i="33"/>
  <c r="U91" i="33"/>
  <c r="T91" i="33"/>
  <c r="S91" i="33"/>
  <c r="R91" i="33"/>
  <c r="N91" i="33"/>
  <c r="L91" i="33"/>
  <c r="X90" i="33"/>
  <c r="W90" i="33"/>
  <c r="V90" i="33"/>
  <c r="U90" i="33"/>
  <c r="T90" i="33"/>
  <c r="S90" i="33"/>
  <c r="R90" i="33"/>
  <c r="N90" i="33"/>
  <c r="L90" i="33"/>
  <c r="X89" i="33"/>
  <c r="W89" i="33"/>
  <c r="V89" i="33"/>
  <c r="U89" i="33"/>
  <c r="T89" i="33"/>
  <c r="S89" i="33"/>
  <c r="R89" i="33"/>
  <c r="N89" i="33"/>
  <c r="L89" i="33"/>
  <c r="X88" i="33"/>
  <c r="W88" i="33"/>
  <c r="V88" i="33"/>
  <c r="U88" i="33"/>
  <c r="T88" i="33"/>
  <c r="S88" i="33"/>
  <c r="R88" i="33"/>
  <c r="N88" i="33"/>
  <c r="L88" i="33"/>
  <c r="X87" i="33"/>
  <c r="W87" i="33"/>
  <c r="V87" i="33"/>
  <c r="U87" i="33"/>
  <c r="T87" i="33"/>
  <c r="S87" i="33"/>
  <c r="R87" i="33"/>
  <c r="N87" i="33"/>
  <c r="L87" i="33"/>
  <c r="X86" i="33"/>
  <c r="W86" i="33"/>
  <c r="V86" i="33"/>
  <c r="U86" i="33"/>
  <c r="T86" i="33"/>
  <c r="S86" i="33"/>
  <c r="R86" i="33"/>
  <c r="N86" i="33"/>
  <c r="L86" i="33"/>
  <c r="X85" i="33"/>
  <c r="W85" i="33"/>
  <c r="V85" i="33"/>
  <c r="U85" i="33"/>
  <c r="T85" i="33"/>
  <c r="S85" i="33"/>
  <c r="R85" i="33"/>
  <c r="N85" i="33"/>
  <c r="L85" i="33"/>
  <c r="X84" i="33"/>
  <c r="W84" i="33"/>
  <c r="V84" i="33"/>
  <c r="U84" i="33"/>
  <c r="T84" i="33"/>
  <c r="S84" i="33"/>
  <c r="R84" i="33"/>
  <c r="N84" i="33"/>
  <c r="L84" i="33"/>
  <c r="X83" i="33"/>
  <c r="W83" i="33"/>
  <c r="V83" i="33"/>
  <c r="U83" i="33"/>
  <c r="T83" i="33"/>
  <c r="S83" i="33"/>
  <c r="R83" i="33"/>
  <c r="N83" i="33"/>
  <c r="L83" i="33"/>
  <c r="X82" i="33"/>
  <c r="W82" i="33"/>
  <c r="V82" i="33"/>
  <c r="U82" i="33"/>
  <c r="T82" i="33"/>
  <c r="S82" i="33"/>
  <c r="R82" i="33"/>
  <c r="N82" i="33"/>
  <c r="L82" i="33"/>
  <c r="X81" i="33"/>
  <c r="W81" i="33"/>
  <c r="V81" i="33"/>
  <c r="U81" i="33"/>
  <c r="T81" i="33"/>
  <c r="S81" i="33"/>
  <c r="R81" i="33"/>
  <c r="N81" i="33"/>
  <c r="L81" i="33"/>
  <c r="X80" i="33"/>
  <c r="W80" i="33"/>
  <c r="V80" i="33"/>
  <c r="U80" i="33"/>
  <c r="T80" i="33"/>
  <c r="S80" i="33"/>
  <c r="R80" i="33"/>
  <c r="N80" i="33"/>
  <c r="L80" i="33"/>
  <c r="X79" i="33"/>
  <c r="W79" i="33"/>
  <c r="V79" i="33"/>
  <c r="U79" i="33"/>
  <c r="T79" i="33"/>
  <c r="S79" i="33"/>
  <c r="R79" i="33"/>
  <c r="N79" i="33"/>
  <c r="L79" i="33"/>
  <c r="X78" i="33"/>
  <c r="W78" i="33"/>
  <c r="V78" i="33"/>
  <c r="U78" i="33"/>
  <c r="T78" i="33"/>
  <c r="S78" i="33"/>
  <c r="R78" i="33"/>
  <c r="N78" i="33"/>
  <c r="L78" i="33"/>
  <c r="X77" i="33"/>
  <c r="W77" i="33"/>
  <c r="V77" i="33"/>
  <c r="U77" i="33"/>
  <c r="T77" i="33"/>
  <c r="S77" i="33"/>
  <c r="R77" i="33"/>
  <c r="N77" i="33"/>
  <c r="L77" i="33"/>
  <c r="X76" i="33"/>
  <c r="W76" i="33"/>
  <c r="V76" i="33"/>
  <c r="U76" i="33"/>
  <c r="T76" i="33"/>
  <c r="S76" i="33"/>
  <c r="R76" i="33"/>
  <c r="N76" i="33"/>
  <c r="L76" i="33"/>
  <c r="X75" i="33"/>
  <c r="W75" i="33"/>
  <c r="V75" i="33"/>
  <c r="U75" i="33"/>
  <c r="T75" i="33"/>
  <c r="S75" i="33"/>
  <c r="R75" i="33"/>
  <c r="N75" i="33"/>
  <c r="L75" i="33"/>
  <c r="X74" i="33"/>
  <c r="W74" i="33"/>
  <c r="V74" i="33"/>
  <c r="U74" i="33"/>
  <c r="T74" i="33"/>
  <c r="S74" i="33"/>
  <c r="R74" i="33"/>
  <c r="N74" i="33"/>
  <c r="L74" i="33"/>
  <c r="X73" i="33"/>
  <c r="W73" i="33"/>
  <c r="V73" i="33"/>
  <c r="U73" i="33"/>
  <c r="T73" i="33"/>
  <c r="S73" i="33"/>
  <c r="R73" i="33"/>
  <c r="N73" i="33"/>
  <c r="L73" i="33"/>
  <c r="X72" i="33"/>
  <c r="W72" i="33"/>
  <c r="V72" i="33"/>
  <c r="U72" i="33"/>
  <c r="T72" i="33"/>
  <c r="S72" i="33"/>
  <c r="R72" i="33"/>
  <c r="N72" i="33"/>
  <c r="L72" i="33"/>
  <c r="X71" i="33"/>
  <c r="W71" i="33"/>
  <c r="V71" i="33"/>
  <c r="U71" i="33"/>
  <c r="T71" i="33"/>
  <c r="S71" i="33"/>
  <c r="R71" i="33"/>
  <c r="N71" i="33"/>
  <c r="L71" i="33"/>
  <c r="X70" i="33"/>
  <c r="W70" i="33"/>
  <c r="V70" i="33"/>
  <c r="U70" i="33"/>
  <c r="T70" i="33"/>
  <c r="S70" i="33"/>
  <c r="R70" i="33"/>
  <c r="N70" i="33"/>
  <c r="L70" i="33"/>
  <c r="X69" i="33"/>
  <c r="W69" i="33"/>
  <c r="V69" i="33"/>
  <c r="U69" i="33"/>
  <c r="T69" i="33"/>
  <c r="S69" i="33"/>
  <c r="R69" i="33"/>
  <c r="N69" i="33"/>
  <c r="L69" i="33"/>
  <c r="X68" i="33"/>
  <c r="W68" i="33"/>
  <c r="V68" i="33"/>
  <c r="U68" i="33"/>
  <c r="T68" i="33"/>
  <c r="S68" i="33"/>
  <c r="R68" i="33"/>
  <c r="N68" i="33"/>
  <c r="L68" i="33"/>
  <c r="X67" i="33"/>
  <c r="W67" i="33"/>
  <c r="V67" i="33"/>
  <c r="U67" i="33"/>
  <c r="T67" i="33"/>
  <c r="S67" i="33"/>
  <c r="R67" i="33"/>
  <c r="N67" i="33"/>
  <c r="L67" i="33"/>
  <c r="X66" i="33"/>
  <c r="W66" i="33"/>
  <c r="V66" i="33"/>
  <c r="U66" i="33"/>
  <c r="T66" i="33"/>
  <c r="S66" i="33"/>
  <c r="R66" i="33"/>
  <c r="N66" i="33"/>
  <c r="L66" i="33"/>
  <c r="X65" i="33"/>
  <c r="W65" i="33"/>
  <c r="V65" i="33"/>
  <c r="U65" i="33"/>
  <c r="T65" i="33"/>
  <c r="S65" i="33"/>
  <c r="R65" i="33"/>
  <c r="N65" i="33"/>
  <c r="L65" i="33"/>
  <c r="X64" i="33"/>
  <c r="W64" i="33"/>
  <c r="V64" i="33"/>
  <c r="U64" i="33"/>
  <c r="T64" i="33"/>
  <c r="S64" i="33"/>
  <c r="R64" i="33"/>
  <c r="N64" i="33"/>
  <c r="L64" i="33"/>
  <c r="X63" i="33"/>
  <c r="W63" i="33"/>
  <c r="V63" i="33"/>
  <c r="U63" i="33"/>
  <c r="T63" i="33"/>
  <c r="S63" i="33"/>
  <c r="R63" i="33"/>
  <c r="N63" i="33"/>
  <c r="L63" i="33"/>
  <c r="X62" i="33"/>
  <c r="W62" i="33"/>
  <c r="V62" i="33"/>
  <c r="U62" i="33"/>
  <c r="T62" i="33"/>
  <c r="S62" i="33"/>
  <c r="R62" i="33"/>
  <c r="N62" i="33"/>
  <c r="L62" i="33"/>
  <c r="X61" i="33"/>
  <c r="W61" i="33"/>
  <c r="V61" i="33"/>
  <c r="U61" i="33"/>
  <c r="T61" i="33"/>
  <c r="S61" i="33"/>
  <c r="R61" i="33"/>
  <c r="N61" i="33"/>
  <c r="L61" i="33"/>
  <c r="X60" i="33"/>
  <c r="W60" i="33"/>
  <c r="V60" i="33"/>
  <c r="U60" i="33"/>
  <c r="T60" i="33"/>
  <c r="S60" i="33"/>
  <c r="R60" i="33"/>
  <c r="N60" i="33"/>
  <c r="L60" i="33"/>
  <c r="X59" i="33"/>
  <c r="W59" i="33"/>
  <c r="V59" i="33"/>
  <c r="U59" i="33"/>
  <c r="T59" i="33"/>
  <c r="S59" i="33"/>
  <c r="R59" i="33"/>
  <c r="N59" i="33"/>
  <c r="L59" i="33"/>
  <c r="X58" i="33"/>
  <c r="W58" i="33"/>
  <c r="V58" i="33"/>
  <c r="U58" i="33"/>
  <c r="T58" i="33"/>
  <c r="S58" i="33"/>
  <c r="R58" i="33"/>
  <c r="N58" i="33"/>
  <c r="L58" i="33"/>
  <c r="X57" i="33"/>
  <c r="W57" i="33"/>
  <c r="V57" i="33"/>
  <c r="U57" i="33"/>
  <c r="T57" i="33"/>
  <c r="S57" i="33"/>
  <c r="R57" i="33"/>
  <c r="N57" i="33"/>
  <c r="L57" i="33"/>
  <c r="X56" i="33"/>
  <c r="W56" i="33"/>
  <c r="V56" i="33"/>
  <c r="U56" i="33"/>
  <c r="T56" i="33"/>
  <c r="S56" i="33"/>
  <c r="R56" i="33"/>
  <c r="N56" i="33"/>
  <c r="L56" i="33"/>
  <c r="X55" i="33"/>
  <c r="W55" i="33"/>
  <c r="V55" i="33"/>
  <c r="U55" i="33"/>
  <c r="T55" i="33"/>
  <c r="S55" i="33"/>
  <c r="R55" i="33"/>
  <c r="N55" i="33"/>
  <c r="L55" i="33"/>
  <c r="X54" i="33"/>
  <c r="W54" i="33"/>
  <c r="V54" i="33"/>
  <c r="U54" i="33"/>
  <c r="T54" i="33"/>
  <c r="S54" i="33"/>
  <c r="R54" i="33"/>
  <c r="N54" i="33"/>
  <c r="L54" i="33"/>
  <c r="X53" i="33"/>
  <c r="W53" i="33"/>
  <c r="V53" i="33"/>
  <c r="U53" i="33"/>
  <c r="T53" i="33"/>
  <c r="S53" i="33"/>
  <c r="R53" i="33"/>
  <c r="N53" i="33"/>
  <c r="L53" i="33"/>
  <c r="X52" i="33"/>
  <c r="W52" i="33"/>
  <c r="V52" i="33"/>
  <c r="U52" i="33"/>
  <c r="T52" i="33"/>
  <c r="S52" i="33"/>
  <c r="R52" i="33"/>
  <c r="N52" i="33"/>
  <c r="L52" i="33"/>
  <c r="X51" i="33"/>
  <c r="W51" i="33"/>
  <c r="V51" i="33"/>
  <c r="U51" i="33"/>
  <c r="T51" i="33"/>
  <c r="S51" i="33"/>
  <c r="R51" i="33"/>
  <c r="N51" i="33"/>
  <c r="L51" i="33"/>
  <c r="X50" i="33"/>
  <c r="W50" i="33"/>
  <c r="V50" i="33"/>
  <c r="U50" i="33"/>
  <c r="T50" i="33"/>
  <c r="S50" i="33"/>
  <c r="R50" i="33"/>
  <c r="N50" i="33"/>
  <c r="L50" i="33"/>
  <c r="X49" i="33"/>
  <c r="W49" i="33"/>
  <c r="V49" i="33"/>
  <c r="U49" i="33"/>
  <c r="T49" i="33"/>
  <c r="S49" i="33"/>
  <c r="R49" i="33"/>
  <c r="N49" i="33"/>
  <c r="L49" i="33"/>
  <c r="X48" i="33"/>
  <c r="W48" i="33"/>
  <c r="V48" i="33"/>
  <c r="U48" i="33"/>
  <c r="T48" i="33"/>
  <c r="S48" i="33"/>
  <c r="R48" i="33"/>
  <c r="N48" i="33"/>
  <c r="L48" i="33"/>
  <c r="X47" i="33"/>
  <c r="W47" i="33"/>
  <c r="V47" i="33"/>
  <c r="U47" i="33"/>
  <c r="T47" i="33"/>
  <c r="S47" i="33"/>
  <c r="R47" i="33"/>
  <c r="N47" i="33"/>
  <c r="L47" i="33"/>
  <c r="X46" i="33"/>
  <c r="W46" i="33"/>
  <c r="V46" i="33"/>
  <c r="U46" i="33"/>
  <c r="T46" i="33"/>
  <c r="S46" i="33"/>
  <c r="R46" i="33"/>
  <c r="N46" i="33"/>
  <c r="L46" i="33"/>
  <c r="X45" i="33"/>
  <c r="W45" i="33"/>
  <c r="V45" i="33"/>
  <c r="U45" i="33"/>
  <c r="T45" i="33"/>
  <c r="S45" i="33"/>
  <c r="R45" i="33"/>
  <c r="N45" i="33"/>
  <c r="L45" i="33"/>
  <c r="X44" i="33"/>
  <c r="W44" i="33"/>
  <c r="V44" i="33"/>
  <c r="U44" i="33"/>
  <c r="T44" i="33"/>
  <c r="S44" i="33"/>
  <c r="R44" i="33"/>
  <c r="N44" i="33"/>
  <c r="L44" i="33"/>
  <c r="X43" i="33"/>
  <c r="W43" i="33"/>
  <c r="V43" i="33"/>
  <c r="U43" i="33"/>
  <c r="T43" i="33"/>
  <c r="S43" i="33"/>
  <c r="R43" i="33"/>
  <c r="N43" i="33"/>
  <c r="L43" i="33"/>
  <c r="X42" i="33"/>
  <c r="W42" i="33"/>
  <c r="V42" i="33"/>
  <c r="U42" i="33"/>
  <c r="T42" i="33"/>
  <c r="S42" i="33"/>
  <c r="R42" i="33"/>
  <c r="N42" i="33"/>
  <c r="L42" i="33"/>
  <c r="X41" i="33"/>
  <c r="W41" i="33"/>
  <c r="V41" i="33"/>
  <c r="R41" i="33"/>
  <c r="X40" i="33"/>
  <c r="W40" i="33"/>
  <c r="V40" i="33"/>
  <c r="U40" i="33"/>
  <c r="T40" i="33"/>
  <c r="S40" i="33"/>
  <c r="R40" i="33"/>
  <c r="N40" i="33"/>
  <c r="L40" i="33"/>
  <c r="X39" i="33"/>
  <c r="W39" i="33"/>
  <c r="V39" i="33"/>
  <c r="U39" i="33"/>
  <c r="T39" i="33"/>
  <c r="S39" i="33"/>
  <c r="R39" i="33"/>
  <c r="N39" i="33"/>
  <c r="L39" i="33"/>
  <c r="X38" i="33"/>
  <c r="W38" i="33"/>
  <c r="V38" i="33"/>
  <c r="U38" i="33"/>
  <c r="T38" i="33"/>
  <c r="S38" i="33"/>
  <c r="R38" i="33"/>
  <c r="N38" i="33"/>
  <c r="L38" i="33"/>
  <c r="X37" i="33"/>
  <c r="W37" i="33"/>
  <c r="V37" i="33"/>
  <c r="U37" i="33"/>
  <c r="T37" i="33"/>
  <c r="S37" i="33"/>
  <c r="R37" i="33"/>
  <c r="N37" i="33"/>
  <c r="L37" i="33"/>
  <c r="X36" i="33"/>
  <c r="W36" i="33"/>
  <c r="V36" i="33"/>
  <c r="U36" i="33"/>
  <c r="T36" i="33"/>
  <c r="S36" i="33"/>
  <c r="R36" i="33"/>
  <c r="N36" i="33"/>
  <c r="L36" i="33"/>
  <c r="X35" i="33"/>
  <c r="W35" i="33"/>
  <c r="V35" i="33"/>
  <c r="U35" i="33"/>
  <c r="T35" i="33"/>
  <c r="S35" i="33"/>
  <c r="R35" i="33"/>
  <c r="N35" i="33"/>
  <c r="L35" i="33"/>
  <c r="X34" i="33"/>
  <c r="W34" i="33"/>
  <c r="V34" i="33"/>
  <c r="U34" i="33"/>
  <c r="T34" i="33"/>
  <c r="S34" i="33"/>
  <c r="R34" i="33"/>
  <c r="N34" i="33"/>
  <c r="L34" i="33"/>
  <c r="X33" i="33"/>
  <c r="W33" i="33"/>
  <c r="V33" i="33"/>
  <c r="U33" i="33"/>
  <c r="T33" i="33"/>
  <c r="S33" i="33"/>
  <c r="R33" i="33"/>
  <c r="N33" i="33"/>
  <c r="L33" i="33"/>
  <c r="X32" i="33"/>
  <c r="W32" i="33"/>
  <c r="V32" i="33"/>
  <c r="U32" i="33"/>
  <c r="T32" i="33"/>
  <c r="S32" i="33"/>
  <c r="R32" i="33"/>
  <c r="N32" i="33"/>
  <c r="M32" i="33"/>
  <c r="M34" i="33" s="1"/>
  <c r="L32" i="33"/>
  <c r="U31" i="33"/>
  <c r="T31" i="33"/>
  <c r="S31" i="33"/>
  <c r="R31" i="33"/>
  <c r="N31" i="33"/>
  <c r="Q38" i="33" s="1"/>
  <c r="M31" i="33"/>
  <c r="P36" i="33" s="1"/>
  <c r="L31" i="33"/>
  <c r="O39" i="33" s="1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R16" i="33"/>
  <c r="N16" i="33"/>
  <c r="M16" i="33"/>
  <c r="L16" i="33"/>
  <c r="K16" i="33"/>
  <c r="W7" i="33"/>
  <c r="Y2" i="33"/>
  <c r="X153" i="31"/>
  <c r="W153" i="31"/>
  <c r="V153" i="31"/>
  <c r="U153" i="31"/>
  <c r="T153" i="31"/>
  <c r="S153" i="31"/>
  <c r="R153" i="31"/>
  <c r="X152" i="31"/>
  <c r="W152" i="31"/>
  <c r="V152" i="31"/>
  <c r="U152" i="31"/>
  <c r="T152" i="31"/>
  <c r="S152" i="31"/>
  <c r="R152" i="31"/>
  <c r="X151" i="31"/>
  <c r="W151" i="31"/>
  <c r="V151" i="31"/>
  <c r="U151" i="31"/>
  <c r="T151" i="31"/>
  <c r="S151" i="31"/>
  <c r="R151" i="31"/>
  <c r="X150" i="31"/>
  <c r="W150" i="31"/>
  <c r="V150" i="31"/>
  <c r="U150" i="31"/>
  <c r="T150" i="31"/>
  <c r="S150" i="31"/>
  <c r="R150" i="31"/>
  <c r="X149" i="31"/>
  <c r="W149" i="31"/>
  <c r="V149" i="31"/>
  <c r="U149" i="31"/>
  <c r="T149" i="31"/>
  <c r="S149" i="31"/>
  <c r="R149" i="31"/>
  <c r="X148" i="31"/>
  <c r="W148" i="31"/>
  <c r="V148" i="31"/>
  <c r="U148" i="31"/>
  <c r="T148" i="31"/>
  <c r="S148" i="31"/>
  <c r="R148" i="31"/>
  <c r="X147" i="31"/>
  <c r="W147" i="31"/>
  <c r="V147" i="31"/>
  <c r="U147" i="31"/>
  <c r="T147" i="31"/>
  <c r="S147" i="31"/>
  <c r="R147" i="31"/>
  <c r="X146" i="31"/>
  <c r="W146" i="31"/>
  <c r="V146" i="31"/>
  <c r="U146" i="31"/>
  <c r="T146" i="31"/>
  <c r="S146" i="31"/>
  <c r="R146" i="31"/>
  <c r="X145" i="31"/>
  <c r="W145" i="31"/>
  <c r="V145" i="31"/>
  <c r="U145" i="31"/>
  <c r="T145" i="31"/>
  <c r="S145" i="31"/>
  <c r="R145" i="31"/>
  <c r="X144" i="31"/>
  <c r="W144" i="31"/>
  <c r="V144" i="31"/>
  <c r="U144" i="31"/>
  <c r="T144" i="31"/>
  <c r="S144" i="31"/>
  <c r="R144" i="31"/>
  <c r="X143" i="31"/>
  <c r="W143" i="31"/>
  <c r="V143" i="31"/>
  <c r="U143" i="31"/>
  <c r="T143" i="31"/>
  <c r="S143" i="31"/>
  <c r="R143" i="31"/>
  <c r="X142" i="31"/>
  <c r="W142" i="31"/>
  <c r="V142" i="31"/>
  <c r="U142" i="31"/>
  <c r="T142" i="31"/>
  <c r="S142" i="31"/>
  <c r="R142" i="31"/>
  <c r="X141" i="31"/>
  <c r="W141" i="31"/>
  <c r="V141" i="31"/>
  <c r="U141" i="31"/>
  <c r="T141" i="31"/>
  <c r="S141" i="31"/>
  <c r="R141" i="31"/>
  <c r="X140" i="31"/>
  <c r="W140" i="31"/>
  <c r="V140" i="31"/>
  <c r="U140" i="31"/>
  <c r="T140" i="31"/>
  <c r="S140" i="31"/>
  <c r="R140" i="31"/>
  <c r="X139" i="31"/>
  <c r="W139" i="31"/>
  <c r="V139" i="31"/>
  <c r="U139" i="31"/>
  <c r="T139" i="31"/>
  <c r="S139" i="31"/>
  <c r="R139" i="31"/>
  <c r="X138" i="31"/>
  <c r="W138" i="31"/>
  <c r="V138" i="31"/>
  <c r="U138" i="31"/>
  <c r="T138" i="31"/>
  <c r="S138" i="31"/>
  <c r="R138" i="31"/>
  <c r="X137" i="31"/>
  <c r="W137" i="31"/>
  <c r="V137" i="31"/>
  <c r="U137" i="31"/>
  <c r="T137" i="31"/>
  <c r="S137" i="31"/>
  <c r="R137" i="31"/>
  <c r="X136" i="31"/>
  <c r="W136" i="31"/>
  <c r="V136" i="31"/>
  <c r="U136" i="31"/>
  <c r="T136" i="31"/>
  <c r="S136" i="31"/>
  <c r="R136" i="31"/>
  <c r="X135" i="31"/>
  <c r="W135" i="31"/>
  <c r="V135" i="31"/>
  <c r="U135" i="31"/>
  <c r="T135" i="31"/>
  <c r="S135" i="31"/>
  <c r="R135" i="31"/>
  <c r="X134" i="31"/>
  <c r="W134" i="31"/>
  <c r="V134" i="31"/>
  <c r="U134" i="31"/>
  <c r="T134" i="31"/>
  <c r="S134" i="31"/>
  <c r="R134" i="31"/>
  <c r="X133" i="31"/>
  <c r="W133" i="31"/>
  <c r="V133" i="31"/>
  <c r="U133" i="31"/>
  <c r="T133" i="31"/>
  <c r="S133" i="31"/>
  <c r="R133" i="31"/>
  <c r="X132" i="31"/>
  <c r="W132" i="31"/>
  <c r="V132" i="31"/>
  <c r="U132" i="31"/>
  <c r="T132" i="31"/>
  <c r="S132" i="31"/>
  <c r="R132" i="31"/>
  <c r="X131" i="31"/>
  <c r="W131" i="31"/>
  <c r="V131" i="31"/>
  <c r="U131" i="31"/>
  <c r="T131" i="31"/>
  <c r="S131" i="31"/>
  <c r="R131" i="31"/>
  <c r="X130" i="31"/>
  <c r="W130" i="31"/>
  <c r="V130" i="31"/>
  <c r="U130" i="31"/>
  <c r="T130" i="31"/>
  <c r="S130" i="31"/>
  <c r="R130" i="31"/>
  <c r="X129" i="31"/>
  <c r="W129" i="31"/>
  <c r="V129" i="31"/>
  <c r="U129" i="31"/>
  <c r="T129" i="31"/>
  <c r="S129" i="31"/>
  <c r="R129" i="31"/>
  <c r="X128" i="31"/>
  <c r="W128" i="31"/>
  <c r="V128" i="31"/>
  <c r="U128" i="31"/>
  <c r="T128" i="31"/>
  <c r="S128" i="31"/>
  <c r="R128" i="31"/>
  <c r="X127" i="31"/>
  <c r="W127" i="31"/>
  <c r="V127" i="31"/>
  <c r="U127" i="31"/>
  <c r="T127" i="31"/>
  <c r="S127" i="31"/>
  <c r="R127" i="31"/>
  <c r="X126" i="31"/>
  <c r="W126" i="31"/>
  <c r="V126" i="31"/>
  <c r="U126" i="31"/>
  <c r="T126" i="31"/>
  <c r="S126" i="31"/>
  <c r="R126" i="31"/>
  <c r="X125" i="31"/>
  <c r="W125" i="31"/>
  <c r="V125" i="31"/>
  <c r="U125" i="31"/>
  <c r="T125" i="31"/>
  <c r="S125" i="31"/>
  <c r="R125" i="31"/>
  <c r="X124" i="31"/>
  <c r="W124" i="31"/>
  <c r="V124" i="31"/>
  <c r="U124" i="31"/>
  <c r="T124" i="31"/>
  <c r="S124" i="31"/>
  <c r="R124" i="31"/>
  <c r="X123" i="31"/>
  <c r="W123" i="31"/>
  <c r="V123" i="31"/>
  <c r="U123" i="31"/>
  <c r="T123" i="31"/>
  <c r="S123" i="31"/>
  <c r="R123" i="31"/>
  <c r="X122" i="31"/>
  <c r="W122" i="31"/>
  <c r="V122" i="31"/>
  <c r="U122" i="31"/>
  <c r="T122" i="31"/>
  <c r="S122" i="31"/>
  <c r="R122" i="31"/>
  <c r="X121" i="31"/>
  <c r="W121" i="31"/>
  <c r="V121" i="31"/>
  <c r="U121" i="31"/>
  <c r="T121" i="31"/>
  <c r="S121" i="31"/>
  <c r="R121" i="31"/>
  <c r="X120" i="31"/>
  <c r="W120" i="31"/>
  <c r="V120" i="31"/>
  <c r="U120" i="31"/>
  <c r="T120" i="31"/>
  <c r="S120" i="31"/>
  <c r="R120" i="31"/>
  <c r="X119" i="31"/>
  <c r="W119" i="31"/>
  <c r="V119" i="31"/>
  <c r="U119" i="31"/>
  <c r="T119" i="31"/>
  <c r="S119" i="31"/>
  <c r="R119" i="31"/>
  <c r="X118" i="31"/>
  <c r="W118" i="31"/>
  <c r="V118" i="31"/>
  <c r="U118" i="31"/>
  <c r="T118" i="31"/>
  <c r="S118" i="31"/>
  <c r="R118" i="31"/>
  <c r="X117" i="31"/>
  <c r="W117" i="31"/>
  <c r="V117" i="31"/>
  <c r="U117" i="31"/>
  <c r="T117" i="31"/>
  <c r="S117" i="31"/>
  <c r="R117" i="31"/>
  <c r="X116" i="31"/>
  <c r="W116" i="31"/>
  <c r="V116" i="31"/>
  <c r="U116" i="31"/>
  <c r="T116" i="31"/>
  <c r="S116" i="31"/>
  <c r="R116" i="31"/>
  <c r="X115" i="31"/>
  <c r="W115" i="31"/>
  <c r="V115" i="31"/>
  <c r="U115" i="31"/>
  <c r="T115" i="31"/>
  <c r="S115" i="31"/>
  <c r="R115" i="31"/>
  <c r="X114" i="31"/>
  <c r="W114" i="31"/>
  <c r="V114" i="31"/>
  <c r="U114" i="31"/>
  <c r="T114" i="31"/>
  <c r="S114" i="31"/>
  <c r="R114" i="31"/>
  <c r="X113" i="31"/>
  <c r="W113" i="31"/>
  <c r="V113" i="31"/>
  <c r="U113" i="31"/>
  <c r="T113" i="31"/>
  <c r="S113" i="31"/>
  <c r="R113" i="31"/>
  <c r="X112" i="31"/>
  <c r="W112" i="31"/>
  <c r="V112" i="31"/>
  <c r="U112" i="31"/>
  <c r="T112" i="31"/>
  <c r="S112" i="31"/>
  <c r="R112" i="31"/>
  <c r="X111" i="31"/>
  <c r="W111" i="31"/>
  <c r="V111" i="31"/>
  <c r="U111" i="31"/>
  <c r="T111" i="31"/>
  <c r="S111" i="31"/>
  <c r="R111" i="31"/>
  <c r="X110" i="31"/>
  <c r="W110" i="31"/>
  <c r="V110" i="31"/>
  <c r="U110" i="31"/>
  <c r="T110" i="31"/>
  <c r="S110" i="31"/>
  <c r="R110" i="31"/>
  <c r="X109" i="31"/>
  <c r="W109" i="31"/>
  <c r="V109" i="31"/>
  <c r="U109" i="31"/>
  <c r="T109" i="31"/>
  <c r="S109" i="31"/>
  <c r="R109" i="31"/>
  <c r="X108" i="31"/>
  <c r="W108" i="31"/>
  <c r="V108" i="31"/>
  <c r="U108" i="31"/>
  <c r="T108" i="31"/>
  <c r="S108" i="31"/>
  <c r="R108" i="31"/>
  <c r="X107" i="31"/>
  <c r="W107" i="31"/>
  <c r="V107" i="31"/>
  <c r="U107" i="31"/>
  <c r="T107" i="31"/>
  <c r="S107" i="31"/>
  <c r="R107" i="31"/>
  <c r="X106" i="31"/>
  <c r="W106" i="31"/>
  <c r="V106" i="31"/>
  <c r="U106" i="31"/>
  <c r="T106" i="31"/>
  <c r="S106" i="31"/>
  <c r="R106" i="31"/>
  <c r="X105" i="31"/>
  <c r="W105" i="31"/>
  <c r="V105" i="31"/>
  <c r="U105" i="31"/>
  <c r="T105" i="31"/>
  <c r="S105" i="31"/>
  <c r="R105" i="31"/>
  <c r="X104" i="31"/>
  <c r="W104" i="31"/>
  <c r="V104" i="31"/>
  <c r="U104" i="31"/>
  <c r="T104" i="31"/>
  <c r="S104" i="31"/>
  <c r="R104" i="31"/>
  <c r="X103" i="31"/>
  <c r="W103" i="31"/>
  <c r="V103" i="31"/>
  <c r="U103" i="31"/>
  <c r="T103" i="31"/>
  <c r="S103" i="31"/>
  <c r="R103" i="31"/>
  <c r="X102" i="31"/>
  <c r="W102" i="31"/>
  <c r="V102" i="31"/>
  <c r="U102" i="31"/>
  <c r="T102" i="31"/>
  <c r="S102" i="31"/>
  <c r="R102" i="31"/>
  <c r="X101" i="31"/>
  <c r="W101" i="31"/>
  <c r="V101" i="31"/>
  <c r="U101" i="31"/>
  <c r="T101" i="31"/>
  <c r="S101" i="31"/>
  <c r="R101" i="31"/>
  <c r="X100" i="31"/>
  <c r="W100" i="31"/>
  <c r="V100" i="31"/>
  <c r="U100" i="31"/>
  <c r="T100" i="31"/>
  <c r="S100" i="31"/>
  <c r="R100" i="31"/>
  <c r="X99" i="31"/>
  <c r="W99" i="31"/>
  <c r="V99" i="31"/>
  <c r="U99" i="31"/>
  <c r="T99" i="31"/>
  <c r="S99" i="31"/>
  <c r="R99" i="31"/>
  <c r="X98" i="31"/>
  <c r="W98" i="31"/>
  <c r="V98" i="31"/>
  <c r="U98" i="31"/>
  <c r="T98" i="31"/>
  <c r="S98" i="31"/>
  <c r="R98" i="31"/>
  <c r="X97" i="31"/>
  <c r="W97" i="31"/>
  <c r="V97" i="31"/>
  <c r="U97" i="31"/>
  <c r="T97" i="31"/>
  <c r="S97" i="31"/>
  <c r="R97" i="31"/>
  <c r="X96" i="31"/>
  <c r="W96" i="31"/>
  <c r="V96" i="31"/>
  <c r="U96" i="31"/>
  <c r="T96" i="31"/>
  <c r="S96" i="31"/>
  <c r="R96" i="31"/>
  <c r="X95" i="31"/>
  <c r="W95" i="31"/>
  <c r="V95" i="31"/>
  <c r="U95" i="31"/>
  <c r="T95" i="31"/>
  <c r="S95" i="31"/>
  <c r="R95" i="31"/>
  <c r="X94" i="31"/>
  <c r="W94" i="31"/>
  <c r="V94" i="31"/>
  <c r="U94" i="31"/>
  <c r="T94" i="31"/>
  <c r="S94" i="31"/>
  <c r="R94" i="31"/>
  <c r="X93" i="31"/>
  <c r="W93" i="31"/>
  <c r="V93" i="31"/>
  <c r="U93" i="31"/>
  <c r="T93" i="31"/>
  <c r="S93" i="31"/>
  <c r="R93" i="31"/>
  <c r="X92" i="31"/>
  <c r="W92" i="31"/>
  <c r="V92" i="31"/>
  <c r="U92" i="31"/>
  <c r="T92" i="31"/>
  <c r="S92" i="31"/>
  <c r="R92" i="31"/>
  <c r="X91" i="31"/>
  <c r="W91" i="31"/>
  <c r="V91" i="31"/>
  <c r="U91" i="31"/>
  <c r="T91" i="31"/>
  <c r="S91" i="31"/>
  <c r="R91" i="31"/>
  <c r="X90" i="31"/>
  <c r="W90" i="31"/>
  <c r="V90" i="31"/>
  <c r="U90" i="31"/>
  <c r="T90" i="31"/>
  <c r="S90" i="31"/>
  <c r="R90" i="31"/>
  <c r="X89" i="31"/>
  <c r="W89" i="31"/>
  <c r="V89" i="31"/>
  <c r="U89" i="31"/>
  <c r="T89" i="31"/>
  <c r="S89" i="31"/>
  <c r="R89" i="31"/>
  <c r="X88" i="31"/>
  <c r="W88" i="31"/>
  <c r="V88" i="31"/>
  <c r="U88" i="31"/>
  <c r="T88" i="31"/>
  <c r="S88" i="31"/>
  <c r="R88" i="31"/>
  <c r="X87" i="31"/>
  <c r="W87" i="31"/>
  <c r="V87" i="31"/>
  <c r="U87" i="31"/>
  <c r="T87" i="31"/>
  <c r="S87" i="31"/>
  <c r="R87" i="31"/>
  <c r="X86" i="31"/>
  <c r="W86" i="31"/>
  <c r="V86" i="31"/>
  <c r="U86" i="31"/>
  <c r="T86" i="31"/>
  <c r="S86" i="31"/>
  <c r="R86" i="31"/>
  <c r="X85" i="31"/>
  <c r="W85" i="31"/>
  <c r="V85" i="31"/>
  <c r="U85" i="31"/>
  <c r="T85" i="31"/>
  <c r="S85" i="31"/>
  <c r="R85" i="31"/>
  <c r="X84" i="31"/>
  <c r="W84" i="31"/>
  <c r="V84" i="31"/>
  <c r="U84" i="31"/>
  <c r="T84" i="31"/>
  <c r="S84" i="31"/>
  <c r="R84" i="31"/>
  <c r="X83" i="31"/>
  <c r="W83" i="31"/>
  <c r="V83" i="31"/>
  <c r="U83" i="31"/>
  <c r="T83" i="31"/>
  <c r="S83" i="31"/>
  <c r="R83" i="31"/>
  <c r="X82" i="31"/>
  <c r="W82" i="31"/>
  <c r="V82" i="31"/>
  <c r="U82" i="31"/>
  <c r="T82" i="31"/>
  <c r="S82" i="31"/>
  <c r="R82" i="31"/>
  <c r="X81" i="31"/>
  <c r="W81" i="31"/>
  <c r="V81" i="31"/>
  <c r="U81" i="31"/>
  <c r="T81" i="31"/>
  <c r="S81" i="31"/>
  <c r="R81" i="31"/>
  <c r="X80" i="31"/>
  <c r="W80" i="31"/>
  <c r="V80" i="31"/>
  <c r="U80" i="31"/>
  <c r="T80" i="31"/>
  <c r="S80" i="31"/>
  <c r="R80" i="31"/>
  <c r="X79" i="31"/>
  <c r="W79" i="31"/>
  <c r="V79" i="31"/>
  <c r="U79" i="31"/>
  <c r="T79" i="31"/>
  <c r="S79" i="31"/>
  <c r="R79" i="31"/>
  <c r="X78" i="31"/>
  <c r="W78" i="31"/>
  <c r="V78" i="31"/>
  <c r="U78" i="31"/>
  <c r="T78" i="31"/>
  <c r="S78" i="31"/>
  <c r="R78" i="31"/>
  <c r="X77" i="31"/>
  <c r="W77" i="31"/>
  <c r="V77" i="31"/>
  <c r="U77" i="31"/>
  <c r="T77" i="31"/>
  <c r="S77" i="31"/>
  <c r="R77" i="31"/>
  <c r="X76" i="31"/>
  <c r="W76" i="31"/>
  <c r="V76" i="31"/>
  <c r="U76" i="31"/>
  <c r="T76" i="31"/>
  <c r="S76" i="31"/>
  <c r="R76" i="31"/>
  <c r="X75" i="31"/>
  <c r="W75" i="31"/>
  <c r="V75" i="31"/>
  <c r="U75" i="31"/>
  <c r="T75" i="31"/>
  <c r="S75" i="31"/>
  <c r="R75" i="31"/>
  <c r="X74" i="31"/>
  <c r="W74" i="31"/>
  <c r="V74" i="31"/>
  <c r="U74" i="31"/>
  <c r="T74" i="31"/>
  <c r="S74" i="31"/>
  <c r="R74" i="31"/>
  <c r="X73" i="31"/>
  <c r="W73" i="31"/>
  <c r="V73" i="31"/>
  <c r="U73" i="31"/>
  <c r="T73" i="31"/>
  <c r="S73" i="31"/>
  <c r="R73" i="31"/>
  <c r="X72" i="31"/>
  <c r="W72" i="31"/>
  <c r="V72" i="31"/>
  <c r="U72" i="31"/>
  <c r="T72" i="31"/>
  <c r="S72" i="31"/>
  <c r="R72" i="31"/>
  <c r="X71" i="31"/>
  <c r="W71" i="31"/>
  <c r="V71" i="31"/>
  <c r="U71" i="31"/>
  <c r="T71" i="31"/>
  <c r="S71" i="31"/>
  <c r="R71" i="31"/>
  <c r="X70" i="31"/>
  <c r="W70" i="31"/>
  <c r="V70" i="31"/>
  <c r="U70" i="31"/>
  <c r="T70" i="31"/>
  <c r="S70" i="31"/>
  <c r="R70" i="31"/>
  <c r="X69" i="31"/>
  <c r="W69" i="31"/>
  <c r="V69" i="31"/>
  <c r="U69" i="31"/>
  <c r="T69" i="31"/>
  <c r="S69" i="31"/>
  <c r="R69" i="31"/>
  <c r="X68" i="31"/>
  <c r="W68" i="31"/>
  <c r="V68" i="31"/>
  <c r="U68" i="31"/>
  <c r="T68" i="31"/>
  <c r="S68" i="31"/>
  <c r="R68" i="31"/>
  <c r="X67" i="31"/>
  <c r="W67" i="31"/>
  <c r="V67" i="31"/>
  <c r="U67" i="31"/>
  <c r="T67" i="31"/>
  <c r="S67" i="31"/>
  <c r="R67" i="31"/>
  <c r="X66" i="31"/>
  <c r="W66" i="31"/>
  <c r="V66" i="31"/>
  <c r="U66" i="31"/>
  <c r="T66" i="31"/>
  <c r="S66" i="31"/>
  <c r="R66" i="31"/>
  <c r="X65" i="31"/>
  <c r="W65" i="31"/>
  <c r="V65" i="31"/>
  <c r="U65" i="31"/>
  <c r="T65" i="31"/>
  <c r="S65" i="31"/>
  <c r="R65" i="31"/>
  <c r="X64" i="31"/>
  <c r="W64" i="31"/>
  <c r="V64" i="31"/>
  <c r="U64" i="31"/>
  <c r="T64" i="31"/>
  <c r="S64" i="31"/>
  <c r="R64" i="31"/>
  <c r="X63" i="31"/>
  <c r="W63" i="31"/>
  <c r="V63" i="31"/>
  <c r="U63" i="31"/>
  <c r="T63" i="31"/>
  <c r="S63" i="31"/>
  <c r="R63" i="31"/>
  <c r="X62" i="31"/>
  <c r="W62" i="31"/>
  <c r="V62" i="31"/>
  <c r="U62" i="31"/>
  <c r="T62" i="31"/>
  <c r="S62" i="31"/>
  <c r="R62" i="31"/>
  <c r="X61" i="31"/>
  <c r="W61" i="31"/>
  <c r="V61" i="31"/>
  <c r="U61" i="31"/>
  <c r="T61" i="31"/>
  <c r="S61" i="31"/>
  <c r="R61" i="31"/>
  <c r="X60" i="31"/>
  <c r="W60" i="31"/>
  <c r="V60" i="31"/>
  <c r="U60" i="31"/>
  <c r="T60" i="31"/>
  <c r="S60" i="31"/>
  <c r="R60" i="31"/>
  <c r="X59" i="31"/>
  <c r="W59" i="31"/>
  <c r="V59" i="31"/>
  <c r="U59" i="31"/>
  <c r="T59" i="31"/>
  <c r="S59" i="31"/>
  <c r="R59" i="31"/>
  <c r="X58" i="31"/>
  <c r="W58" i="31"/>
  <c r="V58" i="31"/>
  <c r="U58" i="31"/>
  <c r="T58" i="31"/>
  <c r="S58" i="31"/>
  <c r="R58" i="31"/>
  <c r="X57" i="31"/>
  <c r="W57" i="31"/>
  <c r="V57" i="31"/>
  <c r="U57" i="31"/>
  <c r="T57" i="31"/>
  <c r="S57" i="31"/>
  <c r="R57" i="31"/>
  <c r="X56" i="31"/>
  <c r="W56" i="31"/>
  <c r="V56" i="31"/>
  <c r="U56" i="31"/>
  <c r="T56" i="31"/>
  <c r="S56" i="31"/>
  <c r="R56" i="31"/>
  <c r="X55" i="31"/>
  <c r="W55" i="31"/>
  <c r="V55" i="31"/>
  <c r="U55" i="31"/>
  <c r="T55" i="31"/>
  <c r="S55" i="31"/>
  <c r="R55" i="31"/>
  <c r="X54" i="31"/>
  <c r="W54" i="31"/>
  <c r="V54" i="31"/>
  <c r="U54" i="31"/>
  <c r="T54" i="31"/>
  <c r="S54" i="31"/>
  <c r="R54" i="31"/>
  <c r="X53" i="31"/>
  <c r="W53" i="31"/>
  <c r="V53" i="31"/>
  <c r="U53" i="31"/>
  <c r="T53" i="31"/>
  <c r="S53" i="31"/>
  <c r="R53" i="31"/>
  <c r="X52" i="31"/>
  <c r="W52" i="31"/>
  <c r="V52" i="31"/>
  <c r="U52" i="31"/>
  <c r="T52" i="31"/>
  <c r="S52" i="31"/>
  <c r="R52" i="31"/>
  <c r="X51" i="31"/>
  <c r="W51" i="31"/>
  <c r="V51" i="31"/>
  <c r="U51" i="31"/>
  <c r="T51" i="31"/>
  <c r="S51" i="31"/>
  <c r="R51" i="31"/>
  <c r="X50" i="31"/>
  <c r="W50" i="31"/>
  <c r="V50" i="31"/>
  <c r="U50" i="31"/>
  <c r="T50" i="31"/>
  <c r="S50" i="31"/>
  <c r="R50" i="31"/>
  <c r="X49" i="31"/>
  <c r="W49" i="31"/>
  <c r="V49" i="31"/>
  <c r="U49" i="31"/>
  <c r="T49" i="31"/>
  <c r="S49" i="31"/>
  <c r="R49" i="31"/>
  <c r="X48" i="31"/>
  <c r="W48" i="31"/>
  <c r="V48" i="31"/>
  <c r="U48" i="31"/>
  <c r="T48" i="31"/>
  <c r="S48" i="31"/>
  <c r="R48" i="31"/>
  <c r="X47" i="31"/>
  <c r="W47" i="31"/>
  <c r="V47" i="31"/>
  <c r="U47" i="31"/>
  <c r="T47" i="31"/>
  <c r="S47" i="31"/>
  <c r="R47" i="31"/>
  <c r="X46" i="31"/>
  <c r="W46" i="31"/>
  <c r="V46" i="31"/>
  <c r="U46" i="31"/>
  <c r="T46" i="31"/>
  <c r="S46" i="31"/>
  <c r="R46" i="31"/>
  <c r="X45" i="31"/>
  <c r="W45" i="31"/>
  <c r="V45" i="31"/>
  <c r="U45" i="31"/>
  <c r="T45" i="31"/>
  <c r="S45" i="31"/>
  <c r="R45" i="31"/>
  <c r="X44" i="31"/>
  <c r="W44" i="31"/>
  <c r="V44" i="31"/>
  <c r="U44" i="31"/>
  <c r="T44" i="31"/>
  <c r="S44" i="31"/>
  <c r="R44" i="31"/>
  <c r="X43" i="31"/>
  <c r="W43" i="31"/>
  <c r="V43" i="31"/>
  <c r="U43" i="31"/>
  <c r="T43" i="31"/>
  <c r="S43" i="31"/>
  <c r="R43" i="31"/>
  <c r="X42" i="31"/>
  <c r="W42" i="31"/>
  <c r="V42" i="31"/>
  <c r="U42" i="31"/>
  <c r="T42" i="31"/>
  <c r="S42" i="31"/>
  <c r="R42" i="31"/>
  <c r="X41" i="31"/>
  <c r="W41" i="31"/>
  <c r="V41" i="31"/>
  <c r="U41" i="31"/>
  <c r="T41" i="31"/>
  <c r="S41" i="31"/>
  <c r="R41" i="31"/>
  <c r="X40" i="31"/>
  <c r="W40" i="31"/>
  <c r="V40" i="31"/>
  <c r="U40" i="31"/>
  <c r="T40" i="31"/>
  <c r="S40" i="31"/>
  <c r="R40" i="31"/>
  <c r="X39" i="31"/>
  <c r="W39" i="31"/>
  <c r="V39" i="31"/>
  <c r="R39" i="31"/>
  <c r="X38" i="31"/>
  <c r="W38" i="31"/>
  <c r="V38" i="31"/>
  <c r="U38" i="31"/>
  <c r="T38" i="31"/>
  <c r="S38" i="31"/>
  <c r="R38" i="31"/>
  <c r="X37" i="31"/>
  <c r="W37" i="31"/>
  <c r="V37" i="31"/>
  <c r="U37" i="31"/>
  <c r="T37" i="31"/>
  <c r="S37" i="31"/>
  <c r="R37" i="31"/>
  <c r="X36" i="31"/>
  <c r="W36" i="31"/>
  <c r="V36" i="31"/>
  <c r="U36" i="31"/>
  <c r="T36" i="31"/>
  <c r="S36" i="31"/>
  <c r="R36" i="31"/>
  <c r="X35" i="31"/>
  <c r="W35" i="31"/>
  <c r="V35" i="31"/>
  <c r="U35" i="31"/>
  <c r="T35" i="31"/>
  <c r="S35" i="31"/>
  <c r="R35" i="31"/>
  <c r="X34" i="31"/>
  <c r="W34" i="31"/>
  <c r="V34" i="31"/>
  <c r="U34" i="31"/>
  <c r="T34" i="31"/>
  <c r="S34" i="31"/>
  <c r="R34" i="31"/>
  <c r="X33" i="31"/>
  <c r="W33" i="31"/>
  <c r="V33" i="31"/>
  <c r="U33" i="31"/>
  <c r="T33" i="31"/>
  <c r="S33" i="31"/>
  <c r="R33" i="31"/>
  <c r="X32" i="31"/>
  <c r="W32" i="31"/>
  <c r="V32" i="31"/>
  <c r="U32" i="31"/>
  <c r="T32" i="31"/>
  <c r="S32" i="31"/>
  <c r="R32" i="31"/>
  <c r="X31" i="31"/>
  <c r="W31" i="31"/>
  <c r="V31" i="31"/>
  <c r="U31" i="31"/>
  <c r="T31" i="31"/>
  <c r="S31" i="31"/>
  <c r="R31" i="31"/>
  <c r="X30" i="31"/>
  <c r="W30" i="31"/>
  <c r="V30" i="31"/>
  <c r="U30" i="31"/>
  <c r="T30" i="31"/>
  <c r="S30" i="31"/>
  <c r="R30" i="31"/>
  <c r="X29" i="31"/>
  <c r="W29" i="31"/>
  <c r="V29" i="31"/>
  <c r="U29" i="31"/>
  <c r="T29" i="31"/>
  <c r="S29" i="31"/>
  <c r="R29" i="31"/>
  <c r="N29" i="31"/>
  <c r="N32" i="31" s="1"/>
  <c r="M29" i="31"/>
  <c r="M31" i="31" s="1"/>
  <c r="L29" i="31"/>
  <c r="L31" i="31" s="1"/>
  <c r="U28" i="31"/>
  <c r="T28" i="31"/>
  <c r="S28" i="31"/>
  <c r="R28" i="31"/>
  <c r="N28" i="31"/>
  <c r="Q40" i="31" s="1"/>
  <c r="M28" i="31"/>
  <c r="P38" i="31" s="1"/>
  <c r="L28" i="31"/>
  <c r="O37" i="31" s="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R16" i="31"/>
  <c r="N16" i="31"/>
  <c r="M16" i="31"/>
  <c r="L16" i="31"/>
  <c r="K16" i="31"/>
  <c r="W7" i="31"/>
  <c r="Y2" i="31"/>
  <c r="K32" i="24"/>
  <c r="K33" i="24"/>
  <c r="K34" i="24"/>
  <c r="K19" i="28"/>
  <c r="K17" i="28"/>
  <c r="K18" i="28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117" i="24"/>
  <c r="R118" i="24"/>
  <c r="R119" i="24"/>
  <c r="R120" i="24"/>
  <c r="R121" i="24"/>
  <c r="R122" i="24"/>
  <c r="R123" i="24"/>
  <c r="R124" i="24"/>
  <c r="R125" i="24"/>
  <c r="R126" i="24"/>
  <c r="R127" i="24"/>
  <c r="R128" i="24"/>
  <c r="R129" i="24"/>
  <c r="R130" i="24"/>
  <c r="R131" i="24"/>
  <c r="R132" i="24"/>
  <c r="R133" i="24"/>
  <c r="R134" i="24"/>
  <c r="R135" i="24"/>
  <c r="R136" i="24"/>
  <c r="R137" i="24"/>
  <c r="R138" i="24"/>
  <c r="R139" i="24"/>
  <c r="R140" i="24"/>
  <c r="R141" i="24"/>
  <c r="R142" i="24"/>
  <c r="R143" i="24"/>
  <c r="R144" i="24"/>
  <c r="R145" i="24"/>
  <c r="R146" i="24"/>
  <c r="R147" i="24"/>
  <c r="R148" i="24"/>
  <c r="R149" i="24"/>
  <c r="R150" i="24"/>
  <c r="R151" i="24"/>
  <c r="R152" i="24"/>
  <c r="R153" i="24"/>
  <c r="R25" i="24"/>
  <c r="Q60" i="22"/>
  <c r="Q61" i="22"/>
  <c r="Q62" i="22"/>
  <c r="Q63" i="22"/>
  <c r="Q64" i="22"/>
  <c r="Q65" i="22"/>
  <c r="Q66" i="22"/>
  <c r="Q67" i="22"/>
  <c r="Q68" i="22"/>
  <c r="Q69" i="22"/>
  <c r="Q70" i="22"/>
  <c r="Q71" i="22"/>
  <c r="Q72" i="22"/>
  <c r="Q73" i="22"/>
  <c r="Q74" i="22"/>
  <c r="Q75" i="22"/>
  <c r="Q76" i="22"/>
  <c r="Q77" i="22"/>
  <c r="Q78" i="22"/>
  <c r="Q79" i="22"/>
  <c r="Q80" i="22"/>
  <c r="Q81" i="22"/>
  <c r="Q82" i="22"/>
  <c r="Q83" i="22"/>
  <c r="Q84" i="22"/>
  <c r="Q85" i="22"/>
  <c r="Q86" i="22"/>
  <c r="Q87" i="22"/>
  <c r="Q88" i="22"/>
  <c r="Q89" i="22"/>
  <c r="Q90" i="22"/>
  <c r="Q91" i="22"/>
  <c r="Q92" i="22"/>
  <c r="Q93" i="22"/>
  <c r="Q94" i="22"/>
  <c r="Q95" i="22"/>
  <c r="Q96" i="22"/>
  <c r="Q97" i="22"/>
  <c r="Q98" i="22"/>
  <c r="Q99" i="22"/>
  <c r="Q100" i="22"/>
  <c r="Q101" i="22"/>
  <c r="Q102" i="22"/>
  <c r="Q103" i="22"/>
  <c r="Q104" i="22"/>
  <c r="Q105" i="22"/>
  <c r="Q106" i="22"/>
  <c r="Q107" i="22"/>
  <c r="Q108" i="22"/>
  <c r="Q109" i="22"/>
  <c r="Q110" i="22"/>
  <c r="Q111" i="22"/>
  <c r="Q112" i="22"/>
  <c r="Q113" i="22"/>
  <c r="Q114" i="22"/>
  <c r="Q115" i="22"/>
  <c r="Q116" i="22"/>
  <c r="Q117" i="22"/>
  <c r="Q118" i="22"/>
  <c r="Q119" i="22"/>
  <c r="Q120" i="22"/>
  <c r="Q121" i="22"/>
  <c r="Q122" i="22"/>
  <c r="Q123" i="22"/>
  <c r="Q124" i="22"/>
  <c r="Q125" i="22"/>
  <c r="Q126" i="22"/>
  <c r="Q127" i="22"/>
  <c r="Q128" i="22"/>
  <c r="Q129" i="22"/>
  <c r="Q130" i="22"/>
  <c r="Q131" i="22"/>
  <c r="Q132" i="22"/>
  <c r="Q133" i="22"/>
  <c r="Q134" i="22"/>
  <c r="Q135" i="22"/>
  <c r="Q136" i="22"/>
  <c r="Q137" i="22"/>
  <c r="Q138" i="22"/>
  <c r="Q139" i="22"/>
  <c r="Q140" i="22"/>
  <c r="Q141" i="22"/>
  <c r="Q142" i="22"/>
  <c r="Q143" i="22"/>
  <c r="Q144" i="22"/>
  <c r="Q145" i="22"/>
  <c r="Q146" i="22"/>
  <c r="Q147" i="22"/>
  <c r="Q148" i="22"/>
  <c r="Q149" i="22"/>
  <c r="Q150" i="22"/>
  <c r="Q151" i="22"/>
  <c r="Q152" i="22"/>
  <c r="Q153" i="22"/>
  <c r="O69" i="20"/>
  <c r="P69" i="20"/>
  <c r="Q69" i="20"/>
  <c r="O70" i="20"/>
  <c r="P70" i="20"/>
  <c r="Q70" i="20"/>
  <c r="O71" i="20"/>
  <c r="P71" i="20"/>
  <c r="Q71" i="20"/>
  <c r="O72" i="20"/>
  <c r="P72" i="20"/>
  <c r="Q72" i="20"/>
  <c r="O73" i="20"/>
  <c r="P73" i="20"/>
  <c r="Q73" i="20"/>
  <c r="O74" i="20"/>
  <c r="P74" i="20"/>
  <c r="Q74" i="20"/>
  <c r="O75" i="20"/>
  <c r="P75" i="20"/>
  <c r="Q75" i="20"/>
  <c r="O76" i="20"/>
  <c r="P76" i="20"/>
  <c r="Q76" i="20"/>
  <c r="O77" i="20"/>
  <c r="P77" i="20"/>
  <c r="Q77" i="20"/>
  <c r="O78" i="20"/>
  <c r="P78" i="20"/>
  <c r="Q78" i="20"/>
  <c r="O79" i="20"/>
  <c r="P79" i="20"/>
  <c r="Q79" i="20"/>
  <c r="O80" i="20"/>
  <c r="P80" i="20"/>
  <c r="Q80" i="20"/>
  <c r="O81" i="20"/>
  <c r="P81" i="20"/>
  <c r="Q81" i="20"/>
  <c r="O82" i="20"/>
  <c r="P82" i="20"/>
  <c r="Q82" i="20"/>
  <c r="O83" i="20"/>
  <c r="P83" i="20"/>
  <c r="Q83" i="20"/>
  <c r="O84" i="20"/>
  <c r="P84" i="20"/>
  <c r="Q84" i="20"/>
  <c r="O85" i="20"/>
  <c r="P85" i="20"/>
  <c r="Q85" i="20"/>
  <c r="O86" i="20"/>
  <c r="P86" i="20"/>
  <c r="Q86" i="20"/>
  <c r="O87" i="20"/>
  <c r="P87" i="20"/>
  <c r="Q87" i="20"/>
  <c r="O88" i="20"/>
  <c r="P88" i="20"/>
  <c r="Q88" i="20"/>
  <c r="O89" i="20"/>
  <c r="P89" i="20"/>
  <c r="Q89" i="20"/>
  <c r="O90" i="20"/>
  <c r="P90" i="20"/>
  <c r="Q90" i="20"/>
  <c r="O91" i="20"/>
  <c r="P91" i="20"/>
  <c r="Q91" i="20"/>
  <c r="O92" i="20"/>
  <c r="P92" i="20"/>
  <c r="Q92" i="20"/>
  <c r="O93" i="20"/>
  <c r="P93" i="20"/>
  <c r="Q93" i="20"/>
  <c r="O94" i="20"/>
  <c r="P94" i="20"/>
  <c r="Q94" i="20"/>
  <c r="O95" i="20"/>
  <c r="P95" i="20"/>
  <c r="Q95" i="20"/>
  <c r="O96" i="20"/>
  <c r="P96" i="20"/>
  <c r="Q96" i="20"/>
  <c r="O97" i="20"/>
  <c r="P97" i="20"/>
  <c r="Q97" i="20"/>
  <c r="O98" i="20"/>
  <c r="P98" i="20"/>
  <c r="Q98" i="20"/>
  <c r="O99" i="20"/>
  <c r="P99" i="20"/>
  <c r="Q99" i="20"/>
  <c r="O100" i="20"/>
  <c r="P100" i="20"/>
  <c r="Q100" i="20"/>
  <c r="O101" i="20"/>
  <c r="P101" i="20"/>
  <c r="Q101" i="20"/>
  <c r="O102" i="20"/>
  <c r="P102" i="20"/>
  <c r="Q102" i="20"/>
  <c r="O103" i="20"/>
  <c r="P103" i="20"/>
  <c r="Q103" i="20"/>
  <c r="O104" i="20"/>
  <c r="P104" i="20"/>
  <c r="Q104" i="20"/>
  <c r="O105" i="20"/>
  <c r="P105" i="20"/>
  <c r="Q105" i="20"/>
  <c r="O106" i="20"/>
  <c r="P106" i="20"/>
  <c r="Q106" i="20"/>
  <c r="O107" i="20"/>
  <c r="P107" i="20"/>
  <c r="Q107" i="20"/>
  <c r="O108" i="20"/>
  <c r="P108" i="20"/>
  <c r="Q108" i="20"/>
  <c r="O109" i="20"/>
  <c r="P109" i="20"/>
  <c r="Q109" i="20"/>
  <c r="O110" i="20"/>
  <c r="P110" i="20"/>
  <c r="Q110" i="20"/>
  <c r="O111" i="20"/>
  <c r="P111" i="20"/>
  <c r="Q111" i="20"/>
  <c r="O112" i="20"/>
  <c r="P112" i="20"/>
  <c r="Q112" i="20"/>
  <c r="O113" i="20"/>
  <c r="P113" i="20"/>
  <c r="Q113" i="20"/>
  <c r="O114" i="20"/>
  <c r="P114" i="20"/>
  <c r="Q114" i="20"/>
  <c r="O115" i="20"/>
  <c r="P115" i="20"/>
  <c r="Q115" i="20"/>
  <c r="O116" i="20"/>
  <c r="P116" i="20"/>
  <c r="Q116" i="20"/>
  <c r="O117" i="20"/>
  <c r="P117" i="20"/>
  <c r="Q117" i="20"/>
  <c r="O118" i="20"/>
  <c r="P118" i="20"/>
  <c r="Q118" i="20"/>
  <c r="O119" i="20"/>
  <c r="P119" i="20"/>
  <c r="Q119" i="20"/>
  <c r="O120" i="20"/>
  <c r="P120" i="20"/>
  <c r="Q120" i="20"/>
  <c r="O121" i="20"/>
  <c r="P121" i="20"/>
  <c r="Q121" i="20"/>
  <c r="O122" i="20"/>
  <c r="P122" i="20"/>
  <c r="Q122" i="20"/>
  <c r="O123" i="20"/>
  <c r="P123" i="20"/>
  <c r="Q123" i="20"/>
  <c r="O124" i="20"/>
  <c r="P124" i="20"/>
  <c r="Q124" i="20"/>
  <c r="O125" i="20"/>
  <c r="P125" i="20"/>
  <c r="Q125" i="20"/>
  <c r="O126" i="20"/>
  <c r="P126" i="20"/>
  <c r="Q126" i="20"/>
  <c r="O127" i="20"/>
  <c r="P127" i="20"/>
  <c r="Q127" i="20"/>
  <c r="O128" i="20"/>
  <c r="P128" i="20"/>
  <c r="Q128" i="20"/>
  <c r="O129" i="20"/>
  <c r="P129" i="20"/>
  <c r="Q129" i="20"/>
  <c r="O130" i="20"/>
  <c r="P130" i="20"/>
  <c r="Q130" i="20"/>
  <c r="O131" i="20"/>
  <c r="P131" i="20"/>
  <c r="Q131" i="20"/>
  <c r="O132" i="20"/>
  <c r="P132" i="20"/>
  <c r="Q132" i="20"/>
  <c r="O133" i="20"/>
  <c r="P133" i="20"/>
  <c r="Q133" i="20"/>
  <c r="O134" i="20"/>
  <c r="P134" i="20"/>
  <c r="Q134" i="20"/>
  <c r="O135" i="20"/>
  <c r="P135" i="20"/>
  <c r="Q135" i="20"/>
  <c r="O136" i="20"/>
  <c r="P136" i="20"/>
  <c r="Q136" i="20"/>
  <c r="O137" i="20"/>
  <c r="P137" i="20"/>
  <c r="Q137" i="20"/>
  <c r="O138" i="20"/>
  <c r="P138" i="20"/>
  <c r="Q138" i="20"/>
  <c r="O139" i="20"/>
  <c r="P139" i="20"/>
  <c r="Q139" i="20"/>
  <c r="O140" i="20"/>
  <c r="P140" i="20"/>
  <c r="Q140" i="20"/>
  <c r="O141" i="20"/>
  <c r="P141" i="20"/>
  <c r="Q141" i="20"/>
  <c r="O142" i="20"/>
  <c r="P142" i="20"/>
  <c r="Q142" i="20"/>
  <c r="O143" i="20"/>
  <c r="P143" i="20"/>
  <c r="Q143" i="20"/>
  <c r="O144" i="20"/>
  <c r="P144" i="20"/>
  <c r="Q144" i="20"/>
  <c r="O145" i="20"/>
  <c r="P145" i="20"/>
  <c r="Q145" i="20"/>
  <c r="O146" i="20"/>
  <c r="P146" i="20"/>
  <c r="Q146" i="20"/>
  <c r="O147" i="20"/>
  <c r="P147" i="20"/>
  <c r="Q147" i="20"/>
  <c r="O148" i="20"/>
  <c r="P148" i="20"/>
  <c r="Q148" i="20"/>
  <c r="O149" i="20"/>
  <c r="P149" i="20"/>
  <c r="Q149" i="20"/>
  <c r="O150" i="20"/>
  <c r="P150" i="20"/>
  <c r="Q150" i="20"/>
  <c r="O151" i="20"/>
  <c r="P151" i="20"/>
  <c r="Q151" i="20"/>
  <c r="O152" i="20"/>
  <c r="P152" i="20"/>
  <c r="Q152" i="20"/>
  <c r="O153" i="20"/>
  <c r="P153" i="20"/>
  <c r="Q153" i="20"/>
  <c r="O52" i="18"/>
  <c r="P52" i="18"/>
  <c r="Q52" i="18"/>
  <c r="O53" i="18"/>
  <c r="P53" i="18"/>
  <c r="Q53" i="18"/>
  <c r="O54" i="18"/>
  <c r="P54" i="18"/>
  <c r="Q54" i="18"/>
  <c r="O55" i="18"/>
  <c r="P55" i="18"/>
  <c r="Q55" i="18"/>
  <c r="O56" i="18"/>
  <c r="P56" i="18"/>
  <c r="Q56" i="18"/>
  <c r="O57" i="18"/>
  <c r="P57" i="18"/>
  <c r="Q57" i="18"/>
  <c r="O58" i="18"/>
  <c r="P58" i="18"/>
  <c r="Q58" i="18"/>
  <c r="O59" i="18"/>
  <c r="P59" i="18"/>
  <c r="Q59" i="18"/>
  <c r="O60" i="18"/>
  <c r="P60" i="18"/>
  <c r="Q60" i="18"/>
  <c r="O61" i="18"/>
  <c r="P61" i="18"/>
  <c r="Q61" i="18"/>
  <c r="O62" i="18"/>
  <c r="P62" i="18"/>
  <c r="Q62" i="18"/>
  <c r="O63" i="18"/>
  <c r="P63" i="18"/>
  <c r="Q63" i="18"/>
  <c r="O64" i="18"/>
  <c r="P64" i="18"/>
  <c r="Q64" i="18"/>
  <c r="O65" i="18"/>
  <c r="P65" i="18"/>
  <c r="Q65" i="18"/>
  <c r="O66" i="18"/>
  <c r="P66" i="18"/>
  <c r="Q66" i="18"/>
  <c r="O67" i="18"/>
  <c r="P67" i="18"/>
  <c r="Q67" i="18"/>
  <c r="O68" i="18"/>
  <c r="P68" i="18"/>
  <c r="Q68" i="18"/>
  <c r="O69" i="18"/>
  <c r="P69" i="18"/>
  <c r="Q69" i="18"/>
  <c r="O70" i="18"/>
  <c r="P70" i="18"/>
  <c r="Q70" i="18"/>
  <c r="O71" i="18"/>
  <c r="P71" i="18"/>
  <c r="Q71" i="18"/>
  <c r="O72" i="18"/>
  <c r="P72" i="18"/>
  <c r="Q72" i="18"/>
  <c r="O73" i="18"/>
  <c r="P73" i="18"/>
  <c r="Q73" i="18"/>
  <c r="O74" i="18"/>
  <c r="P74" i="18"/>
  <c r="Q74" i="18"/>
  <c r="O75" i="18"/>
  <c r="P75" i="18"/>
  <c r="Q75" i="18"/>
  <c r="O76" i="18"/>
  <c r="P76" i="18"/>
  <c r="Q76" i="18"/>
  <c r="O77" i="18"/>
  <c r="P77" i="18"/>
  <c r="Q77" i="18"/>
  <c r="O78" i="18"/>
  <c r="P78" i="18"/>
  <c r="Q78" i="18"/>
  <c r="O79" i="18"/>
  <c r="P79" i="18"/>
  <c r="Q79" i="18"/>
  <c r="O80" i="18"/>
  <c r="P80" i="18"/>
  <c r="Q80" i="18"/>
  <c r="O81" i="18"/>
  <c r="P81" i="18"/>
  <c r="Q81" i="18"/>
  <c r="O82" i="18"/>
  <c r="P82" i="18"/>
  <c r="Q82" i="18"/>
  <c r="O83" i="18"/>
  <c r="P83" i="18"/>
  <c r="Q83" i="18"/>
  <c r="O84" i="18"/>
  <c r="P84" i="18"/>
  <c r="Q84" i="18"/>
  <c r="O85" i="18"/>
  <c r="P85" i="18"/>
  <c r="Q85" i="18"/>
  <c r="O86" i="18"/>
  <c r="P86" i="18"/>
  <c r="Q86" i="18"/>
  <c r="O87" i="18"/>
  <c r="P87" i="18"/>
  <c r="Q87" i="18"/>
  <c r="O88" i="18"/>
  <c r="P88" i="18"/>
  <c r="Q88" i="18"/>
  <c r="O89" i="18"/>
  <c r="P89" i="18"/>
  <c r="Q89" i="18"/>
  <c r="O90" i="18"/>
  <c r="P90" i="18"/>
  <c r="Q90" i="18"/>
  <c r="O91" i="18"/>
  <c r="P91" i="18"/>
  <c r="Q91" i="18"/>
  <c r="O92" i="18"/>
  <c r="P92" i="18"/>
  <c r="Q92" i="18"/>
  <c r="O93" i="18"/>
  <c r="P93" i="18"/>
  <c r="Q93" i="18"/>
  <c r="O94" i="18"/>
  <c r="P94" i="18"/>
  <c r="Q94" i="18"/>
  <c r="O95" i="18"/>
  <c r="P95" i="18"/>
  <c r="Q95" i="18"/>
  <c r="O96" i="18"/>
  <c r="P96" i="18"/>
  <c r="Q96" i="18"/>
  <c r="O97" i="18"/>
  <c r="P97" i="18"/>
  <c r="Q97" i="18"/>
  <c r="O98" i="18"/>
  <c r="P98" i="18"/>
  <c r="Q98" i="18"/>
  <c r="O99" i="18"/>
  <c r="P99" i="18"/>
  <c r="Q99" i="18"/>
  <c r="O100" i="18"/>
  <c r="P100" i="18"/>
  <c r="Q100" i="18"/>
  <c r="O101" i="18"/>
  <c r="P101" i="18"/>
  <c r="Q101" i="18"/>
  <c r="O102" i="18"/>
  <c r="P102" i="18"/>
  <c r="Q102" i="18"/>
  <c r="O103" i="18"/>
  <c r="P103" i="18"/>
  <c r="Q103" i="18"/>
  <c r="O104" i="18"/>
  <c r="P104" i="18"/>
  <c r="Q104" i="18"/>
  <c r="O105" i="18"/>
  <c r="P105" i="18"/>
  <c r="Q105" i="18"/>
  <c r="O106" i="18"/>
  <c r="P106" i="18"/>
  <c r="Q106" i="18"/>
  <c r="O107" i="18"/>
  <c r="P107" i="18"/>
  <c r="Q107" i="18"/>
  <c r="O108" i="18"/>
  <c r="P108" i="18"/>
  <c r="Q108" i="18"/>
  <c r="O109" i="18"/>
  <c r="P109" i="18"/>
  <c r="Q109" i="18"/>
  <c r="O110" i="18"/>
  <c r="P110" i="18"/>
  <c r="Q110" i="18"/>
  <c r="O111" i="18"/>
  <c r="P111" i="18"/>
  <c r="Q111" i="18"/>
  <c r="O112" i="18"/>
  <c r="P112" i="18"/>
  <c r="Q112" i="18"/>
  <c r="O113" i="18"/>
  <c r="P113" i="18"/>
  <c r="Q113" i="18"/>
  <c r="O114" i="18"/>
  <c r="P114" i="18"/>
  <c r="Q114" i="18"/>
  <c r="O115" i="18"/>
  <c r="P115" i="18"/>
  <c r="Q115" i="18"/>
  <c r="O116" i="18"/>
  <c r="P116" i="18"/>
  <c r="Q116" i="18"/>
  <c r="O117" i="18"/>
  <c r="P117" i="18"/>
  <c r="Q117" i="18"/>
  <c r="O118" i="18"/>
  <c r="P118" i="18"/>
  <c r="Q118" i="18"/>
  <c r="O119" i="18"/>
  <c r="P119" i="18"/>
  <c r="Q119" i="18"/>
  <c r="O120" i="18"/>
  <c r="P120" i="18"/>
  <c r="Q120" i="18"/>
  <c r="O121" i="18"/>
  <c r="P121" i="18"/>
  <c r="Q121" i="18"/>
  <c r="O122" i="18"/>
  <c r="P122" i="18"/>
  <c r="Q122" i="18"/>
  <c r="O123" i="18"/>
  <c r="P123" i="18"/>
  <c r="Q123" i="18"/>
  <c r="O124" i="18"/>
  <c r="P124" i="18"/>
  <c r="Q124" i="18"/>
  <c r="O125" i="18"/>
  <c r="P125" i="18"/>
  <c r="Q125" i="18"/>
  <c r="O126" i="18"/>
  <c r="P126" i="18"/>
  <c r="Q126" i="18"/>
  <c r="O127" i="18"/>
  <c r="P127" i="18"/>
  <c r="Q127" i="18"/>
  <c r="O128" i="18"/>
  <c r="P128" i="18"/>
  <c r="Q128" i="18"/>
  <c r="O129" i="18"/>
  <c r="P129" i="18"/>
  <c r="Q129" i="18"/>
  <c r="O130" i="18"/>
  <c r="P130" i="18"/>
  <c r="Q130" i="18"/>
  <c r="O131" i="18"/>
  <c r="P131" i="18"/>
  <c r="Q131" i="18"/>
  <c r="O132" i="18"/>
  <c r="P132" i="18"/>
  <c r="Q132" i="18"/>
  <c r="O133" i="18"/>
  <c r="P133" i="18"/>
  <c r="Q133" i="18"/>
  <c r="O134" i="18"/>
  <c r="P134" i="18"/>
  <c r="Q134" i="18"/>
  <c r="O135" i="18"/>
  <c r="P135" i="18"/>
  <c r="Q135" i="18"/>
  <c r="O136" i="18"/>
  <c r="P136" i="18"/>
  <c r="Q136" i="18"/>
  <c r="O137" i="18"/>
  <c r="P137" i="18"/>
  <c r="Q137" i="18"/>
  <c r="O138" i="18"/>
  <c r="P138" i="18"/>
  <c r="Q138" i="18"/>
  <c r="O139" i="18"/>
  <c r="P139" i="18"/>
  <c r="Q139" i="18"/>
  <c r="O140" i="18"/>
  <c r="P140" i="18"/>
  <c r="Q140" i="18"/>
  <c r="O141" i="18"/>
  <c r="P141" i="18"/>
  <c r="Q141" i="18"/>
  <c r="O142" i="18"/>
  <c r="P142" i="18"/>
  <c r="Q142" i="18"/>
  <c r="O143" i="18"/>
  <c r="P143" i="18"/>
  <c r="Q143" i="18"/>
  <c r="O144" i="18"/>
  <c r="P144" i="18"/>
  <c r="Q144" i="18"/>
  <c r="O145" i="18"/>
  <c r="P145" i="18"/>
  <c r="Q145" i="18"/>
  <c r="O146" i="18"/>
  <c r="P146" i="18"/>
  <c r="Q146" i="18"/>
  <c r="O147" i="18"/>
  <c r="P147" i="18"/>
  <c r="Q147" i="18"/>
  <c r="O148" i="18"/>
  <c r="P148" i="18"/>
  <c r="Q148" i="18"/>
  <c r="O149" i="18"/>
  <c r="P149" i="18"/>
  <c r="Q149" i="18"/>
  <c r="O150" i="18"/>
  <c r="P150" i="18"/>
  <c r="Q150" i="18"/>
  <c r="O151" i="18"/>
  <c r="P151" i="18"/>
  <c r="Q151" i="18"/>
  <c r="O152" i="18"/>
  <c r="P152" i="18"/>
  <c r="Q152" i="18"/>
  <c r="O153" i="18"/>
  <c r="P153" i="18"/>
  <c r="Q153" i="18"/>
  <c r="O61" i="16"/>
  <c r="P61" i="16"/>
  <c r="Q61" i="16"/>
  <c r="O62" i="16"/>
  <c r="P62" i="16"/>
  <c r="Q62" i="16"/>
  <c r="O63" i="16"/>
  <c r="P63" i="16"/>
  <c r="Q63" i="16"/>
  <c r="O64" i="16"/>
  <c r="P64" i="16"/>
  <c r="Q64" i="16"/>
  <c r="O65" i="16"/>
  <c r="P65" i="16"/>
  <c r="Q65" i="16"/>
  <c r="O66" i="16"/>
  <c r="P66" i="16"/>
  <c r="Q66" i="16"/>
  <c r="O67" i="16"/>
  <c r="P67" i="16"/>
  <c r="Q67" i="16"/>
  <c r="O68" i="16"/>
  <c r="P68" i="16"/>
  <c r="Q68" i="16"/>
  <c r="O69" i="16"/>
  <c r="P69" i="16"/>
  <c r="Q69" i="16"/>
  <c r="O70" i="16"/>
  <c r="P70" i="16"/>
  <c r="Q70" i="16"/>
  <c r="O71" i="16"/>
  <c r="P71" i="16"/>
  <c r="Q71" i="16"/>
  <c r="O72" i="16"/>
  <c r="P72" i="16"/>
  <c r="Q72" i="16"/>
  <c r="O73" i="16"/>
  <c r="P73" i="16"/>
  <c r="Q73" i="16"/>
  <c r="O74" i="16"/>
  <c r="P74" i="16"/>
  <c r="Q74" i="16"/>
  <c r="O75" i="16"/>
  <c r="P75" i="16"/>
  <c r="Q75" i="16"/>
  <c r="O76" i="16"/>
  <c r="P76" i="16"/>
  <c r="Q76" i="16"/>
  <c r="O77" i="16"/>
  <c r="P77" i="16"/>
  <c r="Q77" i="16"/>
  <c r="O78" i="16"/>
  <c r="P78" i="16"/>
  <c r="Q78" i="16"/>
  <c r="O79" i="16"/>
  <c r="P79" i="16"/>
  <c r="Q79" i="16"/>
  <c r="O80" i="16"/>
  <c r="P80" i="16"/>
  <c r="Q80" i="16"/>
  <c r="O81" i="16"/>
  <c r="P81" i="16"/>
  <c r="Q81" i="16"/>
  <c r="O82" i="16"/>
  <c r="P82" i="16"/>
  <c r="Q82" i="16"/>
  <c r="O83" i="16"/>
  <c r="P83" i="16"/>
  <c r="Q83" i="16"/>
  <c r="O84" i="16"/>
  <c r="P84" i="16"/>
  <c r="Q84" i="16"/>
  <c r="O85" i="16"/>
  <c r="P85" i="16"/>
  <c r="Q85" i="16"/>
  <c r="O86" i="16"/>
  <c r="P86" i="16"/>
  <c r="Q86" i="16"/>
  <c r="O87" i="16"/>
  <c r="P87" i="16"/>
  <c r="Q87" i="16"/>
  <c r="O88" i="16"/>
  <c r="P88" i="16"/>
  <c r="Q88" i="16"/>
  <c r="O89" i="16"/>
  <c r="P89" i="16"/>
  <c r="Q89" i="16"/>
  <c r="O90" i="16"/>
  <c r="P90" i="16"/>
  <c r="Q90" i="16"/>
  <c r="O91" i="16"/>
  <c r="P91" i="16"/>
  <c r="Q91" i="16"/>
  <c r="O92" i="16"/>
  <c r="P92" i="16"/>
  <c r="Q92" i="16"/>
  <c r="O93" i="16"/>
  <c r="P93" i="16"/>
  <c r="Q93" i="16"/>
  <c r="O94" i="16"/>
  <c r="P94" i="16"/>
  <c r="Q94" i="16"/>
  <c r="O95" i="16"/>
  <c r="P95" i="16"/>
  <c r="Q95" i="16"/>
  <c r="O96" i="16"/>
  <c r="P96" i="16"/>
  <c r="Q96" i="16"/>
  <c r="O97" i="16"/>
  <c r="P97" i="16"/>
  <c r="Q97" i="16"/>
  <c r="O98" i="16"/>
  <c r="P98" i="16"/>
  <c r="Q98" i="16"/>
  <c r="O99" i="16"/>
  <c r="P99" i="16"/>
  <c r="Q99" i="16"/>
  <c r="O100" i="16"/>
  <c r="P100" i="16"/>
  <c r="Q100" i="16"/>
  <c r="O101" i="16"/>
  <c r="P101" i="16"/>
  <c r="Q101" i="16"/>
  <c r="O102" i="16"/>
  <c r="P102" i="16"/>
  <c r="Q102" i="16"/>
  <c r="O103" i="16"/>
  <c r="P103" i="16"/>
  <c r="Q103" i="16"/>
  <c r="O104" i="16"/>
  <c r="P104" i="16"/>
  <c r="Q104" i="16"/>
  <c r="O105" i="16"/>
  <c r="P105" i="16"/>
  <c r="Q105" i="16"/>
  <c r="O106" i="16"/>
  <c r="P106" i="16"/>
  <c r="Q106" i="16"/>
  <c r="O107" i="16"/>
  <c r="P107" i="16"/>
  <c r="Q107" i="16"/>
  <c r="O108" i="16"/>
  <c r="P108" i="16"/>
  <c r="Q108" i="16"/>
  <c r="O109" i="16"/>
  <c r="P109" i="16"/>
  <c r="Q109" i="16"/>
  <c r="O110" i="16"/>
  <c r="P110" i="16"/>
  <c r="Q110" i="16"/>
  <c r="O111" i="16"/>
  <c r="P111" i="16"/>
  <c r="Q111" i="16"/>
  <c r="O112" i="16"/>
  <c r="P112" i="16"/>
  <c r="Q112" i="16"/>
  <c r="O113" i="16"/>
  <c r="P113" i="16"/>
  <c r="Q113" i="16"/>
  <c r="O114" i="16"/>
  <c r="P114" i="16"/>
  <c r="Q114" i="16"/>
  <c r="O115" i="16"/>
  <c r="P115" i="16"/>
  <c r="Q115" i="16"/>
  <c r="O116" i="16"/>
  <c r="P116" i="16"/>
  <c r="Q116" i="16"/>
  <c r="O117" i="16"/>
  <c r="P117" i="16"/>
  <c r="Q117" i="16"/>
  <c r="O118" i="16"/>
  <c r="P118" i="16"/>
  <c r="Q118" i="16"/>
  <c r="O119" i="16"/>
  <c r="P119" i="16"/>
  <c r="Q119" i="16"/>
  <c r="O120" i="16"/>
  <c r="P120" i="16"/>
  <c r="Q120" i="16"/>
  <c r="O121" i="16"/>
  <c r="P121" i="16"/>
  <c r="Q121" i="16"/>
  <c r="O122" i="16"/>
  <c r="P122" i="16"/>
  <c r="Q122" i="16"/>
  <c r="O123" i="16"/>
  <c r="P123" i="16"/>
  <c r="Q123" i="16"/>
  <c r="O124" i="16"/>
  <c r="P124" i="16"/>
  <c r="Q124" i="16"/>
  <c r="O125" i="16"/>
  <c r="P125" i="16"/>
  <c r="Q125" i="16"/>
  <c r="O126" i="16"/>
  <c r="P126" i="16"/>
  <c r="Q126" i="16"/>
  <c r="O127" i="16"/>
  <c r="P127" i="16"/>
  <c r="Q127" i="16"/>
  <c r="O128" i="16"/>
  <c r="P128" i="16"/>
  <c r="Q128" i="16"/>
  <c r="O129" i="16"/>
  <c r="P129" i="16"/>
  <c r="Q129" i="16"/>
  <c r="O130" i="16"/>
  <c r="P130" i="16"/>
  <c r="Q130" i="16"/>
  <c r="O131" i="16"/>
  <c r="P131" i="16"/>
  <c r="Q131" i="16"/>
  <c r="O132" i="16"/>
  <c r="P132" i="16"/>
  <c r="Q132" i="16"/>
  <c r="O133" i="16"/>
  <c r="P133" i="16"/>
  <c r="Q133" i="16"/>
  <c r="O134" i="16"/>
  <c r="P134" i="16"/>
  <c r="Q134" i="16"/>
  <c r="O135" i="16"/>
  <c r="P135" i="16"/>
  <c r="Q135" i="16"/>
  <c r="O136" i="16"/>
  <c r="P136" i="16"/>
  <c r="Q136" i="16"/>
  <c r="O137" i="16"/>
  <c r="P137" i="16"/>
  <c r="Q137" i="16"/>
  <c r="O138" i="16"/>
  <c r="P138" i="16"/>
  <c r="Q138" i="16"/>
  <c r="O139" i="16"/>
  <c r="P139" i="16"/>
  <c r="Q139" i="16"/>
  <c r="O140" i="16"/>
  <c r="P140" i="16"/>
  <c r="Q140" i="16"/>
  <c r="O141" i="16"/>
  <c r="P141" i="16"/>
  <c r="Q141" i="16"/>
  <c r="O142" i="16"/>
  <c r="P142" i="16"/>
  <c r="Q142" i="16"/>
  <c r="O143" i="16"/>
  <c r="P143" i="16"/>
  <c r="Q143" i="16"/>
  <c r="O144" i="16"/>
  <c r="P144" i="16"/>
  <c r="Q144" i="16"/>
  <c r="O145" i="16"/>
  <c r="P145" i="16"/>
  <c r="Q145" i="16"/>
  <c r="O146" i="16"/>
  <c r="P146" i="16"/>
  <c r="Q146" i="16"/>
  <c r="O147" i="16"/>
  <c r="P147" i="16"/>
  <c r="Q147" i="16"/>
  <c r="O148" i="16"/>
  <c r="P148" i="16"/>
  <c r="Q148" i="16"/>
  <c r="O149" i="16"/>
  <c r="P149" i="16"/>
  <c r="Q149" i="16"/>
  <c r="O150" i="16"/>
  <c r="P150" i="16"/>
  <c r="Q150" i="16"/>
  <c r="O151" i="16"/>
  <c r="P151" i="16"/>
  <c r="Q151" i="16"/>
  <c r="O152" i="16"/>
  <c r="P152" i="16"/>
  <c r="Q152" i="16"/>
  <c r="O153" i="16"/>
  <c r="P153" i="16"/>
  <c r="Q153" i="16"/>
  <c r="K25" i="24"/>
  <c r="K26" i="24"/>
  <c r="K27" i="24"/>
  <c r="K28" i="24"/>
  <c r="K29" i="24"/>
  <c r="K30" i="24"/>
  <c r="K31" i="24"/>
  <c r="K34" i="18"/>
  <c r="L34" i="18"/>
  <c r="O41" i="18" s="1"/>
  <c r="R24" i="18"/>
  <c r="R48" i="18" s="1"/>
  <c r="S34" i="18"/>
  <c r="T34" i="18"/>
  <c r="U34" i="18"/>
  <c r="K33" i="22"/>
  <c r="K34" i="22"/>
  <c r="K35" i="22"/>
  <c r="K36" i="22"/>
  <c r="K37" i="22"/>
  <c r="K38" i="22"/>
  <c r="K39" i="22"/>
  <c r="K39" i="20"/>
  <c r="K40" i="20"/>
  <c r="K41" i="20"/>
  <c r="K42" i="20"/>
  <c r="K43" i="20"/>
  <c r="K44" i="20"/>
  <c r="K45" i="20"/>
  <c r="K46" i="20"/>
  <c r="K47" i="20"/>
  <c r="K32" i="18"/>
  <c r="K33" i="18"/>
  <c r="K35" i="18"/>
  <c r="K36" i="18"/>
  <c r="K37" i="18"/>
  <c r="K38" i="18"/>
  <c r="K39" i="18"/>
  <c r="K40" i="18"/>
  <c r="K41" i="18"/>
  <c r="K42" i="18"/>
  <c r="K41" i="16"/>
  <c r="K42" i="16"/>
  <c r="K43" i="16"/>
  <c r="K44" i="16"/>
  <c r="K45" i="16"/>
  <c r="K46" i="16"/>
  <c r="K47" i="16"/>
  <c r="K48" i="16"/>
  <c r="K49" i="16"/>
  <c r="K50" i="16"/>
  <c r="K51" i="16"/>
  <c r="K50" i="11"/>
  <c r="K51" i="11"/>
  <c r="K52" i="11"/>
  <c r="K40" i="14"/>
  <c r="K41" i="14"/>
  <c r="K42" i="14"/>
  <c r="K58" i="9"/>
  <c r="K59" i="9"/>
  <c r="K60" i="9"/>
  <c r="K40" i="7"/>
  <c r="K16" i="28"/>
  <c r="W7" i="28"/>
  <c r="Y2" i="28"/>
  <c r="L16" i="28"/>
  <c r="M16" i="28"/>
  <c r="N16" i="28"/>
  <c r="R16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L22" i="28"/>
  <c r="O32" i="28" s="1"/>
  <c r="M22" i="28"/>
  <c r="P37" i="28" s="1"/>
  <c r="N22" i="28"/>
  <c r="Q33" i="28" s="1"/>
  <c r="R22" i="28"/>
  <c r="S22" i="28"/>
  <c r="T22" i="28"/>
  <c r="U22" i="28"/>
  <c r="N23" i="28"/>
  <c r="R23" i="28"/>
  <c r="S23" i="28"/>
  <c r="T23" i="28"/>
  <c r="U23" i="28"/>
  <c r="V23" i="28"/>
  <c r="W23" i="28"/>
  <c r="X23" i="28"/>
  <c r="N24" i="28"/>
  <c r="R24" i="28"/>
  <c r="S24" i="28"/>
  <c r="T24" i="28"/>
  <c r="U24" i="28"/>
  <c r="V24" i="28"/>
  <c r="W24" i="28"/>
  <c r="X24" i="28"/>
  <c r="N25" i="28"/>
  <c r="R25" i="28"/>
  <c r="S25" i="28"/>
  <c r="T25" i="28"/>
  <c r="U25" i="28"/>
  <c r="V25" i="28"/>
  <c r="W25" i="28"/>
  <c r="X25" i="28"/>
  <c r="N26" i="28"/>
  <c r="R26" i="28"/>
  <c r="S26" i="28"/>
  <c r="T26" i="28"/>
  <c r="U26" i="28"/>
  <c r="V26" i="28"/>
  <c r="W26" i="28"/>
  <c r="X26" i="28"/>
  <c r="N27" i="28"/>
  <c r="R27" i="28"/>
  <c r="S27" i="28"/>
  <c r="T27" i="28"/>
  <c r="U27" i="28"/>
  <c r="V27" i="28"/>
  <c r="W27" i="28"/>
  <c r="X27" i="28"/>
  <c r="N28" i="28"/>
  <c r="R28" i="28"/>
  <c r="S28" i="28"/>
  <c r="T28" i="28"/>
  <c r="U28" i="28"/>
  <c r="V28" i="28"/>
  <c r="W28" i="28"/>
  <c r="X28" i="28"/>
  <c r="N29" i="28"/>
  <c r="R29" i="28"/>
  <c r="S29" i="28"/>
  <c r="T29" i="28"/>
  <c r="U29" i="28"/>
  <c r="V29" i="28"/>
  <c r="W29" i="28"/>
  <c r="X29" i="28"/>
  <c r="N30" i="28"/>
  <c r="R30" i="28"/>
  <c r="S30" i="28"/>
  <c r="T30" i="28"/>
  <c r="U30" i="28"/>
  <c r="V30" i="28"/>
  <c r="W30" i="28"/>
  <c r="X30" i="28"/>
  <c r="N31" i="28"/>
  <c r="R31" i="28"/>
  <c r="S31" i="28"/>
  <c r="T31" i="28"/>
  <c r="U31" i="28"/>
  <c r="V31" i="28"/>
  <c r="W31" i="28"/>
  <c r="X31" i="28"/>
  <c r="N32" i="28"/>
  <c r="R32" i="28"/>
  <c r="S32" i="28"/>
  <c r="T32" i="28"/>
  <c r="U32" i="28"/>
  <c r="V32" i="28"/>
  <c r="W32" i="28"/>
  <c r="X32" i="28"/>
  <c r="N33" i="28"/>
  <c r="R33" i="28"/>
  <c r="S33" i="28"/>
  <c r="T33" i="28"/>
  <c r="U33" i="28"/>
  <c r="V33" i="28"/>
  <c r="W33" i="28"/>
  <c r="X33" i="28"/>
  <c r="N34" i="28"/>
  <c r="R34" i="28"/>
  <c r="S34" i="28"/>
  <c r="T34" i="28"/>
  <c r="U34" i="28"/>
  <c r="V34" i="28"/>
  <c r="W34" i="28"/>
  <c r="X34" i="28"/>
  <c r="N35" i="28"/>
  <c r="R35" i="28"/>
  <c r="S35" i="28"/>
  <c r="T35" i="28"/>
  <c r="U35" i="28"/>
  <c r="V35" i="28"/>
  <c r="W35" i="28"/>
  <c r="X35" i="28"/>
  <c r="R36" i="28"/>
  <c r="V36" i="28"/>
  <c r="W36" i="28"/>
  <c r="X36" i="28"/>
  <c r="N37" i="28"/>
  <c r="R37" i="28"/>
  <c r="S37" i="28"/>
  <c r="T37" i="28"/>
  <c r="U37" i="28"/>
  <c r="V37" i="28"/>
  <c r="W37" i="28"/>
  <c r="X37" i="28"/>
  <c r="N38" i="28"/>
  <c r="R38" i="28"/>
  <c r="S38" i="28"/>
  <c r="T38" i="28"/>
  <c r="U38" i="28"/>
  <c r="V38" i="28"/>
  <c r="W38" i="28"/>
  <c r="X38" i="28"/>
  <c r="N39" i="28"/>
  <c r="R39" i="28"/>
  <c r="S39" i="28"/>
  <c r="T39" i="28"/>
  <c r="U39" i="28"/>
  <c r="V39" i="28"/>
  <c r="W39" i="28"/>
  <c r="X39" i="28"/>
  <c r="N40" i="28"/>
  <c r="R40" i="28"/>
  <c r="S40" i="28"/>
  <c r="T40" i="28"/>
  <c r="U40" i="28"/>
  <c r="V40" i="28"/>
  <c r="W40" i="28"/>
  <c r="X40" i="28"/>
  <c r="N41" i="28"/>
  <c r="R41" i="28"/>
  <c r="S41" i="28"/>
  <c r="T41" i="28"/>
  <c r="U41" i="28"/>
  <c r="V41" i="28"/>
  <c r="W41" i="28"/>
  <c r="X41" i="28"/>
  <c r="N42" i="28"/>
  <c r="R42" i="28"/>
  <c r="S42" i="28"/>
  <c r="T42" i="28"/>
  <c r="U42" i="28"/>
  <c r="V42" i="28"/>
  <c r="W42" i="28"/>
  <c r="X42" i="28"/>
  <c r="N43" i="28"/>
  <c r="R43" i="28"/>
  <c r="S43" i="28"/>
  <c r="T43" i="28"/>
  <c r="U43" i="28"/>
  <c r="V43" i="28"/>
  <c r="W43" i="28"/>
  <c r="X43" i="28"/>
  <c r="N44" i="28"/>
  <c r="R44" i="28"/>
  <c r="S44" i="28"/>
  <c r="T44" i="28"/>
  <c r="U44" i="28"/>
  <c r="V44" i="28"/>
  <c r="W44" i="28"/>
  <c r="X44" i="28"/>
  <c r="N45" i="28"/>
  <c r="R45" i="28"/>
  <c r="S45" i="28"/>
  <c r="T45" i="28"/>
  <c r="U45" i="28"/>
  <c r="V45" i="28"/>
  <c r="W45" i="28"/>
  <c r="X45" i="28"/>
  <c r="N46" i="28"/>
  <c r="R46" i="28"/>
  <c r="S46" i="28"/>
  <c r="T46" i="28"/>
  <c r="U46" i="28"/>
  <c r="V46" i="28"/>
  <c r="W46" i="28"/>
  <c r="X46" i="28"/>
  <c r="N47" i="28"/>
  <c r="R47" i="28"/>
  <c r="S47" i="28"/>
  <c r="T47" i="28"/>
  <c r="U47" i="28"/>
  <c r="V47" i="28"/>
  <c r="W47" i="28"/>
  <c r="X47" i="28"/>
  <c r="N48" i="28"/>
  <c r="R48" i="28"/>
  <c r="S48" i="28"/>
  <c r="T48" i="28"/>
  <c r="U48" i="28"/>
  <c r="V48" i="28"/>
  <c r="W48" i="28"/>
  <c r="X48" i="28"/>
  <c r="N49" i="28"/>
  <c r="R49" i="28"/>
  <c r="S49" i="28"/>
  <c r="T49" i="28"/>
  <c r="U49" i="28"/>
  <c r="V49" i="28"/>
  <c r="W49" i="28"/>
  <c r="X49" i="28"/>
  <c r="N50" i="28"/>
  <c r="R50" i="28"/>
  <c r="S50" i="28"/>
  <c r="T50" i="28"/>
  <c r="U50" i="28"/>
  <c r="V50" i="28"/>
  <c r="W50" i="28"/>
  <c r="X50" i="28"/>
  <c r="N51" i="28"/>
  <c r="R51" i="28"/>
  <c r="S51" i="28"/>
  <c r="T51" i="28"/>
  <c r="U51" i="28"/>
  <c r="V51" i="28"/>
  <c r="W51" i="28"/>
  <c r="X51" i="28"/>
  <c r="N52" i="28"/>
  <c r="R52" i="28"/>
  <c r="S52" i="28"/>
  <c r="T52" i="28"/>
  <c r="U52" i="28"/>
  <c r="V52" i="28"/>
  <c r="W52" i="28"/>
  <c r="X52" i="28"/>
  <c r="N53" i="28"/>
  <c r="R53" i="28"/>
  <c r="S53" i="28"/>
  <c r="T53" i="28"/>
  <c r="U53" i="28"/>
  <c r="V53" i="28"/>
  <c r="W53" i="28"/>
  <c r="X53" i="28"/>
  <c r="N54" i="28"/>
  <c r="R54" i="28"/>
  <c r="S54" i="28"/>
  <c r="T54" i="28"/>
  <c r="U54" i="28"/>
  <c r="V54" i="28"/>
  <c r="W54" i="28"/>
  <c r="X54" i="28"/>
  <c r="N55" i="28"/>
  <c r="R55" i="28"/>
  <c r="S55" i="28"/>
  <c r="T55" i="28"/>
  <c r="U55" i="28"/>
  <c r="V55" i="28"/>
  <c r="W55" i="28"/>
  <c r="X55" i="28"/>
  <c r="N56" i="28"/>
  <c r="R56" i="28"/>
  <c r="S56" i="28"/>
  <c r="T56" i="28"/>
  <c r="U56" i="28"/>
  <c r="V56" i="28"/>
  <c r="W56" i="28"/>
  <c r="X56" i="28"/>
  <c r="N57" i="28"/>
  <c r="R57" i="28"/>
  <c r="S57" i="28"/>
  <c r="T57" i="28"/>
  <c r="U57" i="28"/>
  <c r="V57" i="28"/>
  <c r="W57" i="28"/>
  <c r="X57" i="28"/>
  <c r="N58" i="28"/>
  <c r="R58" i="28"/>
  <c r="S58" i="28"/>
  <c r="T58" i="28"/>
  <c r="U58" i="28"/>
  <c r="V58" i="28"/>
  <c r="W58" i="28"/>
  <c r="X58" i="28"/>
  <c r="N59" i="28"/>
  <c r="R59" i="28"/>
  <c r="S59" i="28"/>
  <c r="T59" i="28"/>
  <c r="U59" i="28"/>
  <c r="V59" i="28"/>
  <c r="W59" i="28"/>
  <c r="X59" i="28"/>
  <c r="N60" i="28"/>
  <c r="R60" i="28"/>
  <c r="S60" i="28"/>
  <c r="T60" i="28"/>
  <c r="U60" i="28"/>
  <c r="V60" i="28"/>
  <c r="W60" i="28"/>
  <c r="X60" i="28"/>
  <c r="N61" i="28"/>
  <c r="R61" i="28"/>
  <c r="S61" i="28"/>
  <c r="T61" i="28"/>
  <c r="U61" i="28"/>
  <c r="V61" i="28"/>
  <c r="W61" i="28"/>
  <c r="X61" i="28"/>
  <c r="N62" i="28"/>
  <c r="R62" i="28"/>
  <c r="S62" i="28"/>
  <c r="T62" i="28"/>
  <c r="U62" i="28"/>
  <c r="V62" i="28"/>
  <c r="W62" i="28"/>
  <c r="X62" i="28"/>
  <c r="N63" i="28"/>
  <c r="R63" i="28"/>
  <c r="S63" i="28"/>
  <c r="T63" i="28"/>
  <c r="U63" i="28"/>
  <c r="V63" i="28"/>
  <c r="W63" i="28"/>
  <c r="X63" i="28"/>
  <c r="N64" i="28"/>
  <c r="R64" i="28"/>
  <c r="S64" i="28"/>
  <c r="T64" i="28"/>
  <c r="U64" i="28"/>
  <c r="V64" i="28"/>
  <c r="W64" i="28"/>
  <c r="X64" i="28"/>
  <c r="N65" i="28"/>
  <c r="R65" i="28"/>
  <c r="S65" i="28"/>
  <c r="T65" i="28"/>
  <c r="U65" i="28"/>
  <c r="V65" i="28"/>
  <c r="W65" i="28"/>
  <c r="X65" i="28"/>
  <c r="N66" i="28"/>
  <c r="R66" i="28"/>
  <c r="S66" i="28"/>
  <c r="T66" i="28"/>
  <c r="U66" i="28"/>
  <c r="V66" i="28"/>
  <c r="W66" i="28"/>
  <c r="X66" i="28"/>
  <c r="N67" i="28"/>
  <c r="R67" i="28"/>
  <c r="S67" i="28"/>
  <c r="T67" i="28"/>
  <c r="U67" i="28"/>
  <c r="V67" i="28"/>
  <c r="W67" i="28"/>
  <c r="X67" i="28"/>
  <c r="N68" i="28"/>
  <c r="R68" i="28"/>
  <c r="S68" i="28"/>
  <c r="T68" i="28"/>
  <c r="U68" i="28"/>
  <c r="V68" i="28"/>
  <c r="W68" i="28"/>
  <c r="X68" i="28"/>
  <c r="N69" i="28"/>
  <c r="R69" i="28"/>
  <c r="S69" i="28"/>
  <c r="T69" i="28"/>
  <c r="U69" i="28"/>
  <c r="V69" i="28"/>
  <c r="W69" i="28"/>
  <c r="X69" i="28"/>
  <c r="N70" i="28"/>
  <c r="R70" i="28"/>
  <c r="S70" i="28"/>
  <c r="T70" i="28"/>
  <c r="U70" i="28"/>
  <c r="V70" i="28"/>
  <c r="W70" i="28"/>
  <c r="X70" i="28"/>
  <c r="N71" i="28"/>
  <c r="R71" i="28"/>
  <c r="S71" i="28"/>
  <c r="T71" i="28"/>
  <c r="U71" i="28"/>
  <c r="V71" i="28"/>
  <c r="W71" i="28"/>
  <c r="X71" i="28"/>
  <c r="N72" i="28"/>
  <c r="R72" i="28"/>
  <c r="S72" i="28"/>
  <c r="T72" i="28"/>
  <c r="U72" i="28"/>
  <c r="V72" i="28"/>
  <c r="W72" i="28"/>
  <c r="X72" i="28"/>
  <c r="N73" i="28"/>
  <c r="R73" i="28"/>
  <c r="S73" i="28"/>
  <c r="T73" i="28"/>
  <c r="U73" i="28"/>
  <c r="V73" i="28"/>
  <c r="W73" i="28"/>
  <c r="X73" i="28"/>
  <c r="N74" i="28"/>
  <c r="R74" i="28"/>
  <c r="S74" i="28"/>
  <c r="T74" i="28"/>
  <c r="U74" i="28"/>
  <c r="V74" i="28"/>
  <c r="W74" i="28"/>
  <c r="X74" i="28"/>
  <c r="N75" i="28"/>
  <c r="R75" i="28"/>
  <c r="S75" i="28"/>
  <c r="T75" i="28"/>
  <c r="U75" i="28"/>
  <c r="V75" i="28"/>
  <c r="W75" i="28"/>
  <c r="X75" i="28"/>
  <c r="N76" i="28"/>
  <c r="R76" i="28"/>
  <c r="S76" i="28"/>
  <c r="T76" i="28"/>
  <c r="U76" i="28"/>
  <c r="V76" i="28"/>
  <c r="W76" i="28"/>
  <c r="X76" i="28"/>
  <c r="N77" i="28"/>
  <c r="R77" i="28"/>
  <c r="S77" i="28"/>
  <c r="T77" i="28"/>
  <c r="U77" i="28"/>
  <c r="V77" i="28"/>
  <c r="W77" i="28"/>
  <c r="X77" i="28"/>
  <c r="N78" i="28"/>
  <c r="R78" i="28"/>
  <c r="S78" i="28"/>
  <c r="T78" i="28"/>
  <c r="U78" i="28"/>
  <c r="V78" i="28"/>
  <c r="W78" i="28"/>
  <c r="X78" i="28"/>
  <c r="N79" i="28"/>
  <c r="R79" i="28"/>
  <c r="S79" i="28"/>
  <c r="T79" i="28"/>
  <c r="U79" i="28"/>
  <c r="V79" i="28"/>
  <c r="W79" i="28"/>
  <c r="X79" i="28"/>
  <c r="N80" i="28"/>
  <c r="R80" i="28"/>
  <c r="S80" i="28"/>
  <c r="T80" i="28"/>
  <c r="U80" i="28"/>
  <c r="V80" i="28"/>
  <c r="W80" i="28"/>
  <c r="X80" i="28"/>
  <c r="N81" i="28"/>
  <c r="R81" i="28"/>
  <c r="S81" i="28"/>
  <c r="T81" i="28"/>
  <c r="U81" i="28"/>
  <c r="V81" i="28"/>
  <c r="W81" i="28"/>
  <c r="X81" i="28"/>
  <c r="N82" i="28"/>
  <c r="R82" i="28"/>
  <c r="S82" i="28"/>
  <c r="T82" i="28"/>
  <c r="U82" i="28"/>
  <c r="V82" i="28"/>
  <c r="W82" i="28"/>
  <c r="X82" i="28"/>
  <c r="N83" i="28"/>
  <c r="R83" i="28"/>
  <c r="S83" i="28"/>
  <c r="T83" i="28"/>
  <c r="U83" i="28"/>
  <c r="V83" i="28"/>
  <c r="W83" i="28"/>
  <c r="X83" i="28"/>
  <c r="N84" i="28"/>
  <c r="R84" i="28"/>
  <c r="S84" i="28"/>
  <c r="T84" i="28"/>
  <c r="U84" i="28"/>
  <c r="V84" i="28"/>
  <c r="W84" i="28"/>
  <c r="X84" i="28"/>
  <c r="N85" i="28"/>
  <c r="R85" i="28"/>
  <c r="S85" i="28"/>
  <c r="T85" i="28"/>
  <c r="U85" i="28"/>
  <c r="V85" i="28"/>
  <c r="W85" i="28"/>
  <c r="X85" i="28"/>
  <c r="N86" i="28"/>
  <c r="R86" i="28"/>
  <c r="S86" i="28"/>
  <c r="T86" i="28"/>
  <c r="U86" i="28"/>
  <c r="V86" i="28"/>
  <c r="W86" i="28"/>
  <c r="X86" i="28"/>
  <c r="N87" i="28"/>
  <c r="R87" i="28"/>
  <c r="S87" i="28"/>
  <c r="T87" i="28"/>
  <c r="U87" i="28"/>
  <c r="V87" i="28"/>
  <c r="W87" i="28"/>
  <c r="X87" i="28"/>
  <c r="N88" i="28"/>
  <c r="R88" i="28"/>
  <c r="S88" i="28"/>
  <c r="T88" i="28"/>
  <c r="U88" i="28"/>
  <c r="V88" i="28"/>
  <c r="W88" i="28"/>
  <c r="X88" i="28"/>
  <c r="N89" i="28"/>
  <c r="R89" i="28"/>
  <c r="S89" i="28"/>
  <c r="T89" i="28"/>
  <c r="U89" i="28"/>
  <c r="V89" i="28"/>
  <c r="W89" i="28"/>
  <c r="X89" i="28"/>
  <c r="N90" i="28"/>
  <c r="R90" i="28"/>
  <c r="S90" i="28"/>
  <c r="T90" i="28"/>
  <c r="U90" i="28"/>
  <c r="V90" i="28"/>
  <c r="W90" i="28"/>
  <c r="X90" i="28"/>
  <c r="N91" i="28"/>
  <c r="R91" i="28"/>
  <c r="S91" i="28"/>
  <c r="T91" i="28"/>
  <c r="U91" i="28"/>
  <c r="V91" i="28"/>
  <c r="W91" i="28"/>
  <c r="X91" i="28"/>
  <c r="N92" i="28"/>
  <c r="R92" i="28"/>
  <c r="S92" i="28"/>
  <c r="T92" i="28"/>
  <c r="U92" i="28"/>
  <c r="V92" i="28"/>
  <c r="W92" i="28"/>
  <c r="X92" i="28"/>
  <c r="N93" i="28"/>
  <c r="R93" i="28"/>
  <c r="S93" i="28"/>
  <c r="T93" i="28"/>
  <c r="U93" i="28"/>
  <c r="V93" i="28"/>
  <c r="W93" i="28"/>
  <c r="X93" i="28"/>
  <c r="N94" i="28"/>
  <c r="R94" i="28"/>
  <c r="S94" i="28"/>
  <c r="T94" i="28"/>
  <c r="U94" i="28"/>
  <c r="V94" i="28"/>
  <c r="W94" i="28"/>
  <c r="X94" i="28"/>
  <c r="N95" i="28"/>
  <c r="R95" i="28"/>
  <c r="S95" i="28"/>
  <c r="T95" i="28"/>
  <c r="U95" i="28"/>
  <c r="V95" i="28"/>
  <c r="W95" i="28"/>
  <c r="X95" i="28"/>
  <c r="N96" i="28"/>
  <c r="R96" i="28"/>
  <c r="S96" i="28"/>
  <c r="T96" i="28"/>
  <c r="U96" i="28"/>
  <c r="V96" i="28"/>
  <c r="W96" i="28"/>
  <c r="X96" i="28"/>
  <c r="N97" i="28"/>
  <c r="R97" i="28"/>
  <c r="S97" i="28"/>
  <c r="T97" i="28"/>
  <c r="U97" i="28"/>
  <c r="V97" i="28"/>
  <c r="W97" i="28"/>
  <c r="X97" i="28"/>
  <c r="N98" i="28"/>
  <c r="R98" i="28"/>
  <c r="S98" i="28"/>
  <c r="T98" i="28"/>
  <c r="U98" i="28"/>
  <c r="V98" i="28"/>
  <c r="W98" i="28"/>
  <c r="X98" i="28"/>
  <c r="N99" i="28"/>
  <c r="R99" i="28"/>
  <c r="S99" i="28"/>
  <c r="T99" i="28"/>
  <c r="U99" i="28"/>
  <c r="V99" i="28"/>
  <c r="W99" i="28"/>
  <c r="X99" i="28"/>
  <c r="N100" i="28"/>
  <c r="R100" i="28"/>
  <c r="S100" i="28"/>
  <c r="T100" i="28"/>
  <c r="U100" i="28"/>
  <c r="V100" i="28"/>
  <c r="W100" i="28"/>
  <c r="X100" i="28"/>
  <c r="N101" i="28"/>
  <c r="R101" i="28"/>
  <c r="S101" i="28"/>
  <c r="T101" i="28"/>
  <c r="U101" i="28"/>
  <c r="V101" i="28"/>
  <c r="W101" i="28"/>
  <c r="X101" i="28"/>
  <c r="N102" i="28"/>
  <c r="R102" i="28"/>
  <c r="S102" i="28"/>
  <c r="T102" i="28"/>
  <c r="U102" i="28"/>
  <c r="V102" i="28"/>
  <c r="W102" i="28"/>
  <c r="X102" i="28"/>
  <c r="N103" i="28"/>
  <c r="R103" i="28"/>
  <c r="S103" i="28"/>
  <c r="T103" i="28"/>
  <c r="U103" i="28"/>
  <c r="V103" i="28"/>
  <c r="W103" i="28"/>
  <c r="X103" i="28"/>
  <c r="N104" i="28"/>
  <c r="R104" i="28"/>
  <c r="S104" i="28"/>
  <c r="T104" i="28"/>
  <c r="U104" i="28"/>
  <c r="V104" i="28"/>
  <c r="W104" i="28"/>
  <c r="X104" i="28"/>
  <c r="N105" i="28"/>
  <c r="R105" i="28"/>
  <c r="S105" i="28"/>
  <c r="T105" i="28"/>
  <c r="U105" i="28"/>
  <c r="V105" i="28"/>
  <c r="W105" i="28"/>
  <c r="X105" i="28"/>
  <c r="N106" i="28"/>
  <c r="R106" i="28"/>
  <c r="S106" i="28"/>
  <c r="T106" i="28"/>
  <c r="U106" i="28"/>
  <c r="V106" i="28"/>
  <c r="W106" i="28"/>
  <c r="X106" i="28"/>
  <c r="N107" i="28"/>
  <c r="R107" i="28"/>
  <c r="S107" i="28"/>
  <c r="T107" i="28"/>
  <c r="U107" i="28"/>
  <c r="V107" i="28"/>
  <c r="W107" i="28"/>
  <c r="X107" i="28"/>
  <c r="N108" i="28"/>
  <c r="R108" i="28"/>
  <c r="S108" i="28"/>
  <c r="T108" i="28"/>
  <c r="U108" i="28"/>
  <c r="V108" i="28"/>
  <c r="W108" i="28"/>
  <c r="X108" i="28"/>
  <c r="N109" i="28"/>
  <c r="R109" i="28"/>
  <c r="S109" i="28"/>
  <c r="T109" i="28"/>
  <c r="U109" i="28"/>
  <c r="V109" i="28"/>
  <c r="W109" i="28"/>
  <c r="X109" i="28"/>
  <c r="N110" i="28"/>
  <c r="R110" i="28"/>
  <c r="S110" i="28"/>
  <c r="T110" i="28"/>
  <c r="U110" i="28"/>
  <c r="V110" i="28"/>
  <c r="W110" i="28"/>
  <c r="X110" i="28"/>
  <c r="N111" i="28"/>
  <c r="R111" i="28"/>
  <c r="S111" i="28"/>
  <c r="T111" i="28"/>
  <c r="U111" i="28"/>
  <c r="V111" i="28"/>
  <c r="W111" i="28"/>
  <c r="X111" i="28"/>
  <c r="N112" i="28"/>
  <c r="R112" i="28"/>
  <c r="S112" i="28"/>
  <c r="T112" i="28"/>
  <c r="U112" i="28"/>
  <c r="V112" i="28"/>
  <c r="W112" i="28"/>
  <c r="X112" i="28"/>
  <c r="N113" i="28"/>
  <c r="R113" i="28"/>
  <c r="S113" i="28"/>
  <c r="T113" i="28"/>
  <c r="U113" i="28"/>
  <c r="V113" i="28"/>
  <c r="W113" i="28"/>
  <c r="X113" i="28"/>
  <c r="N114" i="28"/>
  <c r="R114" i="28"/>
  <c r="S114" i="28"/>
  <c r="T114" i="28"/>
  <c r="U114" i="28"/>
  <c r="V114" i="28"/>
  <c r="W114" i="28"/>
  <c r="X114" i="28"/>
  <c r="N115" i="28"/>
  <c r="R115" i="28"/>
  <c r="S115" i="28"/>
  <c r="T115" i="28"/>
  <c r="U115" i="28"/>
  <c r="V115" i="28"/>
  <c r="W115" i="28"/>
  <c r="X115" i="28"/>
  <c r="N116" i="28"/>
  <c r="R116" i="28"/>
  <c r="S116" i="28"/>
  <c r="T116" i="28"/>
  <c r="U116" i="28"/>
  <c r="V116" i="28"/>
  <c r="W116" i="28"/>
  <c r="X116" i="28"/>
  <c r="N117" i="28"/>
  <c r="R117" i="28"/>
  <c r="S117" i="28"/>
  <c r="T117" i="28"/>
  <c r="U117" i="28"/>
  <c r="V117" i="28"/>
  <c r="W117" i="28"/>
  <c r="X117" i="28"/>
  <c r="N118" i="28"/>
  <c r="R118" i="28"/>
  <c r="S118" i="28"/>
  <c r="T118" i="28"/>
  <c r="U118" i="28"/>
  <c r="V118" i="28"/>
  <c r="W118" i="28"/>
  <c r="X118" i="28"/>
  <c r="N119" i="28"/>
  <c r="R119" i="28"/>
  <c r="S119" i="28"/>
  <c r="T119" i="28"/>
  <c r="U119" i="28"/>
  <c r="V119" i="28"/>
  <c r="W119" i="28"/>
  <c r="X119" i="28"/>
  <c r="N120" i="28"/>
  <c r="R120" i="28"/>
  <c r="S120" i="28"/>
  <c r="T120" i="28"/>
  <c r="U120" i="28"/>
  <c r="V120" i="28"/>
  <c r="W120" i="28"/>
  <c r="X120" i="28"/>
  <c r="N121" i="28"/>
  <c r="R121" i="28"/>
  <c r="S121" i="28"/>
  <c r="T121" i="28"/>
  <c r="U121" i="28"/>
  <c r="V121" i="28"/>
  <c r="W121" i="28"/>
  <c r="X121" i="28"/>
  <c r="N122" i="28"/>
  <c r="R122" i="28"/>
  <c r="S122" i="28"/>
  <c r="T122" i="28"/>
  <c r="U122" i="28"/>
  <c r="V122" i="28"/>
  <c r="W122" i="28"/>
  <c r="X122" i="28"/>
  <c r="N123" i="28"/>
  <c r="R123" i="28"/>
  <c r="S123" i="28"/>
  <c r="T123" i="28"/>
  <c r="U123" i="28"/>
  <c r="V123" i="28"/>
  <c r="W123" i="28"/>
  <c r="X123" i="28"/>
  <c r="N124" i="28"/>
  <c r="R124" i="28"/>
  <c r="S124" i="28"/>
  <c r="T124" i="28"/>
  <c r="U124" i="28"/>
  <c r="V124" i="28"/>
  <c r="W124" i="28"/>
  <c r="X124" i="28"/>
  <c r="N125" i="28"/>
  <c r="R125" i="28"/>
  <c r="S125" i="28"/>
  <c r="T125" i="28"/>
  <c r="U125" i="28"/>
  <c r="V125" i="28"/>
  <c r="W125" i="28"/>
  <c r="X125" i="28"/>
  <c r="N126" i="28"/>
  <c r="R126" i="28"/>
  <c r="S126" i="28"/>
  <c r="T126" i="28"/>
  <c r="U126" i="28"/>
  <c r="V126" i="28"/>
  <c r="W126" i="28"/>
  <c r="X126" i="28"/>
  <c r="N127" i="28"/>
  <c r="R127" i="28"/>
  <c r="S127" i="28"/>
  <c r="T127" i="28"/>
  <c r="U127" i="28"/>
  <c r="V127" i="28"/>
  <c r="W127" i="28"/>
  <c r="X127" i="28"/>
  <c r="N128" i="28"/>
  <c r="R128" i="28"/>
  <c r="S128" i="28"/>
  <c r="T128" i="28"/>
  <c r="U128" i="28"/>
  <c r="V128" i="28"/>
  <c r="W128" i="28"/>
  <c r="X128" i="28"/>
  <c r="N129" i="28"/>
  <c r="R129" i="28"/>
  <c r="S129" i="28"/>
  <c r="T129" i="28"/>
  <c r="U129" i="28"/>
  <c r="V129" i="28"/>
  <c r="W129" i="28"/>
  <c r="X129" i="28"/>
  <c r="N130" i="28"/>
  <c r="R130" i="28"/>
  <c r="S130" i="28"/>
  <c r="T130" i="28"/>
  <c r="U130" i="28"/>
  <c r="V130" i="28"/>
  <c r="W130" i="28"/>
  <c r="X130" i="28"/>
  <c r="N131" i="28"/>
  <c r="R131" i="28"/>
  <c r="S131" i="28"/>
  <c r="T131" i="28"/>
  <c r="U131" i="28"/>
  <c r="V131" i="28"/>
  <c r="W131" i="28"/>
  <c r="X131" i="28"/>
  <c r="N132" i="28"/>
  <c r="R132" i="28"/>
  <c r="S132" i="28"/>
  <c r="T132" i="28"/>
  <c r="U132" i="28"/>
  <c r="V132" i="28"/>
  <c r="W132" i="28"/>
  <c r="X132" i="28"/>
  <c r="N133" i="28"/>
  <c r="R133" i="28"/>
  <c r="S133" i="28"/>
  <c r="T133" i="28"/>
  <c r="U133" i="28"/>
  <c r="V133" i="28"/>
  <c r="W133" i="28"/>
  <c r="X133" i="28"/>
  <c r="N134" i="28"/>
  <c r="R134" i="28"/>
  <c r="S134" i="28"/>
  <c r="T134" i="28"/>
  <c r="U134" i="28"/>
  <c r="V134" i="28"/>
  <c r="W134" i="28"/>
  <c r="X134" i="28"/>
  <c r="N135" i="28"/>
  <c r="R135" i="28"/>
  <c r="S135" i="28"/>
  <c r="T135" i="28"/>
  <c r="U135" i="28"/>
  <c r="V135" i="28"/>
  <c r="W135" i="28"/>
  <c r="X135" i="28"/>
  <c r="N136" i="28"/>
  <c r="R136" i="28"/>
  <c r="S136" i="28"/>
  <c r="T136" i="28"/>
  <c r="U136" i="28"/>
  <c r="V136" i="28"/>
  <c r="W136" i="28"/>
  <c r="X136" i="28"/>
  <c r="N137" i="28"/>
  <c r="R137" i="28"/>
  <c r="S137" i="28"/>
  <c r="T137" i="28"/>
  <c r="U137" i="28"/>
  <c r="V137" i="28"/>
  <c r="W137" i="28"/>
  <c r="X137" i="28"/>
  <c r="N138" i="28"/>
  <c r="R138" i="28"/>
  <c r="S138" i="28"/>
  <c r="T138" i="28"/>
  <c r="U138" i="28"/>
  <c r="V138" i="28"/>
  <c r="W138" i="28"/>
  <c r="X138" i="28"/>
  <c r="N139" i="28"/>
  <c r="R139" i="28"/>
  <c r="S139" i="28"/>
  <c r="T139" i="28"/>
  <c r="U139" i="28"/>
  <c r="V139" i="28"/>
  <c r="W139" i="28"/>
  <c r="X139" i="28"/>
  <c r="N140" i="28"/>
  <c r="R140" i="28"/>
  <c r="S140" i="28"/>
  <c r="T140" i="28"/>
  <c r="U140" i="28"/>
  <c r="V140" i="28"/>
  <c r="W140" i="28"/>
  <c r="X140" i="28"/>
  <c r="N141" i="28"/>
  <c r="R141" i="28"/>
  <c r="S141" i="28"/>
  <c r="T141" i="28"/>
  <c r="U141" i="28"/>
  <c r="V141" i="28"/>
  <c r="W141" i="28"/>
  <c r="X141" i="28"/>
  <c r="N142" i="28"/>
  <c r="R142" i="28"/>
  <c r="S142" i="28"/>
  <c r="T142" i="28"/>
  <c r="U142" i="28"/>
  <c r="V142" i="28"/>
  <c r="W142" i="28"/>
  <c r="X142" i="28"/>
  <c r="N143" i="28"/>
  <c r="R143" i="28"/>
  <c r="S143" i="28"/>
  <c r="T143" i="28"/>
  <c r="U143" i="28"/>
  <c r="V143" i="28"/>
  <c r="W143" i="28"/>
  <c r="X143" i="28"/>
  <c r="N144" i="28"/>
  <c r="R144" i="28"/>
  <c r="S144" i="28"/>
  <c r="T144" i="28"/>
  <c r="U144" i="28"/>
  <c r="V144" i="28"/>
  <c r="W144" i="28"/>
  <c r="X144" i="28"/>
  <c r="N145" i="28"/>
  <c r="R145" i="28"/>
  <c r="S145" i="28"/>
  <c r="T145" i="28"/>
  <c r="U145" i="28"/>
  <c r="V145" i="28"/>
  <c r="W145" i="28"/>
  <c r="X145" i="28"/>
  <c r="N146" i="28"/>
  <c r="R146" i="28"/>
  <c r="S146" i="28"/>
  <c r="T146" i="28"/>
  <c r="U146" i="28"/>
  <c r="V146" i="28"/>
  <c r="W146" i="28"/>
  <c r="X146" i="28"/>
  <c r="N147" i="28"/>
  <c r="R147" i="28"/>
  <c r="S147" i="28"/>
  <c r="T147" i="28"/>
  <c r="U147" i="28"/>
  <c r="V147" i="28"/>
  <c r="W147" i="28"/>
  <c r="X147" i="28"/>
  <c r="N148" i="28"/>
  <c r="R148" i="28"/>
  <c r="S148" i="28"/>
  <c r="T148" i="28"/>
  <c r="U148" i="28"/>
  <c r="V148" i="28"/>
  <c r="W148" i="28"/>
  <c r="X148" i="28"/>
  <c r="N149" i="28"/>
  <c r="R149" i="28"/>
  <c r="S149" i="28"/>
  <c r="T149" i="28"/>
  <c r="U149" i="28"/>
  <c r="V149" i="28"/>
  <c r="W149" i="28"/>
  <c r="X149" i="28"/>
  <c r="N150" i="28"/>
  <c r="R150" i="28"/>
  <c r="S150" i="28"/>
  <c r="T150" i="28"/>
  <c r="U150" i="28"/>
  <c r="V150" i="28"/>
  <c r="W150" i="28"/>
  <c r="X150" i="28"/>
  <c r="N151" i="28"/>
  <c r="R151" i="28"/>
  <c r="S151" i="28"/>
  <c r="T151" i="28"/>
  <c r="U151" i="28"/>
  <c r="V151" i="28"/>
  <c r="W151" i="28"/>
  <c r="X151" i="28"/>
  <c r="N152" i="28"/>
  <c r="R152" i="28"/>
  <c r="S152" i="28"/>
  <c r="T152" i="28"/>
  <c r="U152" i="28"/>
  <c r="V152" i="28"/>
  <c r="W152" i="28"/>
  <c r="X152" i="28"/>
  <c r="N153" i="28"/>
  <c r="R153" i="28"/>
  <c r="S153" i="28"/>
  <c r="T153" i="28"/>
  <c r="U153" i="28"/>
  <c r="V153" i="28"/>
  <c r="W153" i="28"/>
  <c r="X153" i="28"/>
  <c r="K31" i="18"/>
  <c r="K38" i="16"/>
  <c r="K39" i="16"/>
  <c r="K40" i="16"/>
  <c r="K37" i="14"/>
  <c r="K38" i="14"/>
  <c r="K39" i="14"/>
  <c r="K47" i="11"/>
  <c r="K48" i="11"/>
  <c r="K49" i="11"/>
  <c r="K55" i="9"/>
  <c r="K56" i="9"/>
  <c r="K57" i="9"/>
  <c r="K39" i="7"/>
  <c r="K36" i="16"/>
  <c r="K37" i="16"/>
  <c r="K35" i="14"/>
  <c r="K36" i="14"/>
  <c r="K45" i="11"/>
  <c r="K46" i="11"/>
  <c r="K53" i="9"/>
  <c r="K54" i="9"/>
  <c r="O52" i="14"/>
  <c r="P52" i="14"/>
  <c r="Q52" i="14"/>
  <c r="O53" i="14"/>
  <c r="P53" i="14"/>
  <c r="Q53" i="14"/>
  <c r="O54" i="14"/>
  <c r="P54" i="14"/>
  <c r="Q54" i="14"/>
  <c r="O55" i="14"/>
  <c r="P55" i="14"/>
  <c r="Q55" i="14"/>
  <c r="O56" i="14"/>
  <c r="P56" i="14"/>
  <c r="Q56" i="14"/>
  <c r="O57" i="14"/>
  <c r="P57" i="14"/>
  <c r="Q57" i="14"/>
  <c r="O58" i="14"/>
  <c r="P58" i="14"/>
  <c r="Q58" i="14"/>
  <c r="O59" i="14"/>
  <c r="P59" i="14"/>
  <c r="Q59" i="14"/>
  <c r="O60" i="14"/>
  <c r="P60" i="14"/>
  <c r="Q60" i="14"/>
  <c r="O61" i="14"/>
  <c r="P61" i="14"/>
  <c r="Q61" i="14"/>
  <c r="O62" i="14"/>
  <c r="P62" i="14"/>
  <c r="Q62" i="14"/>
  <c r="O63" i="14"/>
  <c r="P63" i="14"/>
  <c r="Q63" i="14"/>
  <c r="O64" i="14"/>
  <c r="P64" i="14"/>
  <c r="Q64" i="14"/>
  <c r="O65" i="14"/>
  <c r="P65" i="14"/>
  <c r="Q65" i="14"/>
  <c r="O66" i="14"/>
  <c r="P66" i="14"/>
  <c r="Q66" i="14"/>
  <c r="O67" i="14"/>
  <c r="P67" i="14"/>
  <c r="Q67" i="14"/>
  <c r="O68" i="14"/>
  <c r="P68" i="14"/>
  <c r="Q68" i="14"/>
  <c r="O69" i="14"/>
  <c r="P69" i="14"/>
  <c r="Q69" i="14"/>
  <c r="O70" i="14"/>
  <c r="P70" i="14"/>
  <c r="Q70" i="14"/>
  <c r="O71" i="14"/>
  <c r="P71" i="14"/>
  <c r="Q71" i="14"/>
  <c r="O72" i="14"/>
  <c r="P72" i="14"/>
  <c r="Q72" i="14"/>
  <c r="O73" i="14"/>
  <c r="P73" i="14"/>
  <c r="Q73" i="14"/>
  <c r="O74" i="14"/>
  <c r="P74" i="14"/>
  <c r="Q74" i="14"/>
  <c r="O75" i="14"/>
  <c r="P75" i="14"/>
  <c r="Q75" i="14"/>
  <c r="O76" i="14"/>
  <c r="P76" i="14"/>
  <c r="Q76" i="14"/>
  <c r="O77" i="14"/>
  <c r="P77" i="14"/>
  <c r="Q77" i="14"/>
  <c r="O78" i="14"/>
  <c r="P78" i="14"/>
  <c r="Q78" i="14"/>
  <c r="O79" i="14"/>
  <c r="P79" i="14"/>
  <c r="Q79" i="14"/>
  <c r="O80" i="14"/>
  <c r="P80" i="14"/>
  <c r="Q80" i="14"/>
  <c r="O81" i="14"/>
  <c r="P81" i="14"/>
  <c r="Q81" i="14"/>
  <c r="O82" i="14"/>
  <c r="P82" i="14"/>
  <c r="Q82" i="14"/>
  <c r="O83" i="14"/>
  <c r="P83" i="14"/>
  <c r="Q83" i="14"/>
  <c r="O84" i="14"/>
  <c r="P84" i="14"/>
  <c r="Q84" i="14"/>
  <c r="O85" i="14"/>
  <c r="P85" i="14"/>
  <c r="Q85" i="14"/>
  <c r="O86" i="14"/>
  <c r="P86" i="14"/>
  <c r="Q86" i="14"/>
  <c r="O87" i="14"/>
  <c r="P87" i="14"/>
  <c r="Q87" i="14"/>
  <c r="O88" i="14"/>
  <c r="P88" i="14"/>
  <c r="Q88" i="14"/>
  <c r="O89" i="14"/>
  <c r="P89" i="14"/>
  <c r="Q89" i="14"/>
  <c r="O90" i="14"/>
  <c r="P90" i="14"/>
  <c r="Q90" i="14"/>
  <c r="O91" i="14"/>
  <c r="P91" i="14"/>
  <c r="Q91" i="14"/>
  <c r="O92" i="14"/>
  <c r="P92" i="14"/>
  <c r="Q92" i="14"/>
  <c r="O93" i="14"/>
  <c r="P93" i="14"/>
  <c r="Q93" i="14"/>
  <c r="O94" i="14"/>
  <c r="P94" i="14"/>
  <c r="Q94" i="14"/>
  <c r="O95" i="14"/>
  <c r="P95" i="14"/>
  <c r="Q95" i="14"/>
  <c r="O96" i="14"/>
  <c r="P96" i="14"/>
  <c r="Q96" i="14"/>
  <c r="O97" i="14"/>
  <c r="P97" i="14"/>
  <c r="Q97" i="14"/>
  <c r="O98" i="14"/>
  <c r="P98" i="14"/>
  <c r="Q98" i="14"/>
  <c r="O99" i="14"/>
  <c r="P99" i="14"/>
  <c r="Q99" i="14"/>
  <c r="O100" i="14"/>
  <c r="P100" i="14"/>
  <c r="Q100" i="14"/>
  <c r="O101" i="14"/>
  <c r="P101" i="14"/>
  <c r="Q101" i="14"/>
  <c r="O102" i="14"/>
  <c r="P102" i="14"/>
  <c r="Q102" i="14"/>
  <c r="O103" i="14"/>
  <c r="P103" i="14"/>
  <c r="Q103" i="14"/>
  <c r="O104" i="14"/>
  <c r="P104" i="14"/>
  <c r="Q104" i="14"/>
  <c r="O105" i="14"/>
  <c r="P105" i="14"/>
  <c r="Q105" i="14"/>
  <c r="O106" i="14"/>
  <c r="P106" i="14"/>
  <c r="Q106" i="14"/>
  <c r="O107" i="14"/>
  <c r="P107" i="14"/>
  <c r="Q107" i="14"/>
  <c r="O108" i="14"/>
  <c r="P108" i="14"/>
  <c r="Q108" i="14"/>
  <c r="O109" i="14"/>
  <c r="P109" i="14"/>
  <c r="Q109" i="14"/>
  <c r="O110" i="14"/>
  <c r="P110" i="14"/>
  <c r="Q110" i="14"/>
  <c r="O111" i="14"/>
  <c r="P111" i="14"/>
  <c r="Q111" i="14"/>
  <c r="O112" i="14"/>
  <c r="P112" i="14"/>
  <c r="Q112" i="14"/>
  <c r="O113" i="14"/>
  <c r="P113" i="14"/>
  <c r="Q113" i="14"/>
  <c r="O114" i="14"/>
  <c r="P114" i="14"/>
  <c r="Q114" i="14"/>
  <c r="O115" i="14"/>
  <c r="P115" i="14"/>
  <c r="Q115" i="14"/>
  <c r="O116" i="14"/>
  <c r="P116" i="14"/>
  <c r="Q116" i="14"/>
  <c r="O117" i="14"/>
  <c r="P117" i="14"/>
  <c r="Q117" i="14"/>
  <c r="O118" i="14"/>
  <c r="P118" i="14"/>
  <c r="Q118" i="14"/>
  <c r="O119" i="14"/>
  <c r="P119" i="14"/>
  <c r="Q119" i="14"/>
  <c r="O120" i="14"/>
  <c r="P120" i="14"/>
  <c r="Q120" i="14"/>
  <c r="O121" i="14"/>
  <c r="P121" i="14"/>
  <c r="Q121" i="14"/>
  <c r="O122" i="14"/>
  <c r="P122" i="14"/>
  <c r="Q122" i="14"/>
  <c r="O123" i="14"/>
  <c r="P123" i="14"/>
  <c r="Q123" i="14"/>
  <c r="O124" i="14"/>
  <c r="P124" i="14"/>
  <c r="Q124" i="14"/>
  <c r="O125" i="14"/>
  <c r="P125" i="14"/>
  <c r="Q125" i="14"/>
  <c r="O126" i="14"/>
  <c r="P126" i="14"/>
  <c r="Q126" i="14"/>
  <c r="O127" i="14"/>
  <c r="P127" i="14"/>
  <c r="Q127" i="14"/>
  <c r="O128" i="14"/>
  <c r="P128" i="14"/>
  <c r="Q128" i="14"/>
  <c r="O129" i="14"/>
  <c r="P129" i="14"/>
  <c r="Q129" i="14"/>
  <c r="O130" i="14"/>
  <c r="P130" i="14"/>
  <c r="Q130" i="14"/>
  <c r="O131" i="14"/>
  <c r="P131" i="14"/>
  <c r="Q131" i="14"/>
  <c r="O132" i="14"/>
  <c r="P132" i="14"/>
  <c r="Q132" i="14"/>
  <c r="O133" i="14"/>
  <c r="P133" i="14"/>
  <c r="Q133" i="14"/>
  <c r="O134" i="14"/>
  <c r="P134" i="14"/>
  <c r="Q134" i="14"/>
  <c r="O135" i="14"/>
  <c r="P135" i="14"/>
  <c r="Q135" i="14"/>
  <c r="O136" i="14"/>
  <c r="P136" i="14"/>
  <c r="Q136" i="14"/>
  <c r="O137" i="14"/>
  <c r="P137" i="14"/>
  <c r="Q137" i="14"/>
  <c r="O138" i="14"/>
  <c r="P138" i="14"/>
  <c r="Q138" i="14"/>
  <c r="O139" i="14"/>
  <c r="P139" i="14"/>
  <c r="Q139" i="14"/>
  <c r="O140" i="14"/>
  <c r="P140" i="14"/>
  <c r="Q140" i="14"/>
  <c r="O141" i="14"/>
  <c r="P141" i="14"/>
  <c r="Q141" i="14"/>
  <c r="O142" i="14"/>
  <c r="P142" i="14"/>
  <c r="Q142" i="14"/>
  <c r="O143" i="14"/>
  <c r="P143" i="14"/>
  <c r="Q143" i="14"/>
  <c r="O144" i="14"/>
  <c r="P144" i="14"/>
  <c r="Q144" i="14"/>
  <c r="O145" i="14"/>
  <c r="P145" i="14"/>
  <c r="Q145" i="14"/>
  <c r="O146" i="14"/>
  <c r="P146" i="14"/>
  <c r="Q146" i="14"/>
  <c r="O147" i="14"/>
  <c r="P147" i="14"/>
  <c r="Q147" i="14"/>
  <c r="O148" i="14"/>
  <c r="P148" i="14"/>
  <c r="Q148" i="14"/>
  <c r="O149" i="14"/>
  <c r="P149" i="14"/>
  <c r="Q149" i="14"/>
  <c r="O150" i="14"/>
  <c r="P150" i="14"/>
  <c r="Q150" i="14"/>
  <c r="O151" i="14"/>
  <c r="P151" i="14"/>
  <c r="Q151" i="14"/>
  <c r="O152" i="14"/>
  <c r="P152" i="14"/>
  <c r="Q152" i="14"/>
  <c r="O153" i="14"/>
  <c r="P153" i="14"/>
  <c r="Q153" i="14"/>
  <c r="K24" i="24"/>
  <c r="K32" i="22"/>
  <c r="K38" i="20"/>
  <c r="K30" i="18"/>
  <c r="K35" i="16"/>
  <c r="K34" i="14"/>
  <c r="K44" i="11"/>
  <c r="K52" i="9"/>
  <c r="O62" i="11"/>
  <c r="P62" i="11"/>
  <c r="Q62" i="11"/>
  <c r="O63" i="11"/>
  <c r="P63" i="11"/>
  <c r="Q63" i="11"/>
  <c r="O64" i="11"/>
  <c r="P64" i="11"/>
  <c r="Q64" i="11"/>
  <c r="O65" i="11"/>
  <c r="P65" i="11"/>
  <c r="Q65" i="11"/>
  <c r="O66" i="11"/>
  <c r="P66" i="11"/>
  <c r="Q66" i="11"/>
  <c r="O67" i="11"/>
  <c r="P67" i="11"/>
  <c r="Q67" i="11"/>
  <c r="O68" i="11"/>
  <c r="P68" i="11"/>
  <c r="Q68" i="11"/>
  <c r="O69" i="11"/>
  <c r="P69" i="11"/>
  <c r="Q69" i="11"/>
  <c r="O70" i="11"/>
  <c r="P70" i="11"/>
  <c r="Q70" i="11"/>
  <c r="O71" i="11"/>
  <c r="P71" i="11"/>
  <c r="Q71" i="11"/>
  <c r="O72" i="11"/>
  <c r="P72" i="11"/>
  <c r="Q72" i="11"/>
  <c r="O73" i="11"/>
  <c r="P73" i="11"/>
  <c r="Q73" i="11"/>
  <c r="O74" i="11"/>
  <c r="P74" i="11"/>
  <c r="Q74" i="11"/>
  <c r="O75" i="11"/>
  <c r="P75" i="11"/>
  <c r="Q75" i="11"/>
  <c r="O76" i="11"/>
  <c r="P76" i="11"/>
  <c r="Q76" i="11"/>
  <c r="O77" i="11"/>
  <c r="P77" i="11"/>
  <c r="Q77" i="11"/>
  <c r="O78" i="11"/>
  <c r="P78" i="11"/>
  <c r="Q78" i="11"/>
  <c r="O79" i="11"/>
  <c r="P79" i="11"/>
  <c r="Q79" i="11"/>
  <c r="O80" i="11"/>
  <c r="P80" i="11"/>
  <c r="Q80" i="11"/>
  <c r="O81" i="11"/>
  <c r="P81" i="11"/>
  <c r="Q81" i="11"/>
  <c r="O82" i="11"/>
  <c r="P82" i="11"/>
  <c r="Q82" i="11"/>
  <c r="O83" i="11"/>
  <c r="P83" i="11"/>
  <c r="Q83" i="11"/>
  <c r="O84" i="11"/>
  <c r="P84" i="11"/>
  <c r="Q84" i="11"/>
  <c r="O85" i="11"/>
  <c r="P85" i="11"/>
  <c r="Q85" i="11"/>
  <c r="O86" i="11"/>
  <c r="P86" i="11"/>
  <c r="Q86" i="11"/>
  <c r="O87" i="11"/>
  <c r="P87" i="11"/>
  <c r="Q87" i="11"/>
  <c r="O88" i="11"/>
  <c r="P88" i="11"/>
  <c r="Q88" i="11"/>
  <c r="O89" i="11"/>
  <c r="P89" i="11"/>
  <c r="Q89" i="11"/>
  <c r="O90" i="11"/>
  <c r="P90" i="11"/>
  <c r="Q90" i="11"/>
  <c r="O91" i="11"/>
  <c r="P91" i="11"/>
  <c r="Q91" i="11"/>
  <c r="O92" i="11"/>
  <c r="P92" i="11"/>
  <c r="Q92" i="11"/>
  <c r="O93" i="11"/>
  <c r="P93" i="11"/>
  <c r="Q93" i="11"/>
  <c r="O94" i="11"/>
  <c r="P94" i="11"/>
  <c r="Q94" i="11"/>
  <c r="O95" i="11"/>
  <c r="P95" i="11"/>
  <c r="Q95" i="11"/>
  <c r="O96" i="11"/>
  <c r="P96" i="11"/>
  <c r="Q96" i="11"/>
  <c r="O97" i="11"/>
  <c r="P97" i="11"/>
  <c r="Q97" i="11"/>
  <c r="O98" i="11"/>
  <c r="P98" i="11"/>
  <c r="Q98" i="11"/>
  <c r="O99" i="11"/>
  <c r="P99" i="11"/>
  <c r="Q99" i="11"/>
  <c r="O100" i="11"/>
  <c r="P100" i="11"/>
  <c r="Q100" i="11"/>
  <c r="O101" i="11"/>
  <c r="P101" i="11"/>
  <c r="Q101" i="11"/>
  <c r="O102" i="11"/>
  <c r="P102" i="11"/>
  <c r="Q102" i="11"/>
  <c r="O103" i="11"/>
  <c r="P103" i="11"/>
  <c r="Q103" i="11"/>
  <c r="O104" i="11"/>
  <c r="P104" i="11"/>
  <c r="Q104" i="11"/>
  <c r="O105" i="11"/>
  <c r="P105" i="11"/>
  <c r="Q105" i="11"/>
  <c r="O106" i="11"/>
  <c r="P106" i="11"/>
  <c r="Q106" i="11"/>
  <c r="O107" i="11"/>
  <c r="P107" i="11"/>
  <c r="Q107" i="11"/>
  <c r="O108" i="11"/>
  <c r="P108" i="11"/>
  <c r="Q108" i="11"/>
  <c r="O109" i="11"/>
  <c r="P109" i="11"/>
  <c r="Q109" i="11"/>
  <c r="O110" i="11"/>
  <c r="P110" i="11"/>
  <c r="Q110" i="11"/>
  <c r="O111" i="11"/>
  <c r="P111" i="11"/>
  <c r="Q111" i="11"/>
  <c r="O112" i="11"/>
  <c r="P112" i="11"/>
  <c r="Q112" i="11"/>
  <c r="O113" i="11"/>
  <c r="P113" i="11"/>
  <c r="Q113" i="11"/>
  <c r="O114" i="11"/>
  <c r="P114" i="11"/>
  <c r="Q114" i="11"/>
  <c r="O115" i="11"/>
  <c r="P115" i="11"/>
  <c r="Q115" i="11"/>
  <c r="O116" i="11"/>
  <c r="P116" i="11"/>
  <c r="Q116" i="11"/>
  <c r="O117" i="11"/>
  <c r="P117" i="11"/>
  <c r="Q117" i="11"/>
  <c r="O118" i="11"/>
  <c r="P118" i="11"/>
  <c r="Q118" i="11"/>
  <c r="O119" i="11"/>
  <c r="P119" i="11"/>
  <c r="Q119" i="11"/>
  <c r="O120" i="11"/>
  <c r="P120" i="11"/>
  <c r="Q120" i="11"/>
  <c r="O121" i="11"/>
  <c r="P121" i="11"/>
  <c r="Q121" i="11"/>
  <c r="O122" i="11"/>
  <c r="P122" i="11"/>
  <c r="Q122" i="11"/>
  <c r="O123" i="11"/>
  <c r="P123" i="11"/>
  <c r="Q123" i="11"/>
  <c r="O124" i="11"/>
  <c r="P124" i="11"/>
  <c r="Q124" i="11"/>
  <c r="O125" i="11"/>
  <c r="P125" i="11"/>
  <c r="Q125" i="11"/>
  <c r="O126" i="11"/>
  <c r="P126" i="11"/>
  <c r="Q126" i="11"/>
  <c r="O127" i="11"/>
  <c r="P127" i="11"/>
  <c r="Q127" i="11"/>
  <c r="O128" i="11"/>
  <c r="P128" i="11"/>
  <c r="Q128" i="11"/>
  <c r="O129" i="11"/>
  <c r="P129" i="11"/>
  <c r="Q129" i="11"/>
  <c r="O130" i="11"/>
  <c r="P130" i="11"/>
  <c r="Q130" i="11"/>
  <c r="O131" i="11"/>
  <c r="P131" i="11"/>
  <c r="Q131" i="11"/>
  <c r="O132" i="11"/>
  <c r="P132" i="11"/>
  <c r="Q132" i="11"/>
  <c r="O133" i="11"/>
  <c r="P133" i="11"/>
  <c r="Q133" i="11"/>
  <c r="O134" i="11"/>
  <c r="P134" i="11"/>
  <c r="Q134" i="11"/>
  <c r="O135" i="11"/>
  <c r="P135" i="11"/>
  <c r="Q135" i="11"/>
  <c r="O136" i="11"/>
  <c r="P136" i="11"/>
  <c r="Q136" i="11"/>
  <c r="O137" i="11"/>
  <c r="P137" i="11"/>
  <c r="Q137" i="11"/>
  <c r="O138" i="11"/>
  <c r="P138" i="11"/>
  <c r="Q138" i="11"/>
  <c r="O139" i="11"/>
  <c r="P139" i="11"/>
  <c r="Q139" i="11"/>
  <c r="O140" i="11"/>
  <c r="P140" i="11"/>
  <c r="Q140" i="11"/>
  <c r="O141" i="11"/>
  <c r="P141" i="11"/>
  <c r="Q141" i="11"/>
  <c r="O142" i="11"/>
  <c r="P142" i="11"/>
  <c r="Q142" i="11"/>
  <c r="O143" i="11"/>
  <c r="P143" i="11"/>
  <c r="Q143" i="11"/>
  <c r="O144" i="11"/>
  <c r="P144" i="11"/>
  <c r="Q144" i="11"/>
  <c r="O145" i="11"/>
  <c r="P145" i="11"/>
  <c r="Q145" i="11"/>
  <c r="O146" i="11"/>
  <c r="P146" i="11"/>
  <c r="Q146" i="11"/>
  <c r="O147" i="11"/>
  <c r="P147" i="11"/>
  <c r="Q147" i="11"/>
  <c r="O148" i="11"/>
  <c r="P148" i="11"/>
  <c r="Q148" i="11"/>
  <c r="O149" i="11"/>
  <c r="P149" i="11"/>
  <c r="Q149" i="11"/>
  <c r="O150" i="11"/>
  <c r="P150" i="11"/>
  <c r="Q150" i="11"/>
  <c r="O151" i="11"/>
  <c r="P151" i="11"/>
  <c r="Q151" i="11"/>
  <c r="O152" i="11"/>
  <c r="P152" i="11"/>
  <c r="Q152" i="11"/>
  <c r="O153" i="11"/>
  <c r="P153" i="11"/>
  <c r="Q153" i="11"/>
  <c r="O70" i="9"/>
  <c r="P70" i="9"/>
  <c r="Q70" i="9"/>
  <c r="O71" i="9"/>
  <c r="P71" i="9"/>
  <c r="Q71" i="9"/>
  <c r="O72" i="9"/>
  <c r="P72" i="9"/>
  <c r="Q72" i="9"/>
  <c r="O73" i="9"/>
  <c r="P73" i="9"/>
  <c r="Q73" i="9"/>
  <c r="O74" i="9"/>
  <c r="P74" i="9"/>
  <c r="Q74" i="9"/>
  <c r="O75" i="9"/>
  <c r="P75" i="9"/>
  <c r="Q75" i="9"/>
  <c r="O76" i="9"/>
  <c r="P76" i="9"/>
  <c r="Q76" i="9"/>
  <c r="O77" i="9"/>
  <c r="P77" i="9"/>
  <c r="Q77" i="9"/>
  <c r="O78" i="9"/>
  <c r="P78" i="9"/>
  <c r="Q78" i="9"/>
  <c r="O79" i="9"/>
  <c r="P79" i="9"/>
  <c r="Q79" i="9"/>
  <c r="O80" i="9"/>
  <c r="P80" i="9"/>
  <c r="Q80" i="9"/>
  <c r="O81" i="9"/>
  <c r="P81" i="9"/>
  <c r="Q81" i="9"/>
  <c r="O82" i="9"/>
  <c r="P82" i="9"/>
  <c r="Q82" i="9"/>
  <c r="O83" i="9"/>
  <c r="P83" i="9"/>
  <c r="Q83" i="9"/>
  <c r="O84" i="9"/>
  <c r="P84" i="9"/>
  <c r="Q84" i="9"/>
  <c r="O85" i="9"/>
  <c r="P85" i="9"/>
  <c r="Q85" i="9"/>
  <c r="O86" i="9"/>
  <c r="P86" i="9"/>
  <c r="Q86" i="9"/>
  <c r="O87" i="9"/>
  <c r="P87" i="9"/>
  <c r="Q87" i="9"/>
  <c r="O88" i="9"/>
  <c r="P88" i="9"/>
  <c r="Q88" i="9"/>
  <c r="O89" i="9"/>
  <c r="P89" i="9"/>
  <c r="Q89" i="9"/>
  <c r="O90" i="9"/>
  <c r="P90" i="9"/>
  <c r="Q90" i="9"/>
  <c r="O91" i="9"/>
  <c r="P91" i="9"/>
  <c r="Q91" i="9"/>
  <c r="O92" i="9"/>
  <c r="P92" i="9"/>
  <c r="Q92" i="9"/>
  <c r="O93" i="9"/>
  <c r="P93" i="9"/>
  <c r="Q93" i="9"/>
  <c r="O94" i="9"/>
  <c r="P94" i="9"/>
  <c r="Q94" i="9"/>
  <c r="O95" i="9"/>
  <c r="P95" i="9"/>
  <c r="Q95" i="9"/>
  <c r="O96" i="9"/>
  <c r="P96" i="9"/>
  <c r="Q96" i="9"/>
  <c r="O97" i="9"/>
  <c r="P97" i="9"/>
  <c r="Q97" i="9"/>
  <c r="O98" i="9"/>
  <c r="P98" i="9"/>
  <c r="Q98" i="9"/>
  <c r="O99" i="9"/>
  <c r="P99" i="9"/>
  <c r="Q99" i="9"/>
  <c r="O100" i="9"/>
  <c r="P100" i="9"/>
  <c r="Q100" i="9"/>
  <c r="O101" i="9"/>
  <c r="P101" i="9"/>
  <c r="Q101" i="9"/>
  <c r="O102" i="9"/>
  <c r="P102" i="9"/>
  <c r="Q102" i="9"/>
  <c r="O103" i="9"/>
  <c r="P103" i="9"/>
  <c r="Q103" i="9"/>
  <c r="O104" i="9"/>
  <c r="P104" i="9"/>
  <c r="Q104" i="9"/>
  <c r="O105" i="9"/>
  <c r="P105" i="9"/>
  <c r="Q105" i="9"/>
  <c r="O106" i="9"/>
  <c r="P106" i="9"/>
  <c r="Q106" i="9"/>
  <c r="O107" i="9"/>
  <c r="P107" i="9"/>
  <c r="Q107" i="9"/>
  <c r="O108" i="9"/>
  <c r="P108" i="9"/>
  <c r="Q108" i="9"/>
  <c r="O109" i="9"/>
  <c r="P109" i="9"/>
  <c r="Q109" i="9"/>
  <c r="O110" i="9"/>
  <c r="P110" i="9"/>
  <c r="Q110" i="9"/>
  <c r="O111" i="9"/>
  <c r="P111" i="9"/>
  <c r="Q111" i="9"/>
  <c r="O112" i="9"/>
  <c r="P112" i="9"/>
  <c r="Q112" i="9"/>
  <c r="O113" i="9"/>
  <c r="P113" i="9"/>
  <c r="Q113" i="9"/>
  <c r="O114" i="9"/>
  <c r="P114" i="9"/>
  <c r="Q114" i="9"/>
  <c r="O115" i="9"/>
  <c r="P115" i="9"/>
  <c r="Q115" i="9"/>
  <c r="O116" i="9"/>
  <c r="P116" i="9"/>
  <c r="Q116" i="9"/>
  <c r="O117" i="9"/>
  <c r="P117" i="9"/>
  <c r="Q117" i="9"/>
  <c r="O118" i="9"/>
  <c r="P118" i="9"/>
  <c r="Q118" i="9"/>
  <c r="O119" i="9"/>
  <c r="P119" i="9"/>
  <c r="Q119" i="9"/>
  <c r="O120" i="9"/>
  <c r="P120" i="9"/>
  <c r="Q120" i="9"/>
  <c r="O121" i="9"/>
  <c r="P121" i="9"/>
  <c r="Q121" i="9"/>
  <c r="O122" i="9"/>
  <c r="P122" i="9"/>
  <c r="Q122" i="9"/>
  <c r="O123" i="9"/>
  <c r="P123" i="9"/>
  <c r="Q123" i="9"/>
  <c r="O124" i="9"/>
  <c r="P124" i="9"/>
  <c r="Q124" i="9"/>
  <c r="O125" i="9"/>
  <c r="P125" i="9"/>
  <c r="Q125" i="9"/>
  <c r="O126" i="9"/>
  <c r="P126" i="9"/>
  <c r="Q126" i="9"/>
  <c r="O127" i="9"/>
  <c r="P127" i="9"/>
  <c r="Q127" i="9"/>
  <c r="O128" i="9"/>
  <c r="P128" i="9"/>
  <c r="Q128" i="9"/>
  <c r="O129" i="9"/>
  <c r="P129" i="9"/>
  <c r="Q129" i="9"/>
  <c r="O130" i="9"/>
  <c r="P130" i="9"/>
  <c r="Q130" i="9"/>
  <c r="O131" i="9"/>
  <c r="P131" i="9"/>
  <c r="Q131" i="9"/>
  <c r="O132" i="9"/>
  <c r="P132" i="9"/>
  <c r="Q132" i="9"/>
  <c r="O133" i="9"/>
  <c r="P133" i="9"/>
  <c r="Q133" i="9"/>
  <c r="O134" i="9"/>
  <c r="P134" i="9"/>
  <c r="Q134" i="9"/>
  <c r="O135" i="9"/>
  <c r="P135" i="9"/>
  <c r="Q135" i="9"/>
  <c r="O136" i="9"/>
  <c r="P136" i="9"/>
  <c r="Q136" i="9"/>
  <c r="O137" i="9"/>
  <c r="P137" i="9"/>
  <c r="Q137" i="9"/>
  <c r="O138" i="9"/>
  <c r="P138" i="9"/>
  <c r="Q138" i="9"/>
  <c r="O139" i="9"/>
  <c r="P139" i="9"/>
  <c r="Q139" i="9"/>
  <c r="O140" i="9"/>
  <c r="P140" i="9"/>
  <c r="Q140" i="9"/>
  <c r="O141" i="9"/>
  <c r="P141" i="9"/>
  <c r="Q141" i="9"/>
  <c r="O142" i="9"/>
  <c r="P142" i="9"/>
  <c r="Q142" i="9"/>
  <c r="O143" i="9"/>
  <c r="P143" i="9"/>
  <c r="Q143" i="9"/>
  <c r="O144" i="9"/>
  <c r="P144" i="9"/>
  <c r="Q144" i="9"/>
  <c r="O145" i="9"/>
  <c r="P145" i="9"/>
  <c r="Q145" i="9"/>
  <c r="O146" i="9"/>
  <c r="P146" i="9"/>
  <c r="Q146" i="9"/>
  <c r="O147" i="9"/>
  <c r="P147" i="9"/>
  <c r="Q147" i="9"/>
  <c r="O148" i="9"/>
  <c r="P148" i="9"/>
  <c r="Q148" i="9"/>
  <c r="O149" i="9"/>
  <c r="P149" i="9"/>
  <c r="Q149" i="9"/>
  <c r="O150" i="9"/>
  <c r="P150" i="9"/>
  <c r="Q150" i="9"/>
  <c r="O151" i="9"/>
  <c r="P151" i="9"/>
  <c r="Q151" i="9"/>
  <c r="O152" i="9"/>
  <c r="P152" i="9"/>
  <c r="Q152" i="9"/>
  <c r="O153" i="9"/>
  <c r="P153" i="9"/>
  <c r="Q153" i="9"/>
  <c r="K51" i="9"/>
  <c r="K33" i="14"/>
  <c r="K43" i="11"/>
  <c r="K42" i="11"/>
  <c r="K38" i="7"/>
  <c r="K39" i="11"/>
  <c r="K40" i="11"/>
  <c r="K41" i="11"/>
  <c r="K48" i="9"/>
  <c r="K49" i="9"/>
  <c r="K50" i="9"/>
  <c r="K35" i="7"/>
  <c r="K36" i="7"/>
  <c r="K37" i="7"/>
  <c r="O50" i="7"/>
  <c r="P50" i="7"/>
  <c r="Q50" i="7"/>
  <c r="O51" i="7"/>
  <c r="P51" i="7"/>
  <c r="Q51" i="7"/>
  <c r="O52" i="7"/>
  <c r="P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O60" i="7"/>
  <c r="P60" i="7"/>
  <c r="Q60" i="7"/>
  <c r="O61" i="7"/>
  <c r="P61" i="7"/>
  <c r="Q61" i="7"/>
  <c r="O62" i="7"/>
  <c r="P62" i="7"/>
  <c r="Q62" i="7"/>
  <c r="O63" i="7"/>
  <c r="P63" i="7"/>
  <c r="Q63" i="7"/>
  <c r="O64" i="7"/>
  <c r="P64" i="7"/>
  <c r="Q64" i="7"/>
  <c r="O65" i="7"/>
  <c r="P65" i="7"/>
  <c r="Q65" i="7"/>
  <c r="O66" i="7"/>
  <c r="P66" i="7"/>
  <c r="Q66" i="7"/>
  <c r="O67" i="7"/>
  <c r="P67" i="7"/>
  <c r="Q67" i="7"/>
  <c r="O68" i="7"/>
  <c r="P68" i="7"/>
  <c r="Q68" i="7"/>
  <c r="O69" i="7"/>
  <c r="P69" i="7"/>
  <c r="Q69" i="7"/>
  <c r="O70" i="7"/>
  <c r="P70" i="7"/>
  <c r="Q70" i="7"/>
  <c r="O71" i="7"/>
  <c r="P71" i="7"/>
  <c r="Q71" i="7"/>
  <c r="O72" i="7"/>
  <c r="P72" i="7"/>
  <c r="Q72" i="7"/>
  <c r="O73" i="7"/>
  <c r="P73" i="7"/>
  <c r="Q73" i="7"/>
  <c r="O74" i="7"/>
  <c r="P74" i="7"/>
  <c r="Q74" i="7"/>
  <c r="O75" i="7"/>
  <c r="P75" i="7"/>
  <c r="Q75" i="7"/>
  <c r="O76" i="7"/>
  <c r="P76" i="7"/>
  <c r="Q76" i="7"/>
  <c r="O77" i="7"/>
  <c r="P77" i="7"/>
  <c r="Q77" i="7"/>
  <c r="O78" i="7"/>
  <c r="P78" i="7"/>
  <c r="Q78" i="7"/>
  <c r="O79" i="7"/>
  <c r="P79" i="7"/>
  <c r="Q79" i="7"/>
  <c r="O80" i="7"/>
  <c r="P80" i="7"/>
  <c r="Q80" i="7"/>
  <c r="O81" i="7"/>
  <c r="P81" i="7"/>
  <c r="Q81" i="7"/>
  <c r="O82" i="7"/>
  <c r="P82" i="7"/>
  <c r="Q82" i="7"/>
  <c r="O83" i="7"/>
  <c r="P83" i="7"/>
  <c r="Q83" i="7"/>
  <c r="O84" i="7"/>
  <c r="P84" i="7"/>
  <c r="Q84" i="7"/>
  <c r="O85" i="7"/>
  <c r="P85" i="7"/>
  <c r="Q85" i="7"/>
  <c r="O86" i="7"/>
  <c r="P86" i="7"/>
  <c r="Q86" i="7"/>
  <c r="O87" i="7"/>
  <c r="P87" i="7"/>
  <c r="Q87" i="7"/>
  <c r="O88" i="7"/>
  <c r="P88" i="7"/>
  <c r="Q88" i="7"/>
  <c r="O89" i="7"/>
  <c r="P89" i="7"/>
  <c r="Q89" i="7"/>
  <c r="O90" i="7"/>
  <c r="P90" i="7"/>
  <c r="Q90" i="7"/>
  <c r="O91" i="7"/>
  <c r="P91" i="7"/>
  <c r="Q91" i="7"/>
  <c r="O92" i="7"/>
  <c r="P92" i="7"/>
  <c r="Q92" i="7"/>
  <c r="O93" i="7"/>
  <c r="P93" i="7"/>
  <c r="Q93" i="7"/>
  <c r="O94" i="7"/>
  <c r="P94" i="7"/>
  <c r="Q94" i="7"/>
  <c r="O95" i="7"/>
  <c r="P95" i="7"/>
  <c r="Q95" i="7"/>
  <c r="O96" i="7"/>
  <c r="P96" i="7"/>
  <c r="Q96" i="7"/>
  <c r="O97" i="7"/>
  <c r="P97" i="7"/>
  <c r="Q97" i="7"/>
  <c r="O98" i="7"/>
  <c r="P98" i="7"/>
  <c r="Q98" i="7"/>
  <c r="O99" i="7"/>
  <c r="P99" i="7"/>
  <c r="Q99" i="7"/>
  <c r="O100" i="7"/>
  <c r="P100" i="7"/>
  <c r="Q100" i="7"/>
  <c r="O101" i="7"/>
  <c r="P101" i="7"/>
  <c r="Q101" i="7"/>
  <c r="O102" i="7"/>
  <c r="P102" i="7"/>
  <c r="Q102" i="7"/>
  <c r="O103" i="7"/>
  <c r="P103" i="7"/>
  <c r="Q103" i="7"/>
  <c r="O104" i="7"/>
  <c r="P104" i="7"/>
  <c r="Q104" i="7"/>
  <c r="O105" i="7"/>
  <c r="P105" i="7"/>
  <c r="Q105" i="7"/>
  <c r="O106" i="7"/>
  <c r="P106" i="7"/>
  <c r="Q106" i="7"/>
  <c r="O107" i="7"/>
  <c r="P107" i="7"/>
  <c r="Q107" i="7"/>
  <c r="O108" i="7"/>
  <c r="P108" i="7"/>
  <c r="Q108" i="7"/>
  <c r="O109" i="7"/>
  <c r="P109" i="7"/>
  <c r="Q109" i="7"/>
  <c r="O110" i="7"/>
  <c r="P110" i="7"/>
  <c r="Q110" i="7"/>
  <c r="O111" i="7"/>
  <c r="P111" i="7"/>
  <c r="Q111" i="7"/>
  <c r="O112" i="7"/>
  <c r="P112" i="7"/>
  <c r="Q112" i="7"/>
  <c r="O113" i="7"/>
  <c r="P113" i="7"/>
  <c r="Q113" i="7"/>
  <c r="O114" i="7"/>
  <c r="P114" i="7"/>
  <c r="Q114" i="7"/>
  <c r="O115" i="7"/>
  <c r="P115" i="7"/>
  <c r="Q115" i="7"/>
  <c r="O116" i="7"/>
  <c r="P116" i="7"/>
  <c r="Q116" i="7"/>
  <c r="O117" i="7"/>
  <c r="P117" i="7"/>
  <c r="Q117" i="7"/>
  <c r="O118" i="7"/>
  <c r="P118" i="7"/>
  <c r="Q118" i="7"/>
  <c r="O119" i="7"/>
  <c r="P119" i="7"/>
  <c r="Q119" i="7"/>
  <c r="O120" i="7"/>
  <c r="P120" i="7"/>
  <c r="Q120" i="7"/>
  <c r="O121" i="7"/>
  <c r="P121" i="7"/>
  <c r="Q121" i="7"/>
  <c r="O122" i="7"/>
  <c r="P122" i="7"/>
  <c r="Q122" i="7"/>
  <c r="O123" i="7"/>
  <c r="P123" i="7"/>
  <c r="Q123" i="7"/>
  <c r="O124" i="7"/>
  <c r="P124" i="7"/>
  <c r="Q124" i="7"/>
  <c r="O125" i="7"/>
  <c r="P125" i="7"/>
  <c r="Q125" i="7"/>
  <c r="O126" i="7"/>
  <c r="P126" i="7"/>
  <c r="Q126" i="7"/>
  <c r="O127" i="7"/>
  <c r="P127" i="7"/>
  <c r="Q127" i="7"/>
  <c r="O128" i="7"/>
  <c r="P128" i="7"/>
  <c r="Q128" i="7"/>
  <c r="O129" i="7"/>
  <c r="P129" i="7"/>
  <c r="Q129" i="7"/>
  <c r="O130" i="7"/>
  <c r="P130" i="7"/>
  <c r="Q130" i="7"/>
  <c r="O131" i="7"/>
  <c r="P131" i="7"/>
  <c r="Q131" i="7"/>
  <c r="O132" i="7"/>
  <c r="P132" i="7"/>
  <c r="Q132" i="7"/>
  <c r="O133" i="7"/>
  <c r="P133" i="7"/>
  <c r="Q133" i="7"/>
  <c r="O134" i="7"/>
  <c r="P134" i="7"/>
  <c r="Q134" i="7"/>
  <c r="O135" i="7"/>
  <c r="P135" i="7"/>
  <c r="Q135" i="7"/>
  <c r="O136" i="7"/>
  <c r="P136" i="7"/>
  <c r="Q136" i="7"/>
  <c r="O137" i="7"/>
  <c r="P137" i="7"/>
  <c r="Q137" i="7"/>
  <c r="O138" i="7"/>
  <c r="P138" i="7"/>
  <c r="Q138" i="7"/>
  <c r="O139" i="7"/>
  <c r="P139" i="7"/>
  <c r="Q139" i="7"/>
  <c r="O140" i="7"/>
  <c r="P140" i="7"/>
  <c r="Q140" i="7"/>
  <c r="O141" i="7"/>
  <c r="P141" i="7"/>
  <c r="Q141" i="7"/>
  <c r="O142" i="7"/>
  <c r="P142" i="7"/>
  <c r="Q142" i="7"/>
  <c r="O143" i="7"/>
  <c r="P143" i="7"/>
  <c r="Q143" i="7"/>
  <c r="O144" i="7"/>
  <c r="P144" i="7"/>
  <c r="Q144" i="7"/>
  <c r="O145" i="7"/>
  <c r="P145" i="7"/>
  <c r="Q145" i="7"/>
  <c r="O146" i="7"/>
  <c r="P146" i="7"/>
  <c r="Q146" i="7"/>
  <c r="O147" i="7"/>
  <c r="P147" i="7"/>
  <c r="Q147" i="7"/>
  <c r="O148" i="7"/>
  <c r="P148" i="7"/>
  <c r="Q148" i="7"/>
  <c r="O149" i="7"/>
  <c r="P149" i="7"/>
  <c r="Q149" i="7"/>
  <c r="O150" i="7"/>
  <c r="P150" i="7"/>
  <c r="Q150" i="7"/>
  <c r="O151" i="7"/>
  <c r="P151" i="7"/>
  <c r="Q151" i="7"/>
  <c r="O152" i="7"/>
  <c r="P152" i="7"/>
  <c r="Q152" i="7"/>
  <c r="O153" i="7"/>
  <c r="P153" i="7"/>
  <c r="Q153" i="7"/>
  <c r="K47" i="9"/>
  <c r="K34" i="7"/>
  <c r="K46" i="9"/>
  <c r="K33" i="7"/>
  <c r="R32" i="7"/>
  <c r="K23" i="24"/>
  <c r="K31" i="22"/>
  <c r="K37" i="20"/>
  <c r="K29" i="18"/>
  <c r="K34" i="16"/>
  <c r="K32" i="14"/>
  <c r="K38" i="11"/>
  <c r="K45" i="9"/>
  <c r="K32" i="7"/>
  <c r="K19" i="24"/>
  <c r="K20" i="24"/>
  <c r="K21" i="24"/>
  <c r="K22" i="24"/>
  <c r="K27" i="22"/>
  <c r="K28" i="22"/>
  <c r="K29" i="22"/>
  <c r="K30" i="22"/>
  <c r="K33" i="20"/>
  <c r="K34" i="20"/>
  <c r="K35" i="20"/>
  <c r="K36" i="20"/>
  <c r="K27" i="18"/>
  <c r="K28" i="18"/>
  <c r="K32" i="16"/>
  <c r="K33" i="16"/>
  <c r="K30" i="14"/>
  <c r="K31" i="14"/>
  <c r="K36" i="11"/>
  <c r="K37" i="11"/>
  <c r="K43" i="9"/>
  <c r="K44" i="9"/>
  <c r="K31" i="7"/>
  <c r="X153" i="24"/>
  <c r="W153" i="24"/>
  <c r="V153" i="24"/>
  <c r="U153" i="24"/>
  <c r="T153" i="24"/>
  <c r="S153" i="24"/>
  <c r="N153" i="24"/>
  <c r="M153" i="24"/>
  <c r="L153" i="24"/>
  <c r="K153" i="24"/>
  <c r="X152" i="24"/>
  <c r="W152" i="24"/>
  <c r="V152" i="24"/>
  <c r="U152" i="24"/>
  <c r="T152" i="24"/>
  <c r="S152" i="24"/>
  <c r="N152" i="24"/>
  <c r="M152" i="24"/>
  <c r="L152" i="24"/>
  <c r="K152" i="24"/>
  <c r="X151" i="24"/>
  <c r="W151" i="24"/>
  <c r="V151" i="24"/>
  <c r="U151" i="24"/>
  <c r="T151" i="24"/>
  <c r="S151" i="24"/>
  <c r="N151" i="24"/>
  <c r="M151" i="24"/>
  <c r="L151" i="24"/>
  <c r="K151" i="24"/>
  <c r="X150" i="24"/>
  <c r="W150" i="24"/>
  <c r="V150" i="24"/>
  <c r="U150" i="24"/>
  <c r="T150" i="24"/>
  <c r="S150" i="24"/>
  <c r="N150" i="24"/>
  <c r="M150" i="24"/>
  <c r="L150" i="24"/>
  <c r="K150" i="24"/>
  <c r="X149" i="24"/>
  <c r="W149" i="24"/>
  <c r="V149" i="24"/>
  <c r="U149" i="24"/>
  <c r="T149" i="24"/>
  <c r="S149" i="24"/>
  <c r="N149" i="24"/>
  <c r="M149" i="24"/>
  <c r="L149" i="24"/>
  <c r="K149" i="24"/>
  <c r="X148" i="24"/>
  <c r="W148" i="24"/>
  <c r="V148" i="24"/>
  <c r="U148" i="24"/>
  <c r="T148" i="24"/>
  <c r="S148" i="24"/>
  <c r="N148" i="24"/>
  <c r="M148" i="24"/>
  <c r="L148" i="24"/>
  <c r="K148" i="24"/>
  <c r="X147" i="24"/>
  <c r="W147" i="24"/>
  <c r="V147" i="24"/>
  <c r="U147" i="24"/>
  <c r="T147" i="24"/>
  <c r="S147" i="24"/>
  <c r="N147" i="24"/>
  <c r="M147" i="24"/>
  <c r="L147" i="24"/>
  <c r="K147" i="24"/>
  <c r="X146" i="24"/>
  <c r="W146" i="24"/>
  <c r="V146" i="24"/>
  <c r="U146" i="24"/>
  <c r="T146" i="24"/>
  <c r="S146" i="24"/>
  <c r="N146" i="24"/>
  <c r="M146" i="24"/>
  <c r="L146" i="24"/>
  <c r="K146" i="24"/>
  <c r="X145" i="24"/>
  <c r="W145" i="24"/>
  <c r="V145" i="24"/>
  <c r="U145" i="24"/>
  <c r="T145" i="24"/>
  <c r="S145" i="24"/>
  <c r="N145" i="24"/>
  <c r="M145" i="24"/>
  <c r="L145" i="24"/>
  <c r="K145" i="24"/>
  <c r="X144" i="24"/>
  <c r="W144" i="24"/>
  <c r="V144" i="24"/>
  <c r="U144" i="24"/>
  <c r="T144" i="24"/>
  <c r="S144" i="24"/>
  <c r="N144" i="24"/>
  <c r="M144" i="24"/>
  <c r="L144" i="24"/>
  <c r="K144" i="24"/>
  <c r="X143" i="24"/>
  <c r="W143" i="24"/>
  <c r="V143" i="24"/>
  <c r="U143" i="24"/>
  <c r="T143" i="24"/>
  <c r="S143" i="24"/>
  <c r="N143" i="24"/>
  <c r="M143" i="24"/>
  <c r="L143" i="24"/>
  <c r="K143" i="24"/>
  <c r="X142" i="24"/>
  <c r="W142" i="24"/>
  <c r="V142" i="24"/>
  <c r="U142" i="24"/>
  <c r="T142" i="24"/>
  <c r="S142" i="24"/>
  <c r="N142" i="24"/>
  <c r="M142" i="24"/>
  <c r="L142" i="24"/>
  <c r="K142" i="24"/>
  <c r="X141" i="24"/>
  <c r="W141" i="24"/>
  <c r="V141" i="24"/>
  <c r="U141" i="24"/>
  <c r="T141" i="24"/>
  <c r="S141" i="24"/>
  <c r="N141" i="24"/>
  <c r="M141" i="24"/>
  <c r="L141" i="24"/>
  <c r="K141" i="24"/>
  <c r="X140" i="24"/>
  <c r="W140" i="24"/>
  <c r="V140" i="24"/>
  <c r="U140" i="24"/>
  <c r="T140" i="24"/>
  <c r="S140" i="24"/>
  <c r="N140" i="24"/>
  <c r="M140" i="24"/>
  <c r="L140" i="24"/>
  <c r="K140" i="24"/>
  <c r="X139" i="24"/>
  <c r="W139" i="24"/>
  <c r="V139" i="24"/>
  <c r="U139" i="24"/>
  <c r="T139" i="24"/>
  <c r="S139" i="24"/>
  <c r="N139" i="24"/>
  <c r="M139" i="24"/>
  <c r="L139" i="24"/>
  <c r="K139" i="24"/>
  <c r="X138" i="24"/>
  <c r="W138" i="24"/>
  <c r="V138" i="24"/>
  <c r="U138" i="24"/>
  <c r="T138" i="24"/>
  <c r="S138" i="24"/>
  <c r="N138" i="24"/>
  <c r="M138" i="24"/>
  <c r="L138" i="24"/>
  <c r="K138" i="24"/>
  <c r="X137" i="24"/>
  <c r="W137" i="24"/>
  <c r="V137" i="24"/>
  <c r="U137" i="24"/>
  <c r="T137" i="24"/>
  <c r="S137" i="24"/>
  <c r="N137" i="24"/>
  <c r="M137" i="24"/>
  <c r="L137" i="24"/>
  <c r="K137" i="24"/>
  <c r="X136" i="24"/>
  <c r="W136" i="24"/>
  <c r="V136" i="24"/>
  <c r="U136" i="24"/>
  <c r="T136" i="24"/>
  <c r="S136" i="24"/>
  <c r="N136" i="24"/>
  <c r="M136" i="24"/>
  <c r="L136" i="24"/>
  <c r="K136" i="24"/>
  <c r="X135" i="24"/>
  <c r="W135" i="24"/>
  <c r="V135" i="24"/>
  <c r="U135" i="24"/>
  <c r="T135" i="24"/>
  <c r="S135" i="24"/>
  <c r="N135" i="24"/>
  <c r="M135" i="24"/>
  <c r="L135" i="24"/>
  <c r="K135" i="24"/>
  <c r="X134" i="24"/>
  <c r="W134" i="24"/>
  <c r="V134" i="24"/>
  <c r="U134" i="24"/>
  <c r="T134" i="24"/>
  <c r="S134" i="24"/>
  <c r="N134" i="24"/>
  <c r="M134" i="24"/>
  <c r="L134" i="24"/>
  <c r="K134" i="24"/>
  <c r="X133" i="24"/>
  <c r="W133" i="24"/>
  <c r="V133" i="24"/>
  <c r="U133" i="24"/>
  <c r="T133" i="24"/>
  <c r="S133" i="24"/>
  <c r="N133" i="24"/>
  <c r="M133" i="24"/>
  <c r="L133" i="24"/>
  <c r="K133" i="24"/>
  <c r="X132" i="24"/>
  <c r="W132" i="24"/>
  <c r="V132" i="24"/>
  <c r="U132" i="24"/>
  <c r="T132" i="24"/>
  <c r="S132" i="24"/>
  <c r="N132" i="24"/>
  <c r="M132" i="24"/>
  <c r="L132" i="24"/>
  <c r="K132" i="24"/>
  <c r="X131" i="24"/>
  <c r="W131" i="24"/>
  <c r="V131" i="24"/>
  <c r="U131" i="24"/>
  <c r="T131" i="24"/>
  <c r="S131" i="24"/>
  <c r="N131" i="24"/>
  <c r="M131" i="24"/>
  <c r="L131" i="24"/>
  <c r="K131" i="24"/>
  <c r="X130" i="24"/>
  <c r="W130" i="24"/>
  <c r="V130" i="24"/>
  <c r="U130" i="24"/>
  <c r="T130" i="24"/>
  <c r="S130" i="24"/>
  <c r="N130" i="24"/>
  <c r="M130" i="24"/>
  <c r="L130" i="24"/>
  <c r="K130" i="24"/>
  <c r="X129" i="24"/>
  <c r="W129" i="24"/>
  <c r="V129" i="24"/>
  <c r="U129" i="24"/>
  <c r="T129" i="24"/>
  <c r="S129" i="24"/>
  <c r="N129" i="24"/>
  <c r="M129" i="24"/>
  <c r="L129" i="24"/>
  <c r="K129" i="24"/>
  <c r="X128" i="24"/>
  <c r="W128" i="24"/>
  <c r="V128" i="24"/>
  <c r="U128" i="24"/>
  <c r="T128" i="24"/>
  <c r="S128" i="24"/>
  <c r="N128" i="24"/>
  <c r="M128" i="24"/>
  <c r="L128" i="24"/>
  <c r="K128" i="24"/>
  <c r="X127" i="24"/>
  <c r="W127" i="24"/>
  <c r="V127" i="24"/>
  <c r="U127" i="24"/>
  <c r="T127" i="24"/>
  <c r="S127" i="24"/>
  <c r="N127" i="24"/>
  <c r="M127" i="24"/>
  <c r="L127" i="24"/>
  <c r="K127" i="24"/>
  <c r="X126" i="24"/>
  <c r="W126" i="24"/>
  <c r="V126" i="24"/>
  <c r="U126" i="24"/>
  <c r="T126" i="24"/>
  <c r="S126" i="24"/>
  <c r="N126" i="24"/>
  <c r="M126" i="24"/>
  <c r="L126" i="24"/>
  <c r="K126" i="24"/>
  <c r="X125" i="24"/>
  <c r="W125" i="24"/>
  <c r="V125" i="24"/>
  <c r="U125" i="24"/>
  <c r="T125" i="24"/>
  <c r="S125" i="24"/>
  <c r="N125" i="24"/>
  <c r="M125" i="24"/>
  <c r="L125" i="24"/>
  <c r="K125" i="24"/>
  <c r="X124" i="24"/>
  <c r="W124" i="24"/>
  <c r="V124" i="24"/>
  <c r="U124" i="24"/>
  <c r="T124" i="24"/>
  <c r="S124" i="24"/>
  <c r="N124" i="24"/>
  <c r="M124" i="24"/>
  <c r="L124" i="24"/>
  <c r="K124" i="24"/>
  <c r="X123" i="24"/>
  <c r="W123" i="24"/>
  <c r="V123" i="24"/>
  <c r="U123" i="24"/>
  <c r="T123" i="24"/>
  <c r="S123" i="24"/>
  <c r="N123" i="24"/>
  <c r="M123" i="24"/>
  <c r="L123" i="24"/>
  <c r="K123" i="24"/>
  <c r="X122" i="24"/>
  <c r="W122" i="24"/>
  <c r="V122" i="24"/>
  <c r="U122" i="24"/>
  <c r="T122" i="24"/>
  <c r="S122" i="24"/>
  <c r="N122" i="24"/>
  <c r="M122" i="24"/>
  <c r="L122" i="24"/>
  <c r="K122" i="24"/>
  <c r="X121" i="24"/>
  <c r="W121" i="24"/>
  <c r="V121" i="24"/>
  <c r="U121" i="24"/>
  <c r="T121" i="24"/>
  <c r="S121" i="24"/>
  <c r="N121" i="24"/>
  <c r="M121" i="24"/>
  <c r="L121" i="24"/>
  <c r="K121" i="24"/>
  <c r="X120" i="24"/>
  <c r="W120" i="24"/>
  <c r="V120" i="24"/>
  <c r="U120" i="24"/>
  <c r="T120" i="24"/>
  <c r="S120" i="24"/>
  <c r="N120" i="24"/>
  <c r="M120" i="24"/>
  <c r="L120" i="24"/>
  <c r="K120" i="24"/>
  <c r="X119" i="24"/>
  <c r="W119" i="24"/>
  <c r="V119" i="24"/>
  <c r="U119" i="24"/>
  <c r="T119" i="24"/>
  <c r="S119" i="24"/>
  <c r="N119" i="24"/>
  <c r="M119" i="24"/>
  <c r="L119" i="24"/>
  <c r="K119" i="24"/>
  <c r="X118" i="24"/>
  <c r="W118" i="24"/>
  <c r="V118" i="24"/>
  <c r="U118" i="24"/>
  <c r="T118" i="24"/>
  <c r="S118" i="24"/>
  <c r="N118" i="24"/>
  <c r="M118" i="24"/>
  <c r="L118" i="24"/>
  <c r="K118" i="24"/>
  <c r="X117" i="24"/>
  <c r="W117" i="24"/>
  <c r="V117" i="24"/>
  <c r="U117" i="24"/>
  <c r="T117" i="24"/>
  <c r="S117" i="24"/>
  <c r="N117" i="24"/>
  <c r="M117" i="24"/>
  <c r="L117" i="24"/>
  <c r="K117" i="24"/>
  <c r="X116" i="24"/>
  <c r="W116" i="24"/>
  <c r="V116" i="24"/>
  <c r="U116" i="24"/>
  <c r="T116" i="24"/>
  <c r="S116" i="24"/>
  <c r="N116" i="24"/>
  <c r="M116" i="24"/>
  <c r="L116" i="24"/>
  <c r="K116" i="24"/>
  <c r="X115" i="24"/>
  <c r="W115" i="24"/>
  <c r="V115" i="24"/>
  <c r="U115" i="24"/>
  <c r="T115" i="24"/>
  <c r="S115" i="24"/>
  <c r="N115" i="24"/>
  <c r="M115" i="24"/>
  <c r="L115" i="24"/>
  <c r="K115" i="24"/>
  <c r="X114" i="24"/>
  <c r="W114" i="24"/>
  <c r="V114" i="24"/>
  <c r="U114" i="24"/>
  <c r="T114" i="24"/>
  <c r="S114" i="24"/>
  <c r="N114" i="24"/>
  <c r="M114" i="24"/>
  <c r="L114" i="24"/>
  <c r="K114" i="24"/>
  <c r="X113" i="24"/>
  <c r="W113" i="24"/>
  <c r="V113" i="24"/>
  <c r="U113" i="24"/>
  <c r="T113" i="24"/>
  <c r="S113" i="24"/>
  <c r="N113" i="24"/>
  <c r="M113" i="24"/>
  <c r="L113" i="24"/>
  <c r="K113" i="24"/>
  <c r="X112" i="24"/>
  <c r="W112" i="24"/>
  <c r="V112" i="24"/>
  <c r="U112" i="24"/>
  <c r="T112" i="24"/>
  <c r="S112" i="24"/>
  <c r="N112" i="24"/>
  <c r="M112" i="24"/>
  <c r="L112" i="24"/>
  <c r="K112" i="24"/>
  <c r="X111" i="24"/>
  <c r="W111" i="24"/>
  <c r="V111" i="24"/>
  <c r="U111" i="24"/>
  <c r="T111" i="24"/>
  <c r="S111" i="24"/>
  <c r="N111" i="24"/>
  <c r="M111" i="24"/>
  <c r="L111" i="24"/>
  <c r="K111" i="24"/>
  <c r="X110" i="24"/>
  <c r="W110" i="24"/>
  <c r="V110" i="24"/>
  <c r="U110" i="24"/>
  <c r="T110" i="24"/>
  <c r="S110" i="24"/>
  <c r="N110" i="24"/>
  <c r="M110" i="24"/>
  <c r="L110" i="24"/>
  <c r="K110" i="24"/>
  <c r="X109" i="24"/>
  <c r="W109" i="24"/>
  <c r="V109" i="24"/>
  <c r="U109" i="24"/>
  <c r="T109" i="24"/>
  <c r="S109" i="24"/>
  <c r="N109" i="24"/>
  <c r="M109" i="24"/>
  <c r="L109" i="24"/>
  <c r="K109" i="24"/>
  <c r="X108" i="24"/>
  <c r="W108" i="24"/>
  <c r="V108" i="24"/>
  <c r="U108" i="24"/>
  <c r="T108" i="24"/>
  <c r="S108" i="24"/>
  <c r="N108" i="24"/>
  <c r="M108" i="24"/>
  <c r="L108" i="24"/>
  <c r="K108" i="24"/>
  <c r="X107" i="24"/>
  <c r="W107" i="24"/>
  <c r="V107" i="24"/>
  <c r="U107" i="24"/>
  <c r="T107" i="24"/>
  <c r="S107" i="24"/>
  <c r="N107" i="24"/>
  <c r="M107" i="24"/>
  <c r="L107" i="24"/>
  <c r="K107" i="24"/>
  <c r="X106" i="24"/>
  <c r="W106" i="24"/>
  <c r="V106" i="24"/>
  <c r="U106" i="24"/>
  <c r="T106" i="24"/>
  <c r="S106" i="24"/>
  <c r="N106" i="24"/>
  <c r="M106" i="24"/>
  <c r="L106" i="24"/>
  <c r="K106" i="24"/>
  <c r="X105" i="24"/>
  <c r="W105" i="24"/>
  <c r="V105" i="24"/>
  <c r="U105" i="24"/>
  <c r="T105" i="24"/>
  <c r="S105" i="24"/>
  <c r="N105" i="24"/>
  <c r="M105" i="24"/>
  <c r="L105" i="24"/>
  <c r="K105" i="24"/>
  <c r="X104" i="24"/>
  <c r="W104" i="24"/>
  <c r="V104" i="24"/>
  <c r="U104" i="24"/>
  <c r="T104" i="24"/>
  <c r="S104" i="24"/>
  <c r="N104" i="24"/>
  <c r="M104" i="24"/>
  <c r="L104" i="24"/>
  <c r="K104" i="24"/>
  <c r="X103" i="24"/>
  <c r="W103" i="24"/>
  <c r="V103" i="24"/>
  <c r="U103" i="24"/>
  <c r="T103" i="24"/>
  <c r="S103" i="24"/>
  <c r="N103" i="24"/>
  <c r="M103" i="24"/>
  <c r="L103" i="24"/>
  <c r="K103" i="24"/>
  <c r="X102" i="24"/>
  <c r="W102" i="24"/>
  <c r="V102" i="24"/>
  <c r="U102" i="24"/>
  <c r="T102" i="24"/>
  <c r="S102" i="24"/>
  <c r="N102" i="24"/>
  <c r="M102" i="24"/>
  <c r="L102" i="24"/>
  <c r="K102" i="24"/>
  <c r="X101" i="24"/>
  <c r="W101" i="24"/>
  <c r="V101" i="24"/>
  <c r="U101" i="24"/>
  <c r="T101" i="24"/>
  <c r="S101" i="24"/>
  <c r="N101" i="24"/>
  <c r="M101" i="24"/>
  <c r="L101" i="24"/>
  <c r="K101" i="24"/>
  <c r="X100" i="24"/>
  <c r="W100" i="24"/>
  <c r="V100" i="24"/>
  <c r="U100" i="24"/>
  <c r="T100" i="24"/>
  <c r="S100" i="24"/>
  <c r="N100" i="24"/>
  <c r="M100" i="24"/>
  <c r="L100" i="24"/>
  <c r="K100" i="24"/>
  <c r="X99" i="24"/>
  <c r="W99" i="24"/>
  <c r="V99" i="24"/>
  <c r="U99" i="24"/>
  <c r="T99" i="24"/>
  <c r="S99" i="24"/>
  <c r="N99" i="24"/>
  <c r="M99" i="24"/>
  <c r="L99" i="24"/>
  <c r="K99" i="24"/>
  <c r="X98" i="24"/>
  <c r="W98" i="24"/>
  <c r="V98" i="24"/>
  <c r="U98" i="24"/>
  <c r="T98" i="24"/>
  <c r="S98" i="24"/>
  <c r="N98" i="24"/>
  <c r="M98" i="24"/>
  <c r="L98" i="24"/>
  <c r="K98" i="24"/>
  <c r="X97" i="24"/>
  <c r="W97" i="24"/>
  <c r="V97" i="24"/>
  <c r="U97" i="24"/>
  <c r="T97" i="24"/>
  <c r="S97" i="24"/>
  <c r="N97" i="24"/>
  <c r="M97" i="24"/>
  <c r="L97" i="24"/>
  <c r="K97" i="24"/>
  <c r="X96" i="24"/>
  <c r="W96" i="24"/>
  <c r="V96" i="24"/>
  <c r="U96" i="24"/>
  <c r="T96" i="24"/>
  <c r="S96" i="24"/>
  <c r="N96" i="24"/>
  <c r="M96" i="24"/>
  <c r="L96" i="24"/>
  <c r="K96" i="24"/>
  <c r="X95" i="24"/>
  <c r="W95" i="24"/>
  <c r="V95" i="24"/>
  <c r="U95" i="24"/>
  <c r="T95" i="24"/>
  <c r="S95" i="24"/>
  <c r="N95" i="24"/>
  <c r="M95" i="24"/>
  <c r="L95" i="24"/>
  <c r="K95" i="24"/>
  <c r="X94" i="24"/>
  <c r="W94" i="24"/>
  <c r="V94" i="24"/>
  <c r="U94" i="24"/>
  <c r="T94" i="24"/>
  <c r="S94" i="24"/>
  <c r="N94" i="24"/>
  <c r="M94" i="24"/>
  <c r="L94" i="24"/>
  <c r="K94" i="24"/>
  <c r="X93" i="24"/>
  <c r="W93" i="24"/>
  <c r="V93" i="24"/>
  <c r="U93" i="24"/>
  <c r="T93" i="24"/>
  <c r="S93" i="24"/>
  <c r="N93" i="24"/>
  <c r="M93" i="24"/>
  <c r="L93" i="24"/>
  <c r="K93" i="24"/>
  <c r="X92" i="24"/>
  <c r="W92" i="24"/>
  <c r="V92" i="24"/>
  <c r="U92" i="24"/>
  <c r="T92" i="24"/>
  <c r="S92" i="24"/>
  <c r="N92" i="24"/>
  <c r="M92" i="24"/>
  <c r="L92" i="24"/>
  <c r="K92" i="24"/>
  <c r="X91" i="24"/>
  <c r="W91" i="24"/>
  <c r="V91" i="24"/>
  <c r="U91" i="24"/>
  <c r="T91" i="24"/>
  <c r="S91" i="24"/>
  <c r="N91" i="24"/>
  <c r="M91" i="24"/>
  <c r="L91" i="24"/>
  <c r="K91" i="24"/>
  <c r="X90" i="24"/>
  <c r="W90" i="24"/>
  <c r="V90" i="24"/>
  <c r="U90" i="24"/>
  <c r="T90" i="24"/>
  <c r="S90" i="24"/>
  <c r="N90" i="24"/>
  <c r="M90" i="24"/>
  <c r="L90" i="24"/>
  <c r="K90" i="24"/>
  <c r="X89" i="24"/>
  <c r="W89" i="24"/>
  <c r="V89" i="24"/>
  <c r="U89" i="24"/>
  <c r="T89" i="24"/>
  <c r="S89" i="24"/>
  <c r="N89" i="24"/>
  <c r="M89" i="24"/>
  <c r="L89" i="24"/>
  <c r="K89" i="24"/>
  <c r="X88" i="24"/>
  <c r="W88" i="24"/>
  <c r="V88" i="24"/>
  <c r="U88" i="24"/>
  <c r="T88" i="24"/>
  <c r="S88" i="24"/>
  <c r="N88" i="24"/>
  <c r="M88" i="24"/>
  <c r="L88" i="24"/>
  <c r="K88" i="24"/>
  <c r="X87" i="24"/>
  <c r="W87" i="24"/>
  <c r="V87" i="24"/>
  <c r="U87" i="24"/>
  <c r="T87" i="24"/>
  <c r="S87" i="24"/>
  <c r="N87" i="24"/>
  <c r="M87" i="24"/>
  <c r="L87" i="24"/>
  <c r="K87" i="24"/>
  <c r="X86" i="24"/>
  <c r="W86" i="24"/>
  <c r="V86" i="24"/>
  <c r="U86" i="24"/>
  <c r="T86" i="24"/>
  <c r="S86" i="24"/>
  <c r="N86" i="24"/>
  <c r="M86" i="24"/>
  <c r="L86" i="24"/>
  <c r="K86" i="24"/>
  <c r="X85" i="24"/>
  <c r="W85" i="24"/>
  <c r="V85" i="24"/>
  <c r="U85" i="24"/>
  <c r="T85" i="24"/>
  <c r="S85" i="24"/>
  <c r="N85" i="24"/>
  <c r="M85" i="24"/>
  <c r="L85" i="24"/>
  <c r="K85" i="24"/>
  <c r="X84" i="24"/>
  <c r="W84" i="24"/>
  <c r="V84" i="24"/>
  <c r="U84" i="24"/>
  <c r="T84" i="24"/>
  <c r="S84" i="24"/>
  <c r="N84" i="24"/>
  <c r="M84" i="24"/>
  <c r="L84" i="24"/>
  <c r="K84" i="24"/>
  <c r="X83" i="24"/>
  <c r="W83" i="24"/>
  <c r="V83" i="24"/>
  <c r="U83" i="24"/>
  <c r="T83" i="24"/>
  <c r="S83" i="24"/>
  <c r="N83" i="24"/>
  <c r="M83" i="24"/>
  <c r="L83" i="24"/>
  <c r="K83" i="24"/>
  <c r="X82" i="24"/>
  <c r="W82" i="24"/>
  <c r="V82" i="24"/>
  <c r="U82" i="24"/>
  <c r="T82" i="24"/>
  <c r="S82" i="24"/>
  <c r="N82" i="24"/>
  <c r="M82" i="24"/>
  <c r="L82" i="24"/>
  <c r="K82" i="24"/>
  <c r="X81" i="24"/>
  <c r="W81" i="24"/>
  <c r="V81" i="24"/>
  <c r="U81" i="24"/>
  <c r="T81" i="24"/>
  <c r="S81" i="24"/>
  <c r="N81" i="24"/>
  <c r="M81" i="24"/>
  <c r="L81" i="24"/>
  <c r="K81" i="24"/>
  <c r="X80" i="24"/>
  <c r="W80" i="24"/>
  <c r="V80" i="24"/>
  <c r="U80" i="24"/>
  <c r="T80" i="24"/>
  <c r="S80" i="24"/>
  <c r="N80" i="24"/>
  <c r="M80" i="24"/>
  <c r="L80" i="24"/>
  <c r="K80" i="24"/>
  <c r="X79" i="24"/>
  <c r="W79" i="24"/>
  <c r="V79" i="24"/>
  <c r="U79" i="24"/>
  <c r="T79" i="24"/>
  <c r="S79" i="24"/>
  <c r="N79" i="24"/>
  <c r="M79" i="24"/>
  <c r="L79" i="24"/>
  <c r="K79" i="24"/>
  <c r="X78" i="24"/>
  <c r="W78" i="24"/>
  <c r="V78" i="24"/>
  <c r="U78" i="24"/>
  <c r="T78" i="24"/>
  <c r="S78" i="24"/>
  <c r="N78" i="24"/>
  <c r="M78" i="24"/>
  <c r="L78" i="24"/>
  <c r="K78" i="24"/>
  <c r="X77" i="24"/>
  <c r="W77" i="24"/>
  <c r="V77" i="24"/>
  <c r="U77" i="24"/>
  <c r="T77" i="24"/>
  <c r="S77" i="24"/>
  <c r="N77" i="24"/>
  <c r="M77" i="24"/>
  <c r="L77" i="24"/>
  <c r="K77" i="24"/>
  <c r="X76" i="24"/>
  <c r="W76" i="24"/>
  <c r="V76" i="24"/>
  <c r="U76" i="24"/>
  <c r="T76" i="24"/>
  <c r="S76" i="24"/>
  <c r="N76" i="24"/>
  <c r="M76" i="24"/>
  <c r="L76" i="24"/>
  <c r="K76" i="24"/>
  <c r="X75" i="24"/>
  <c r="W75" i="24"/>
  <c r="V75" i="24"/>
  <c r="U75" i="24"/>
  <c r="T75" i="24"/>
  <c r="S75" i="24"/>
  <c r="N75" i="24"/>
  <c r="M75" i="24"/>
  <c r="L75" i="24"/>
  <c r="K75" i="24"/>
  <c r="X74" i="24"/>
  <c r="W74" i="24"/>
  <c r="V74" i="24"/>
  <c r="U74" i="24"/>
  <c r="T74" i="24"/>
  <c r="S74" i="24"/>
  <c r="N74" i="24"/>
  <c r="M74" i="24"/>
  <c r="L74" i="24"/>
  <c r="K74" i="24"/>
  <c r="X73" i="24"/>
  <c r="W73" i="24"/>
  <c r="V73" i="24"/>
  <c r="U73" i="24"/>
  <c r="T73" i="24"/>
  <c r="S73" i="24"/>
  <c r="N73" i="24"/>
  <c r="M73" i="24"/>
  <c r="L73" i="24"/>
  <c r="K73" i="24"/>
  <c r="X72" i="24"/>
  <c r="W72" i="24"/>
  <c r="V72" i="24"/>
  <c r="U72" i="24"/>
  <c r="T72" i="24"/>
  <c r="S72" i="24"/>
  <c r="N72" i="24"/>
  <c r="M72" i="24"/>
  <c r="L72" i="24"/>
  <c r="K72" i="24"/>
  <c r="X71" i="24"/>
  <c r="W71" i="24"/>
  <c r="V71" i="24"/>
  <c r="U71" i="24"/>
  <c r="T71" i="24"/>
  <c r="S71" i="24"/>
  <c r="N71" i="24"/>
  <c r="M71" i="24"/>
  <c r="L71" i="24"/>
  <c r="K71" i="24"/>
  <c r="X70" i="24"/>
  <c r="W70" i="24"/>
  <c r="V70" i="24"/>
  <c r="U70" i="24"/>
  <c r="T70" i="24"/>
  <c r="S70" i="24"/>
  <c r="N70" i="24"/>
  <c r="M70" i="24"/>
  <c r="L70" i="24"/>
  <c r="K70" i="24"/>
  <c r="X69" i="24"/>
  <c r="W69" i="24"/>
  <c r="V69" i="24"/>
  <c r="U69" i="24"/>
  <c r="T69" i="24"/>
  <c r="S69" i="24"/>
  <c r="N69" i="24"/>
  <c r="M69" i="24"/>
  <c r="L69" i="24"/>
  <c r="K69" i="24"/>
  <c r="X68" i="24"/>
  <c r="W68" i="24"/>
  <c r="V68" i="24"/>
  <c r="U68" i="24"/>
  <c r="T68" i="24"/>
  <c r="S68" i="24"/>
  <c r="N68" i="24"/>
  <c r="M68" i="24"/>
  <c r="L68" i="24"/>
  <c r="K68" i="24"/>
  <c r="X67" i="24"/>
  <c r="W67" i="24"/>
  <c r="V67" i="24"/>
  <c r="U67" i="24"/>
  <c r="T67" i="24"/>
  <c r="S67" i="24"/>
  <c r="N67" i="24"/>
  <c r="M67" i="24"/>
  <c r="L67" i="24"/>
  <c r="K67" i="24"/>
  <c r="X66" i="24"/>
  <c r="W66" i="24"/>
  <c r="V66" i="24"/>
  <c r="U66" i="24"/>
  <c r="T66" i="24"/>
  <c r="S66" i="24"/>
  <c r="N66" i="24"/>
  <c r="M66" i="24"/>
  <c r="L66" i="24"/>
  <c r="K66" i="24"/>
  <c r="X65" i="24"/>
  <c r="W65" i="24"/>
  <c r="V65" i="24"/>
  <c r="U65" i="24"/>
  <c r="T65" i="24"/>
  <c r="S65" i="24"/>
  <c r="N65" i="24"/>
  <c r="M65" i="24"/>
  <c r="L65" i="24"/>
  <c r="K65" i="24"/>
  <c r="X64" i="24"/>
  <c r="W64" i="24"/>
  <c r="V64" i="24"/>
  <c r="U64" i="24"/>
  <c r="T64" i="24"/>
  <c r="S64" i="24"/>
  <c r="N64" i="24"/>
  <c r="M64" i="24"/>
  <c r="L64" i="24"/>
  <c r="K64" i="24"/>
  <c r="X63" i="24"/>
  <c r="W63" i="24"/>
  <c r="V63" i="24"/>
  <c r="U63" i="24"/>
  <c r="T63" i="24"/>
  <c r="S63" i="24"/>
  <c r="N63" i="24"/>
  <c r="M63" i="24"/>
  <c r="L63" i="24"/>
  <c r="K63" i="24"/>
  <c r="X62" i="24"/>
  <c r="W62" i="24"/>
  <c r="V62" i="24"/>
  <c r="U62" i="24"/>
  <c r="T62" i="24"/>
  <c r="S62" i="24"/>
  <c r="N62" i="24"/>
  <c r="M62" i="24"/>
  <c r="L62" i="24"/>
  <c r="K62" i="24"/>
  <c r="X61" i="24"/>
  <c r="W61" i="24"/>
  <c r="V61" i="24"/>
  <c r="U61" i="24"/>
  <c r="T61" i="24"/>
  <c r="S61" i="24"/>
  <c r="N61" i="24"/>
  <c r="M61" i="24"/>
  <c r="L61" i="24"/>
  <c r="K61" i="24"/>
  <c r="X60" i="24"/>
  <c r="W60" i="24"/>
  <c r="V60" i="24"/>
  <c r="U60" i="24"/>
  <c r="T60" i="24"/>
  <c r="S60" i="24"/>
  <c r="N60" i="24"/>
  <c r="M60" i="24"/>
  <c r="L60" i="24"/>
  <c r="K60" i="24"/>
  <c r="X59" i="24"/>
  <c r="W59" i="24"/>
  <c r="V59" i="24"/>
  <c r="U59" i="24"/>
  <c r="T59" i="24"/>
  <c r="S59" i="24"/>
  <c r="N59" i="24"/>
  <c r="M59" i="24"/>
  <c r="L59" i="24"/>
  <c r="K59" i="24"/>
  <c r="X58" i="24"/>
  <c r="W58" i="24"/>
  <c r="V58" i="24"/>
  <c r="U58" i="24"/>
  <c r="T58" i="24"/>
  <c r="S58" i="24"/>
  <c r="N58" i="24"/>
  <c r="M58" i="24"/>
  <c r="L58" i="24"/>
  <c r="K58" i="24"/>
  <c r="X57" i="24"/>
  <c r="W57" i="24"/>
  <c r="V57" i="24"/>
  <c r="U57" i="24"/>
  <c r="T57" i="24"/>
  <c r="S57" i="24"/>
  <c r="N57" i="24"/>
  <c r="M57" i="24"/>
  <c r="L57" i="24"/>
  <c r="K57" i="24"/>
  <c r="X56" i="24"/>
  <c r="W56" i="24"/>
  <c r="V56" i="24"/>
  <c r="U56" i="24"/>
  <c r="T56" i="24"/>
  <c r="S56" i="24"/>
  <c r="N56" i="24"/>
  <c r="M56" i="24"/>
  <c r="L56" i="24"/>
  <c r="K56" i="24"/>
  <c r="X55" i="24"/>
  <c r="W55" i="24"/>
  <c r="V55" i="24"/>
  <c r="U55" i="24"/>
  <c r="T55" i="24"/>
  <c r="S55" i="24"/>
  <c r="N55" i="24"/>
  <c r="M55" i="24"/>
  <c r="L55" i="24"/>
  <c r="X54" i="24"/>
  <c r="W54" i="24"/>
  <c r="V54" i="24"/>
  <c r="X53" i="24"/>
  <c r="W53" i="24"/>
  <c r="V53" i="24"/>
  <c r="U53" i="24"/>
  <c r="T53" i="24"/>
  <c r="S53" i="24"/>
  <c r="N53" i="24"/>
  <c r="M53" i="24"/>
  <c r="L53" i="24"/>
  <c r="X52" i="24"/>
  <c r="W52" i="24"/>
  <c r="V52" i="24"/>
  <c r="U52" i="24"/>
  <c r="T52" i="24"/>
  <c r="S52" i="24"/>
  <c r="N52" i="24"/>
  <c r="M52" i="24"/>
  <c r="L52" i="24"/>
  <c r="K52" i="24"/>
  <c r="X51" i="24"/>
  <c r="W51" i="24"/>
  <c r="V51" i="24"/>
  <c r="U51" i="24"/>
  <c r="T51" i="24"/>
  <c r="S51" i="24"/>
  <c r="N51" i="24"/>
  <c r="M51" i="24"/>
  <c r="L51" i="24"/>
  <c r="X50" i="24"/>
  <c r="W50" i="24"/>
  <c r="V50" i="24"/>
  <c r="U50" i="24"/>
  <c r="T50" i="24"/>
  <c r="S50" i="24"/>
  <c r="N50" i="24"/>
  <c r="M50" i="24"/>
  <c r="L50" i="24"/>
  <c r="X49" i="24"/>
  <c r="W49" i="24"/>
  <c r="V49" i="24"/>
  <c r="U49" i="24"/>
  <c r="T49" i="24"/>
  <c r="S49" i="24"/>
  <c r="N49" i="24"/>
  <c r="M49" i="24"/>
  <c r="L49" i="24"/>
  <c r="X48" i="24"/>
  <c r="W48" i="24"/>
  <c r="V48" i="24"/>
  <c r="U48" i="24"/>
  <c r="T48" i="24"/>
  <c r="S48" i="24"/>
  <c r="N48" i="24"/>
  <c r="M48" i="24"/>
  <c r="L48" i="24"/>
  <c r="X47" i="24"/>
  <c r="W47" i="24"/>
  <c r="V47" i="24"/>
  <c r="U47" i="24"/>
  <c r="T47" i="24"/>
  <c r="S47" i="24"/>
  <c r="N47" i="24"/>
  <c r="M47" i="24"/>
  <c r="L47" i="24"/>
  <c r="X46" i="24"/>
  <c r="W46" i="24"/>
  <c r="V46" i="24"/>
  <c r="U46" i="24"/>
  <c r="T46" i="24"/>
  <c r="S46" i="24"/>
  <c r="N46" i="24"/>
  <c r="M46" i="24"/>
  <c r="L46" i="24"/>
  <c r="X45" i="24"/>
  <c r="W45" i="24"/>
  <c r="V45" i="24"/>
  <c r="U45" i="24"/>
  <c r="T45" i="24"/>
  <c r="S45" i="24"/>
  <c r="N45" i="24"/>
  <c r="M45" i="24"/>
  <c r="L45" i="24"/>
  <c r="X44" i="24"/>
  <c r="W44" i="24"/>
  <c r="V44" i="24"/>
  <c r="U44" i="24"/>
  <c r="T44" i="24"/>
  <c r="S44" i="24"/>
  <c r="N44" i="24"/>
  <c r="M44" i="24"/>
  <c r="L44" i="24"/>
  <c r="X43" i="24"/>
  <c r="W43" i="24"/>
  <c r="V43" i="24"/>
  <c r="U43" i="24"/>
  <c r="T43" i="24"/>
  <c r="S43" i="24"/>
  <c r="N43" i="24"/>
  <c r="M43" i="24"/>
  <c r="L43" i="24"/>
  <c r="X42" i="24"/>
  <c r="W42" i="24"/>
  <c r="V42" i="24"/>
  <c r="U42" i="24"/>
  <c r="T42" i="24"/>
  <c r="S42" i="24"/>
  <c r="N42" i="24"/>
  <c r="M42" i="24"/>
  <c r="L42" i="24"/>
  <c r="U41" i="24"/>
  <c r="T41" i="24"/>
  <c r="S41" i="24"/>
  <c r="N41" i="24"/>
  <c r="Q42" i="24" s="1"/>
  <c r="M41" i="24"/>
  <c r="P54" i="24" s="1"/>
  <c r="L41" i="24"/>
  <c r="O41" i="24" s="1"/>
  <c r="X40" i="24"/>
  <c r="W40" i="24"/>
  <c r="V40" i="24"/>
  <c r="U40" i="24"/>
  <c r="T40" i="24"/>
  <c r="S40" i="24"/>
  <c r="Q40" i="24"/>
  <c r="P40" i="24"/>
  <c r="O40" i="24"/>
  <c r="N40" i="24"/>
  <c r="M40" i="24"/>
  <c r="L40" i="24"/>
  <c r="X39" i="24"/>
  <c r="W39" i="24"/>
  <c r="V39" i="24"/>
  <c r="U39" i="24"/>
  <c r="T39" i="24"/>
  <c r="S39" i="24"/>
  <c r="Q39" i="24"/>
  <c r="P39" i="24"/>
  <c r="O39" i="24"/>
  <c r="N39" i="24"/>
  <c r="M39" i="24"/>
  <c r="L39" i="24"/>
  <c r="X38" i="24"/>
  <c r="W38" i="24"/>
  <c r="V38" i="24"/>
  <c r="U38" i="24"/>
  <c r="T38" i="24"/>
  <c r="S38" i="24"/>
  <c r="Q38" i="24"/>
  <c r="P38" i="24"/>
  <c r="O38" i="24"/>
  <c r="N38" i="24"/>
  <c r="M38" i="24"/>
  <c r="L38" i="24"/>
  <c r="X37" i="24"/>
  <c r="W37" i="24"/>
  <c r="V37" i="24"/>
  <c r="U37" i="24"/>
  <c r="T37" i="24"/>
  <c r="S37" i="24"/>
  <c r="Q37" i="24"/>
  <c r="P37" i="24"/>
  <c r="O37" i="24"/>
  <c r="N37" i="24"/>
  <c r="M37" i="24"/>
  <c r="L37" i="24"/>
  <c r="X36" i="24"/>
  <c r="W36" i="24"/>
  <c r="V36" i="24"/>
  <c r="U36" i="24"/>
  <c r="T36" i="24"/>
  <c r="S36" i="24"/>
  <c r="Q36" i="24"/>
  <c r="P36" i="24"/>
  <c r="O36" i="24"/>
  <c r="N36" i="24"/>
  <c r="M36" i="24"/>
  <c r="L36" i="24"/>
  <c r="X35" i="24"/>
  <c r="W35" i="24"/>
  <c r="V35" i="24"/>
  <c r="U35" i="24"/>
  <c r="T35" i="24"/>
  <c r="S35" i="24"/>
  <c r="Q35" i="24"/>
  <c r="P35" i="24"/>
  <c r="O35" i="24"/>
  <c r="N35" i="24"/>
  <c r="M35" i="24"/>
  <c r="L35" i="24"/>
  <c r="X34" i="24"/>
  <c r="W34" i="24"/>
  <c r="V34" i="24"/>
  <c r="U34" i="24"/>
  <c r="T34" i="24"/>
  <c r="S34" i="24"/>
  <c r="Q34" i="24"/>
  <c r="P34" i="24"/>
  <c r="O34" i="24"/>
  <c r="N34" i="24"/>
  <c r="M34" i="24"/>
  <c r="L34" i="24"/>
  <c r="X33" i="24"/>
  <c r="W33" i="24"/>
  <c r="V33" i="24"/>
  <c r="U33" i="24"/>
  <c r="T33" i="24"/>
  <c r="S33" i="24"/>
  <c r="Q33" i="24"/>
  <c r="P33" i="24"/>
  <c r="O33" i="24"/>
  <c r="N33" i="24"/>
  <c r="M33" i="24"/>
  <c r="L33" i="24"/>
  <c r="X32" i="24"/>
  <c r="W32" i="24"/>
  <c r="V32" i="24"/>
  <c r="U32" i="24"/>
  <c r="T32" i="24"/>
  <c r="S32" i="24"/>
  <c r="Q32" i="24"/>
  <c r="P32" i="24"/>
  <c r="O32" i="24"/>
  <c r="N32" i="24"/>
  <c r="M32" i="24"/>
  <c r="L32" i="24"/>
  <c r="X31" i="24"/>
  <c r="W31" i="24"/>
  <c r="V31" i="24"/>
  <c r="U31" i="24"/>
  <c r="T31" i="24"/>
  <c r="S31" i="24"/>
  <c r="Q31" i="24"/>
  <c r="P31" i="24"/>
  <c r="O31" i="24"/>
  <c r="N31" i="24"/>
  <c r="M31" i="24"/>
  <c r="L31" i="24"/>
  <c r="X30" i="24"/>
  <c r="W30" i="24"/>
  <c r="V30" i="24"/>
  <c r="U30" i="24"/>
  <c r="T30" i="24"/>
  <c r="S30" i="24"/>
  <c r="Q30" i="24"/>
  <c r="P30" i="24"/>
  <c r="O30" i="24"/>
  <c r="N30" i="24"/>
  <c r="M30" i="24"/>
  <c r="L30" i="24"/>
  <c r="X29" i="24"/>
  <c r="W29" i="24"/>
  <c r="V29" i="24"/>
  <c r="U29" i="24"/>
  <c r="T29" i="24"/>
  <c r="S29" i="24"/>
  <c r="Q29" i="24"/>
  <c r="P29" i="24"/>
  <c r="O29" i="24"/>
  <c r="N29" i="24"/>
  <c r="M29" i="24"/>
  <c r="L29" i="24"/>
  <c r="X28" i="24"/>
  <c r="W28" i="24"/>
  <c r="V28" i="24"/>
  <c r="U28" i="24"/>
  <c r="T28" i="24"/>
  <c r="S28" i="24"/>
  <c r="Q28" i="24"/>
  <c r="P28" i="24"/>
  <c r="O28" i="24"/>
  <c r="N28" i="24"/>
  <c r="M28" i="24"/>
  <c r="L28" i="24"/>
  <c r="X27" i="24"/>
  <c r="W27" i="24"/>
  <c r="V27" i="24"/>
  <c r="U27" i="24"/>
  <c r="T27" i="24"/>
  <c r="S27" i="24"/>
  <c r="Q27" i="24"/>
  <c r="P27" i="24"/>
  <c r="O27" i="24"/>
  <c r="N27" i="24"/>
  <c r="M27" i="24"/>
  <c r="L27" i="24"/>
  <c r="X26" i="24"/>
  <c r="W26" i="24"/>
  <c r="V26" i="24"/>
  <c r="U26" i="24"/>
  <c r="T26" i="24"/>
  <c r="S26" i="24"/>
  <c r="Q26" i="24"/>
  <c r="P26" i="24"/>
  <c r="O26" i="24"/>
  <c r="N26" i="24"/>
  <c r="M26" i="24"/>
  <c r="L26" i="24"/>
  <c r="X25" i="24"/>
  <c r="W25" i="24"/>
  <c r="V25" i="24"/>
  <c r="U25" i="24"/>
  <c r="T25" i="24"/>
  <c r="S25" i="24"/>
  <c r="Q25" i="24"/>
  <c r="P25" i="24"/>
  <c r="O25" i="24"/>
  <c r="N25" i="24"/>
  <c r="M25" i="24"/>
  <c r="L25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R16" i="24"/>
  <c r="N16" i="24"/>
  <c r="M16" i="24"/>
  <c r="L16" i="24"/>
  <c r="K16" i="24"/>
  <c r="W7" i="24"/>
  <c r="Y2" i="24"/>
  <c r="X153" i="22"/>
  <c r="W153" i="22"/>
  <c r="V153" i="22"/>
  <c r="U153" i="22"/>
  <c r="T153" i="22"/>
  <c r="S153" i="22"/>
  <c r="R153" i="22"/>
  <c r="N153" i="22"/>
  <c r="M153" i="22"/>
  <c r="L153" i="22"/>
  <c r="K153" i="22"/>
  <c r="X152" i="22"/>
  <c r="W152" i="22"/>
  <c r="V152" i="22"/>
  <c r="U152" i="22"/>
  <c r="T152" i="22"/>
  <c r="S152" i="22"/>
  <c r="R152" i="22"/>
  <c r="N152" i="22"/>
  <c r="M152" i="22"/>
  <c r="L152" i="22"/>
  <c r="K152" i="22"/>
  <c r="X151" i="22"/>
  <c r="W151" i="22"/>
  <c r="V151" i="22"/>
  <c r="U151" i="22"/>
  <c r="T151" i="22"/>
  <c r="S151" i="22"/>
  <c r="R151" i="22"/>
  <c r="N151" i="22"/>
  <c r="M151" i="22"/>
  <c r="L151" i="22"/>
  <c r="K151" i="22"/>
  <c r="X150" i="22"/>
  <c r="W150" i="22"/>
  <c r="V150" i="22"/>
  <c r="U150" i="22"/>
  <c r="T150" i="22"/>
  <c r="S150" i="22"/>
  <c r="R150" i="22"/>
  <c r="N150" i="22"/>
  <c r="M150" i="22"/>
  <c r="L150" i="22"/>
  <c r="K150" i="22"/>
  <c r="X149" i="22"/>
  <c r="W149" i="22"/>
  <c r="V149" i="22"/>
  <c r="U149" i="22"/>
  <c r="T149" i="22"/>
  <c r="S149" i="22"/>
  <c r="R149" i="22"/>
  <c r="N149" i="22"/>
  <c r="M149" i="22"/>
  <c r="L149" i="22"/>
  <c r="K149" i="22"/>
  <c r="X148" i="22"/>
  <c r="W148" i="22"/>
  <c r="V148" i="22"/>
  <c r="U148" i="22"/>
  <c r="T148" i="22"/>
  <c r="S148" i="22"/>
  <c r="R148" i="22"/>
  <c r="N148" i="22"/>
  <c r="M148" i="22"/>
  <c r="L148" i="22"/>
  <c r="K148" i="22"/>
  <c r="X147" i="22"/>
  <c r="W147" i="22"/>
  <c r="V147" i="22"/>
  <c r="U147" i="22"/>
  <c r="T147" i="22"/>
  <c r="S147" i="22"/>
  <c r="R147" i="22"/>
  <c r="N147" i="22"/>
  <c r="M147" i="22"/>
  <c r="L147" i="22"/>
  <c r="K147" i="22"/>
  <c r="X146" i="22"/>
  <c r="W146" i="22"/>
  <c r="V146" i="22"/>
  <c r="U146" i="22"/>
  <c r="T146" i="22"/>
  <c r="S146" i="22"/>
  <c r="R146" i="22"/>
  <c r="N146" i="22"/>
  <c r="M146" i="22"/>
  <c r="L146" i="22"/>
  <c r="K146" i="22"/>
  <c r="X145" i="22"/>
  <c r="W145" i="22"/>
  <c r="V145" i="22"/>
  <c r="U145" i="22"/>
  <c r="T145" i="22"/>
  <c r="S145" i="22"/>
  <c r="R145" i="22"/>
  <c r="N145" i="22"/>
  <c r="M145" i="22"/>
  <c r="L145" i="22"/>
  <c r="K145" i="22"/>
  <c r="X144" i="22"/>
  <c r="W144" i="22"/>
  <c r="V144" i="22"/>
  <c r="U144" i="22"/>
  <c r="T144" i="22"/>
  <c r="S144" i="22"/>
  <c r="R144" i="22"/>
  <c r="N144" i="22"/>
  <c r="M144" i="22"/>
  <c r="L144" i="22"/>
  <c r="K144" i="22"/>
  <c r="X143" i="22"/>
  <c r="W143" i="22"/>
  <c r="V143" i="22"/>
  <c r="U143" i="22"/>
  <c r="T143" i="22"/>
  <c r="S143" i="22"/>
  <c r="R143" i="22"/>
  <c r="N143" i="22"/>
  <c r="M143" i="22"/>
  <c r="L143" i="22"/>
  <c r="K143" i="22"/>
  <c r="X142" i="22"/>
  <c r="W142" i="22"/>
  <c r="V142" i="22"/>
  <c r="U142" i="22"/>
  <c r="T142" i="22"/>
  <c r="S142" i="22"/>
  <c r="R142" i="22"/>
  <c r="N142" i="22"/>
  <c r="M142" i="22"/>
  <c r="L142" i="22"/>
  <c r="K142" i="22"/>
  <c r="X141" i="22"/>
  <c r="W141" i="22"/>
  <c r="V141" i="22"/>
  <c r="U141" i="22"/>
  <c r="T141" i="22"/>
  <c r="S141" i="22"/>
  <c r="R141" i="22"/>
  <c r="N141" i="22"/>
  <c r="M141" i="22"/>
  <c r="L141" i="22"/>
  <c r="K141" i="22"/>
  <c r="X140" i="22"/>
  <c r="W140" i="22"/>
  <c r="V140" i="22"/>
  <c r="U140" i="22"/>
  <c r="T140" i="22"/>
  <c r="S140" i="22"/>
  <c r="R140" i="22"/>
  <c r="N140" i="22"/>
  <c r="M140" i="22"/>
  <c r="L140" i="22"/>
  <c r="K140" i="22"/>
  <c r="X139" i="22"/>
  <c r="W139" i="22"/>
  <c r="V139" i="22"/>
  <c r="U139" i="22"/>
  <c r="T139" i="22"/>
  <c r="S139" i="22"/>
  <c r="R139" i="22"/>
  <c r="N139" i="22"/>
  <c r="M139" i="22"/>
  <c r="L139" i="22"/>
  <c r="K139" i="22"/>
  <c r="X138" i="22"/>
  <c r="W138" i="22"/>
  <c r="V138" i="22"/>
  <c r="U138" i="22"/>
  <c r="T138" i="22"/>
  <c r="S138" i="22"/>
  <c r="R138" i="22"/>
  <c r="N138" i="22"/>
  <c r="M138" i="22"/>
  <c r="L138" i="22"/>
  <c r="K138" i="22"/>
  <c r="X137" i="22"/>
  <c r="W137" i="22"/>
  <c r="V137" i="22"/>
  <c r="U137" i="22"/>
  <c r="T137" i="22"/>
  <c r="S137" i="22"/>
  <c r="R137" i="22"/>
  <c r="N137" i="22"/>
  <c r="M137" i="22"/>
  <c r="L137" i="22"/>
  <c r="K137" i="22"/>
  <c r="X136" i="22"/>
  <c r="W136" i="22"/>
  <c r="V136" i="22"/>
  <c r="U136" i="22"/>
  <c r="T136" i="22"/>
  <c r="S136" i="22"/>
  <c r="R136" i="22"/>
  <c r="N136" i="22"/>
  <c r="M136" i="22"/>
  <c r="L136" i="22"/>
  <c r="K136" i="22"/>
  <c r="X135" i="22"/>
  <c r="W135" i="22"/>
  <c r="V135" i="22"/>
  <c r="U135" i="22"/>
  <c r="T135" i="22"/>
  <c r="S135" i="22"/>
  <c r="R135" i="22"/>
  <c r="N135" i="22"/>
  <c r="M135" i="22"/>
  <c r="L135" i="22"/>
  <c r="K135" i="22"/>
  <c r="X134" i="22"/>
  <c r="W134" i="22"/>
  <c r="V134" i="22"/>
  <c r="U134" i="22"/>
  <c r="T134" i="22"/>
  <c r="S134" i="22"/>
  <c r="R134" i="22"/>
  <c r="N134" i="22"/>
  <c r="M134" i="22"/>
  <c r="L134" i="22"/>
  <c r="K134" i="22"/>
  <c r="X133" i="22"/>
  <c r="W133" i="22"/>
  <c r="V133" i="22"/>
  <c r="U133" i="22"/>
  <c r="T133" i="22"/>
  <c r="S133" i="22"/>
  <c r="R133" i="22"/>
  <c r="N133" i="22"/>
  <c r="M133" i="22"/>
  <c r="L133" i="22"/>
  <c r="K133" i="22"/>
  <c r="X132" i="22"/>
  <c r="W132" i="22"/>
  <c r="V132" i="22"/>
  <c r="U132" i="22"/>
  <c r="T132" i="22"/>
  <c r="S132" i="22"/>
  <c r="R132" i="22"/>
  <c r="N132" i="22"/>
  <c r="M132" i="22"/>
  <c r="L132" i="22"/>
  <c r="K132" i="22"/>
  <c r="X131" i="22"/>
  <c r="W131" i="22"/>
  <c r="V131" i="22"/>
  <c r="U131" i="22"/>
  <c r="T131" i="22"/>
  <c r="S131" i="22"/>
  <c r="R131" i="22"/>
  <c r="N131" i="22"/>
  <c r="M131" i="22"/>
  <c r="L131" i="22"/>
  <c r="K131" i="22"/>
  <c r="X130" i="22"/>
  <c r="W130" i="22"/>
  <c r="V130" i="22"/>
  <c r="U130" i="22"/>
  <c r="T130" i="22"/>
  <c r="S130" i="22"/>
  <c r="R130" i="22"/>
  <c r="N130" i="22"/>
  <c r="M130" i="22"/>
  <c r="L130" i="22"/>
  <c r="K130" i="22"/>
  <c r="X129" i="22"/>
  <c r="W129" i="22"/>
  <c r="V129" i="22"/>
  <c r="U129" i="22"/>
  <c r="T129" i="22"/>
  <c r="S129" i="22"/>
  <c r="R129" i="22"/>
  <c r="N129" i="22"/>
  <c r="M129" i="22"/>
  <c r="L129" i="22"/>
  <c r="K129" i="22"/>
  <c r="X128" i="22"/>
  <c r="W128" i="22"/>
  <c r="V128" i="22"/>
  <c r="U128" i="22"/>
  <c r="T128" i="22"/>
  <c r="S128" i="22"/>
  <c r="R128" i="22"/>
  <c r="N128" i="22"/>
  <c r="M128" i="22"/>
  <c r="L128" i="22"/>
  <c r="K128" i="22"/>
  <c r="X127" i="22"/>
  <c r="W127" i="22"/>
  <c r="V127" i="22"/>
  <c r="U127" i="22"/>
  <c r="T127" i="22"/>
  <c r="S127" i="22"/>
  <c r="R127" i="22"/>
  <c r="N127" i="22"/>
  <c r="M127" i="22"/>
  <c r="L127" i="22"/>
  <c r="K127" i="22"/>
  <c r="X126" i="22"/>
  <c r="W126" i="22"/>
  <c r="V126" i="22"/>
  <c r="U126" i="22"/>
  <c r="T126" i="22"/>
  <c r="S126" i="22"/>
  <c r="R126" i="22"/>
  <c r="N126" i="22"/>
  <c r="M126" i="22"/>
  <c r="L126" i="22"/>
  <c r="K126" i="22"/>
  <c r="X125" i="22"/>
  <c r="W125" i="22"/>
  <c r="V125" i="22"/>
  <c r="U125" i="22"/>
  <c r="T125" i="22"/>
  <c r="S125" i="22"/>
  <c r="R125" i="22"/>
  <c r="N125" i="22"/>
  <c r="M125" i="22"/>
  <c r="L125" i="22"/>
  <c r="K125" i="22"/>
  <c r="X124" i="22"/>
  <c r="W124" i="22"/>
  <c r="V124" i="22"/>
  <c r="U124" i="22"/>
  <c r="T124" i="22"/>
  <c r="S124" i="22"/>
  <c r="R124" i="22"/>
  <c r="N124" i="22"/>
  <c r="M124" i="22"/>
  <c r="L124" i="22"/>
  <c r="K124" i="22"/>
  <c r="X123" i="22"/>
  <c r="W123" i="22"/>
  <c r="V123" i="22"/>
  <c r="U123" i="22"/>
  <c r="T123" i="22"/>
  <c r="S123" i="22"/>
  <c r="R123" i="22"/>
  <c r="N123" i="22"/>
  <c r="M123" i="22"/>
  <c r="L123" i="22"/>
  <c r="K123" i="22"/>
  <c r="X122" i="22"/>
  <c r="W122" i="22"/>
  <c r="V122" i="22"/>
  <c r="U122" i="22"/>
  <c r="T122" i="22"/>
  <c r="S122" i="22"/>
  <c r="R122" i="22"/>
  <c r="N122" i="22"/>
  <c r="M122" i="22"/>
  <c r="L122" i="22"/>
  <c r="K122" i="22"/>
  <c r="X121" i="22"/>
  <c r="W121" i="22"/>
  <c r="V121" i="22"/>
  <c r="U121" i="22"/>
  <c r="T121" i="22"/>
  <c r="S121" i="22"/>
  <c r="R121" i="22"/>
  <c r="N121" i="22"/>
  <c r="M121" i="22"/>
  <c r="L121" i="22"/>
  <c r="K121" i="22"/>
  <c r="X120" i="22"/>
  <c r="W120" i="22"/>
  <c r="V120" i="22"/>
  <c r="U120" i="22"/>
  <c r="T120" i="22"/>
  <c r="S120" i="22"/>
  <c r="R120" i="22"/>
  <c r="N120" i="22"/>
  <c r="M120" i="22"/>
  <c r="L120" i="22"/>
  <c r="K120" i="22"/>
  <c r="X119" i="22"/>
  <c r="W119" i="22"/>
  <c r="V119" i="22"/>
  <c r="U119" i="22"/>
  <c r="T119" i="22"/>
  <c r="S119" i="22"/>
  <c r="R119" i="22"/>
  <c r="N119" i="22"/>
  <c r="M119" i="22"/>
  <c r="L119" i="22"/>
  <c r="K119" i="22"/>
  <c r="X118" i="22"/>
  <c r="W118" i="22"/>
  <c r="V118" i="22"/>
  <c r="U118" i="22"/>
  <c r="T118" i="22"/>
  <c r="S118" i="22"/>
  <c r="R118" i="22"/>
  <c r="N118" i="22"/>
  <c r="M118" i="22"/>
  <c r="L118" i="22"/>
  <c r="K118" i="22"/>
  <c r="X117" i="22"/>
  <c r="W117" i="22"/>
  <c r="V117" i="22"/>
  <c r="U117" i="22"/>
  <c r="T117" i="22"/>
  <c r="S117" i="22"/>
  <c r="R117" i="22"/>
  <c r="N117" i="22"/>
  <c r="M117" i="22"/>
  <c r="L117" i="22"/>
  <c r="K117" i="22"/>
  <c r="X116" i="22"/>
  <c r="W116" i="22"/>
  <c r="V116" i="22"/>
  <c r="U116" i="22"/>
  <c r="T116" i="22"/>
  <c r="S116" i="22"/>
  <c r="R116" i="22"/>
  <c r="N116" i="22"/>
  <c r="M116" i="22"/>
  <c r="L116" i="22"/>
  <c r="K116" i="22"/>
  <c r="X115" i="22"/>
  <c r="W115" i="22"/>
  <c r="V115" i="22"/>
  <c r="U115" i="22"/>
  <c r="T115" i="22"/>
  <c r="S115" i="22"/>
  <c r="R115" i="22"/>
  <c r="N115" i="22"/>
  <c r="M115" i="22"/>
  <c r="L115" i="22"/>
  <c r="K115" i="22"/>
  <c r="X114" i="22"/>
  <c r="W114" i="22"/>
  <c r="V114" i="22"/>
  <c r="U114" i="22"/>
  <c r="T114" i="22"/>
  <c r="S114" i="22"/>
  <c r="R114" i="22"/>
  <c r="N114" i="22"/>
  <c r="M114" i="22"/>
  <c r="L114" i="22"/>
  <c r="K114" i="22"/>
  <c r="X113" i="22"/>
  <c r="W113" i="22"/>
  <c r="V113" i="22"/>
  <c r="U113" i="22"/>
  <c r="T113" i="22"/>
  <c r="S113" i="22"/>
  <c r="R113" i="22"/>
  <c r="N113" i="22"/>
  <c r="M113" i="22"/>
  <c r="L113" i="22"/>
  <c r="K113" i="22"/>
  <c r="X112" i="22"/>
  <c r="W112" i="22"/>
  <c r="V112" i="22"/>
  <c r="U112" i="22"/>
  <c r="T112" i="22"/>
  <c r="S112" i="22"/>
  <c r="R112" i="22"/>
  <c r="N112" i="22"/>
  <c r="M112" i="22"/>
  <c r="L112" i="22"/>
  <c r="K112" i="22"/>
  <c r="X111" i="22"/>
  <c r="W111" i="22"/>
  <c r="V111" i="22"/>
  <c r="U111" i="22"/>
  <c r="T111" i="22"/>
  <c r="S111" i="22"/>
  <c r="R111" i="22"/>
  <c r="N111" i="22"/>
  <c r="M111" i="22"/>
  <c r="L111" i="22"/>
  <c r="K111" i="22"/>
  <c r="X110" i="22"/>
  <c r="W110" i="22"/>
  <c r="V110" i="22"/>
  <c r="U110" i="22"/>
  <c r="T110" i="22"/>
  <c r="S110" i="22"/>
  <c r="R110" i="22"/>
  <c r="N110" i="22"/>
  <c r="M110" i="22"/>
  <c r="L110" i="22"/>
  <c r="K110" i="22"/>
  <c r="X109" i="22"/>
  <c r="W109" i="22"/>
  <c r="V109" i="22"/>
  <c r="U109" i="22"/>
  <c r="T109" i="22"/>
  <c r="S109" i="22"/>
  <c r="R109" i="22"/>
  <c r="N109" i="22"/>
  <c r="M109" i="22"/>
  <c r="L109" i="22"/>
  <c r="K109" i="22"/>
  <c r="X108" i="22"/>
  <c r="W108" i="22"/>
  <c r="V108" i="22"/>
  <c r="U108" i="22"/>
  <c r="T108" i="22"/>
  <c r="S108" i="22"/>
  <c r="R108" i="22"/>
  <c r="N108" i="22"/>
  <c r="M108" i="22"/>
  <c r="L108" i="22"/>
  <c r="K108" i="22"/>
  <c r="X107" i="22"/>
  <c r="W107" i="22"/>
  <c r="V107" i="22"/>
  <c r="U107" i="22"/>
  <c r="T107" i="22"/>
  <c r="S107" i="22"/>
  <c r="R107" i="22"/>
  <c r="N107" i="22"/>
  <c r="M107" i="22"/>
  <c r="L107" i="22"/>
  <c r="K107" i="22"/>
  <c r="X106" i="22"/>
  <c r="W106" i="22"/>
  <c r="V106" i="22"/>
  <c r="U106" i="22"/>
  <c r="T106" i="22"/>
  <c r="S106" i="22"/>
  <c r="R106" i="22"/>
  <c r="N106" i="22"/>
  <c r="M106" i="22"/>
  <c r="L106" i="22"/>
  <c r="K106" i="22"/>
  <c r="X105" i="22"/>
  <c r="W105" i="22"/>
  <c r="V105" i="22"/>
  <c r="U105" i="22"/>
  <c r="T105" i="22"/>
  <c r="S105" i="22"/>
  <c r="R105" i="22"/>
  <c r="N105" i="22"/>
  <c r="M105" i="22"/>
  <c r="L105" i="22"/>
  <c r="K105" i="22"/>
  <c r="X104" i="22"/>
  <c r="W104" i="22"/>
  <c r="V104" i="22"/>
  <c r="U104" i="22"/>
  <c r="T104" i="22"/>
  <c r="S104" i="22"/>
  <c r="R104" i="22"/>
  <c r="N104" i="22"/>
  <c r="M104" i="22"/>
  <c r="L104" i="22"/>
  <c r="K104" i="22"/>
  <c r="X103" i="22"/>
  <c r="W103" i="22"/>
  <c r="V103" i="22"/>
  <c r="U103" i="22"/>
  <c r="T103" i="22"/>
  <c r="S103" i="22"/>
  <c r="R103" i="22"/>
  <c r="N103" i="22"/>
  <c r="M103" i="22"/>
  <c r="L103" i="22"/>
  <c r="K103" i="22"/>
  <c r="X102" i="22"/>
  <c r="W102" i="22"/>
  <c r="V102" i="22"/>
  <c r="U102" i="22"/>
  <c r="T102" i="22"/>
  <c r="S102" i="22"/>
  <c r="R102" i="22"/>
  <c r="N102" i="22"/>
  <c r="M102" i="22"/>
  <c r="L102" i="22"/>
  <c r="K102" i="22"/>
  <c r="X101" i="22"/>
  <c r="W101" i="22"/>
  <c r="V101" i="22"/>
  <c r="U101" i="22"/>
  <c r="T101" i="22"/>
  <c r="S101" i="22"/>
  <c r="R101" i="22"/>
  <c r="N101" i="22"/>
  <c r="M101" i="22"/>
  <c r="L101" i="22"/>
  <c r="K101" i="22"/>
  <c r="X100" i="22"/>
  <c r="W100" i="22"/>
  <c r="V100" i="22"/>
  <c r="U100" i="22"/>
  <c r="T100" i="22"/>
  <c r="S100" i="22"/>
  <c r="R100" i="22"/>
  <c r="N100" i="22"/>
  <c r="M100" i="22"/>
  <c r="L100" i="22"/>
  <c r="K100" i="22"/>
  <c r="X99" i="22"/>
  <c r="W99" i="22"/>
  <c r="V99" i="22"/>
  <c r="U99" i="22"/>
  <c r="T99" i="22"/>
  <c r="S99" i="22"/>
  <c r="R99" i="22"/>
  <c r="N99" i="22"/>
  <c r="M99" i="22"/>
  <c r="L99" i="22"/>
  <c r="K99" i="22"/>
  <c r="X98" i="22"/>
  <c r="W98" i="22"/>
  <c r="V98" i="22"/>
  <c r="U98" i="22"/>
  <c r="T98" i="22"/>
  <c r="S98" i="22"/>
  <c r="R98" i="22"/>
  <c r="N98" i="22"/>
  <c r="M98" i="22"/>
  <c r="L98" i="22"/>
  <c r="K98" i="22"/>
  <c r="X97" i="22"/>
  <c r="W97" i="22"/>
  <c r="V97" i="22"/>
  <c r="U97" i="22"/>
  <c r="T97" i="22"/>
  <c r="S97" i="22"/>
  <c r="R97" i="22"/>
  <c r="N97" i="22"/>
  <c r="M97" i="22"/>
  <c r="L97" i="22"/>
  <c r="K97" i="22"/>
  <c r="X96" i="22"/>
  <c r="W96" i="22"/>
  <c r="V96" i="22"/>
  <c r="U96" i="22"/>
  <c r="T96" i="22"/>
  <c r="S96" i="22"/>
  <c r="R96" i="22"/>
  <c r="N96" i="22"/>
  <c r="M96" i="22"/>
  <c r="L96" i="22"/>
  <c r="K96" i="22"/>
  <c r="X95" i="22"/>
  <c r="W95" i="22"/>
  <c r="V95" i="22"/>
  <c r="U95" i="22"/>
  <c r="T95" i="22"/>
  <c r="S95" i="22"/>
  <c r="R95" i="22"/>
  <c r="N95" i="22"/>
  <c r="M95" i="22"/>
  <c r="L95" i="22"/>
  <c r="K95" i="22"/>
  <c r="X94" i="22"/>
  <c r="W94" i="22"/>
  <c r="V94" i="22"/>
  <c r="U94" i="22"/>
  <c r="T94" i="22"/>
  <c r="S94" i="22"/>
  <c r="R94" i="22"/>
  <c r="N94" i="22"/>
  <c r="M94" i="22"/>
  <c r="L94" i="22"/>
  <c r="K94" i="22"/>
  <c r="X93" i="22"/>
  <c r="W93" i="22"/>
  <c r="V93" i="22"/>
  <c r="U93" i="22"/>
  <c r="T93" i="22"/>
  <c r="S93" i="22"/>
  <c r="R93" i="22"/>
  <c r="N93" i="22"/>
  <c r="M93" i="22"/>
  <c r="L93" i="22"/>
  <c r="K93" i="22"/>
  <c r="X92" i="22"/>
  <c r="W92" i="22"/>
  <c r="V92" i="22"/>
  <c r="U92" i="22"/>
  <c r="T92" i="22"/>
  <c r="S92" i="22"/>
  <c r="R92" i="22"/>
  <c r="N92" i="22"/>
  <c r="M92" i="22"/>
  <c r="L92" i="22"/>
  <c r="K92" i="22"/>
  <c r="X91" i="22"/>
  <c r="W91" i="22"/>
  <c r="V91" i="22"/>
  <c r="U91" i="22"/>
  <c r="T91" i="22"/>
  <c r="S91" i="22"/>
  <c r="R91" i="22"/>
  <c r="N91" i="22"/>
  <c r="M91" i="22"/>
  <c r="L91" i="22"/>
  <c r="K91" i="22"/>
  <c r="X90" i="22"/>
  <c r="W90" i="22"/>
  <c r="V90" i="22"/>
  <c r="U90" i="22"/>
  <c r="T90" i="22"/>
  <c r="S90" i="22"/>
  <c r="R90" i="22"/>
  <c r="N90" i="22"/>
  <c r="M90" i="22"/>
  <c r="L90" i="22"/>
  <c r="K90" i="22"/>
  <c r="X89" i="22"/>
  <c r="W89" i="22"/>
  <c r="V89" i="22"/>
  <c r="U89" i="22"/>
  <c r="T89" i="22"/>
  <c r="S89" i="22"/>
  <c r="R89" i="22"/>
  <c r="N89" i="22"/>
  <c r="M89" i="22"/>
  <c r="L89" i="22"/>
  <c r="K89" i="22"/>
  <c r="X88" i="22"/>
  <c r="W88" i="22"/>
  <c r="V88" i="22"/>
  <c r="U88" i="22"/>
  <c r="T88" i="22"/>
  <c r="S88" i="22"/>
  <c r="R88" i="22"/>
  <c r="N88" i="22"/>
  <c r="M88" i="22"/>
  <c r="L88" i="22"/>
  <c r="K88" i="22"/>
  <c r="X87" i="22"/>
  <c r="W87" i="22"/>
  <c r="V87" i="22"/>
  <c r="U87" i="22"/>
  <c r="T87" i="22"/>
  <c r="S87" i="22"/>
  <c r="R87" i="22"/>
  <c r="N87" i="22"/>
  <c r="M87" i="22"/>
  <c r="L87" i="22"/>
  <c r="K87" i="22"/>
  <c r="X86" i="22"/>
  <c r="W86" i="22"/>
  <c r="V86" i="22"/>
  <c r="U86" i="22"/>
  <c r="T86" i="22"/>
  <c r="S86" i="22"/>
  <c r="R86" i="22"/>
  <c r="N86" i="22"/>
  <c r="M86" i="22"/>
  <c r="L86" i="22"/>
  <c r="K86" i="22"/>
  <c r="X85" i="22"/>
  <c r="W85" i="22"/>
  <c r="V85" i="22"/>
  <c r="U85" i="22"/>
  <c r="T85" i="22"/>
  <c r="S85" i="22"/>
  <c r="R85" i="22"/>
  <c r="N85" i="22"/>
  <c r="M85" i="22"/>
  <c r="L85" i="22"/>
  <c r="K85" i="22"/>
  <c r="X84" i="22"/>
  <c r="W84" i="22"/>
  <c r="V84" i="22"/>
  <c r="U84" i="22"/>
  <c r="T84" i="22"/>
  <c r="S84" i="22"/>
  <c r="R84" i="22"/>
  <c r="N84" i="22"/>
  <c r="M84" i="22"/>
  <c r="L84" i="22"/>
  <c r="K84" i="22"/>
  <c r="X83" i="22"/>
  <c r="W83" i="22"/>
  <c r="V83" i="22"/>
  <c r="U83" i="22"/>
  <c r="T83" i="22"/>
  <c r="S83" i="22"/>
  <c r="R83" i="22"/>
  <c r="N83" i="22"/>
  <c r="M83" i="22"/>
  <c r="L83" i="22"/>
  <c r="K83" i="22"/>
  <c r="X82" i="22"/>
  <c r="W82" i="22"/>
  <c r="V82" i="22"/>
  <c r="U82" i="22"/>
  <c r="T82" i="22"/>
  <c r="S82" i="22"/>
  <c r="R82" i="22"/>
  <c r="N82" i="22"/>
  <c r="M82" i="22"/>
  <c r="L82" i="22"/>
  <c r="K82" i="22"/>
  <c r="X81" i="22"/>
  <c r="W81" i="22"/>
  <c r="V81" i="22"/>
  <c r="U81" i="22"/>
  <c r="T81" i="22"/>
  <c r="S81" i="22"/>
  <c r="R81" i="22"/>
  <c r="N81" i="22"/>
  <c r="M81" i="22"/>
  <c r="L81" i="22"/>
  <c r="K81" i="22"/>
  <c r="X80" i="22"/>
  <c r="W80" i="22"/>
  <c r="V80" i="22"/>
  <c r="U80" i="22"/>
  <c r="T80" i="22"/>
  <c r="S80" i="22"/>
  <c r="R80" i="22"/>
  <c r="N80" i="22"/>
  <c r="M80" i="22"/>
  <c r="L80" i="22"/>
  <c r="K80" i="22"/>
  <c r="X79" i="22"/>
  <c r="W79" i="22"/>
  <c r="V79" i="22"/>
  <c r="U79" i="22"/>
  <c r="T79" i="22"/>
  <c r="S79" i="22"/>
  <c r="R79" i="22"/>
  <c r="N79" i="22"/>
  <c r="M79" i="22"/>
  <c r="L79" i="22"/>
  <c r="K79" i="22"/>
  <c r="X78" i="22"/>
  <c r="W78" i="22"/>
  <c r="V78" i="22"/>
  <c r="U78" i="22"/>
  <c r="T78" i="22"/>
  <c r="S78" i="22"/>
  <c r="R78" i="22"/>
  <c r="N78" i="22"/>
  <c r="M78" i="22"/>
  <c r="L78" i="22"/>
  <c r="K78" i="22"/>
  <c r="X77" i="22"/>
  <c r="W77" i="22"/>
  <c r="V77" i="22"/>
  <c r="U77" i="22"/>
  <c r="T77" i="22"/>
  <c r="S77" i="22"/>
  <c r="R77" i="22"/>
  <c r="N77" i="22"/>
  <c r="M77" i="22"/>
  <c r="L77" i="22"/>
  <c r="K77" i="22"/>
  <c r="X76" i="22"/>
  <c r="W76" i="22"/>
  <c r="V76" i="22"/>
  <c r="U76" i="22"/>
  <c r="T76" i="22"/>
  <c r="S76" i="22"/>
  <c r="R76" i="22"/>
  <c r="N76" i="22"/>
  <c r="M76" i="22"/>
  <c r="L76" i="22"/>
  <c r="K76" i="22"/>
  <c r="X75" i="22"/>
  <c r="W75" i="22"/>
  <c r="V75" i="22"/>
  <c r="U75" i="22"/>
  <c r="T75" i="22"/>
  <c r="S75" i="22"/>
  <c r="R75" i="22"/>
  <c r="N75" i="22"/>
  <c r="M75" i="22"/>
  <c r="L75" i="22"/>
  <c r="K75" i="22"/>
  <c r="X74" i="22"/>
  <c r="W74" i="22"/>
  <c r="V74" i="22"/>
  <c r="U74" i="22"/>
  <c r="T74" i="22"/>
  <c r="S74" i="22"/>
  <c r="R74" i="22"/>
  <c r="N74" i="22"/>
  <c r="M74" i="22"/>
  <c r="L74" i="22"/>
  <c r="K74" i="22"/>
  <c r="X73" i="22"/>
  <c r="W73" i="22"/>
  <c r="V73" i="22"/>
  <c r="U73" i="22"/>
  <c r="T73" i="22"/>
  <c r="S73" i="22"/>
  <c r="R73" i="22"/>
  <c r="N73" i="22"/>
  <c r="M73" i="22"/>
  <c r="L73" i="22"/>
  <c r="K73" i="22"/>
  <c r="X72" i="22"/>
  <c r="W72" i="22"/>
  <c r="V72" i="22"/>
  <c r="U72" i="22"/>
  <c r="T72" i="22"/>
  <c r="S72" i="22"/>
  <c r="R72" i="22"/>
  <c r="N72" i="22"/>
  <c r="M72" i="22"/>
  <c r="L72" i="22"/>
  <c r="K72" i="22"/>
  <c r="X71" i="22"/>
  <c r="W71" i="22"/>
  <c r="V71" i="22"/>
  <c r="U71" i="22"/>
  <c r="T71" i="22"/>
  <c r="S71" i="22"/>
  <c r="R71" i="22"/>
  <c r="N71" i="22"/>
  <c r="M71" i="22"/>
  <c r="L71" i="22"/>
  <c r="K71" i="22"/>
  <c r="X70" i="22"/>
  <c r="W70" i="22"/>
  <c r="V70" i="22"/>
  <c r="U70" i="22"/>
  <c r="T70" i="22"/>
  <c r="S70" i="22"/>
  <c r="R70" i="22"/>
  <c r="N70" i="22"/>
  <c r="M70" i="22"/>
  <c r="L70" i="22"/>
  <c r="K70" i="22"/>
  <c r="X69" i="22"/>
  <c r="W69" i="22"/>
  <c r="V69" i="22"/>
  <c r="U69" i="22"/>
  <c r="T69" i="22"/>
  <c r="S69" i="22"/>
  <c r="R69" i="22"/>
  <c r="N69" i="22"/>
  <c r="M69" i="22"/>
  <c r="L69" i="22"/>
  <c r="K69" i="22"/>
  <c r="X68" i="22"/>
  <c r="W68" i="22"/>
  <c r="V68" i="22"/>
  <c r="U68" i="22"/>
  <c r="T68" i="22"/>
  <c r="S68" i="22"/>
  <c r="R68" i="22"/>
  <c r="N68" i="22"/>
  <c r="M68" i="22"/>
  <c r="L68" i="22"/>
  <c r="K68" i="22"/>
  <c r="X67" i="22"/>
  <c r="W67" i="22"/>
  <c r="V67" i="22"/>
  <c r="U67" i="22"/>
  <c r="T67" i="22"/>
  <c r="S67" i="22"/>
  <c r="R67" i="22"/>
  <c r="N67" i="22"/>
  <c r="M67" i="22"/>
  <c r="L67" i="22"/>
  <c r="K67" i="22"/>
  <c r="X66" i="22"/>
  <c r="W66" i="22"/>
  <c r="V66" i="22"/>
  <c r="U66" i="22"/>
  <c r="T66" i="22"/>
  <c r="S66" i="22"/>
  <c r="R66" i="22"/>
  <c r="N66" i="22"/>
  <c r="M66" i="22"/>
  <c r="L66" i="22"/>
  <c r="K66" i="22"/>
  <c r="X65" i="22"/>
  <c r="W65" i="22"/>
  <c r="V65" i="22"/>
  <c r="U65" i="22"/>
  <c r="T65" i="22"/>
  <c r="S65" i="22"/>
  <c r="R65" i="22"/>
  <c r="N65" i="22"/>
  <c r="M65" i="22"/>
  <c r="L65" i="22"/>
  <c r="K65" i="22"/>
  <c r="X64" i="22"/>
  <c r="W64" i="22"/>
  <c r="V64" i="22"/>
  <c r="U64" i="22"/>
  <c r="T64" i="22"/>
  <c r="S64" i="22"/>
  <c r="R64" i="22"/>
  <c r="N64" i="22"/>
  <c r="M64" i="22"/>
  <c r="L64" i="22"/>
  <c r="K64" i="22"/>
  <c r="X63" i="22"/>
  <c r="W63" i="22"/>
  <c r="V63" i="22"/>
  <c r="U63" i="22"/>
  <c r="T63" i="22"/>
  <c r="S63" i="22"/>
  <c r="R63" i="22"/>
  <c r="N63" i="22"/>
  <c r="M63" i="22"/>
  <c r="L63" i="22"/>
  <c r="K63" i="22"/>
  <c r="X62" i="22"/>
  <c r="W62" i="22"/>
  <c r="V62" i="22"/>
  <c r="U62" i="22"/>
  <c r="T62" i="22"/>
  <c r="S62" i="22"/>
  <c r="R62" i="22"/>
  <c r="N62" i="22"/>
  <c r="M62" i="22"/>
  <c r="L62" i="22"/>
  <c r="K62" i="22"/>
  <c r="X61" i="22"/>
  <c r="W61" i="22"/>
  <c r="V61" i="22"/>
  <c r="U61" i="22"/>
  <c r="T61" i="22"/>
  <c r="S61" i="22"/>
  <c r="R61" i="22"/>
  <c r="N61" i="22"/>
  <c r="M61" i="22"/>
  <c r="L61" i="22"/>
  <c r="K61" i="22"/>
  <c r="X60" i="22"/>
  <c r="W60" i="22"/>
  <c r="V60" i="22"/>
  <c r="U60" i="22"/>
  <c r="T60" i="22"/>
  <c r="S60" i="22"/>
  <c r="R60" i="22"/>
  <c r="N60" i="22"/>
  <c r="M60" i="22"/>
  <c r="L60" i="22"/>
  <c r="K60" i="22"/>
  <c r="X59" i="22"/>
  <c r="W59" i="22"/>
  <c r="V59" i="22"/>
  <c r="U59" i="22"/>
  <c r="T59" i="22"/>
  <c r="S59" i="22"/>
  <c r="R59" i="22"/>
  <c r="N59" i="22"/>
  <c r="M59" i="22"/>
  <c r="L59" i="22"/>
  <c r="X58" i="22"/>
  <c r="W58" i="22"/>
  <c r="V58" i="22"/>
  <c r="U58" i="22"/>
  <c r="T58" i="22"/>
  <c r="S58" i="22"/>
  <c r="R58" i="22"/>
  <c r="N58" i="22"/>
  <c r="M58" i="22"/>
  <c r="L58" i="22"/>
  <c r="X57" i="22"/>
  <c r="W57" i="22"/>
  <c r="V57" i="22"/>
  <c r="U57" i="22"/>
  <c r="T57" i="22"/>
  <c r="S57" i="22"/>
  <c r="R57" i="22"/>
  <c r="N57" i="22"/>
  <c r="M57" i="22"/>
  <c r="L57" i="22"/>
  <c r="X56" i="22"/>
  <c r="W56" i="22"/>
  <c r="V56" i="22"/>
  <c r="U56" i="22"/>
  <c r="T56" i="22"/>
  <c r="S56" i="22"/>
  <c r="R56" i="22"/>
  <c r="N56" i="22"/>
  <c r="M56" i="22"/>
  <c r="L56" i="22"/>
  <c r="K56" i="22"/>
  <c r="X55" i="22"/>
  <c r="W55" i="22"/>
  <c r="V55" i="22"/>
  <c r="U55" i="22"/>
  <c r="T55" i="22"/>
  <c r="S55" i="22"/>
  <c r="R55" i="22"/>
  <c r="N55" i="22"/>
  <c r="M55" i="22"/>
  <c r="L55" i="22"/>
  <c r="X54" i="22"/>
  <c r="W54" i="22"/>
  <c r="V54" i="22"/>
  <c r="U54" i="22"/>
  <c r="T54" i="22"/>
  <c r="S54" i="22"/>
  <c r="R54" i="22"/>
  <c r="N54" i="22"/>
  <c r="M54" i="22"/>
  <c r="L54" i="22"/>
  <c r="X53" i="22"/>
  <c r="W53" i="22"/>
  <c r="V53" i="22"/>
  <c r="U53" i="22"/>
  <c r="T53" i="22"/>
  <c r="S53" i="22"/>
  <c r="R53" i="22"/>
  <c r="N53" i="22"/>
  <c r="M53" i="22"/>
  <c r="L53" i="22"/>
  <c r="X52" i="22"/>
  <c r="W52" i="22"/>
  <c r="V52" i="22"/>
  <c r="U52" i="22"/>
  <c r="T52" i="22"/>
  <c r="S52" i="22"/>
  <c r="R52" i="22"/>
  <c r="N52" i="22"/>
  <c r="M52" i="22"/>
  <c r="L52" i="22"/>
  <c r="X51" i="22"/>
  <c r="W51" i="22"/>
  <c r="V51" i="22"/>
  <c r="U51" i="22"/>
  <c r="T51" i="22"/>
  <c r="S51" i="22"/>
  <c r="R51" i="22"/>
  <c r="N51" i="22"/>
  <c r="M51" i="22"/>
  <c r="L51" i="22"/>
  <c r="X50" i="22"/>
  <c r="W50" i="22"/>
  <c r="V50" i="22"/>
  <c r="U50" i="22"/>
  <c r="T50" i="22"/>
  <c r="S50" i="22"/>
  <c r="R50" i="22"/>
  <c r="N50" i="22"/>
  <c r="M50" i="22"/>
  <c r="L50" i="22"/>
  <c r="X49" i="22"/>
  <c r="W49" i="22"/>
  <c r="V49" i="22"/>
  <c r="U49" i="22"/>
  <c r="T49" i="22"/>
  <c r="S49" i="22"/>
  <c r="R49" i="22"/>
  <c r="N49" i="22"/>
  <c r="M49" i="22"/>
  <c r="L49" i="22"/>
  <c r="X48" i="22"/>
  <c r="W48" i="22"/>
  <c r="V48" i="22"/>
  <c r="U48" i="22"/>
  <c r="T48" i="22"/>
  <c r="S48" i="22"/>
  <c r="R48" i="22"/>
  <c r="N48" i="22"/>
  <c r="M48" i="22"/>
  <c r="L48" i="22"/>
  <c r="X47" i="22"/>
  <c r="W47" i="22"/>
  <c r="V47" i="22"/>
  <c r="U47" i="22"/>
  <c r="T47" i="22"/>
  <c r="S47" i="22"/>
  <c r="R47" i="22"/>
  <c r="N47" i="22"/>
  <c r="M47" i="22"/>
  <c r="L47" i="22"/>
  <c r="X46" i="22"/>
  <c r="W46" i="22"/>
  <c r="V46" i="22"/>
  <c r="U46" i="22"/>
  <c r="T46" i="22"/>
  <c r="S46" i="22"/>
  <c r="R46" i="22"/>
  <c r="N46" i="22"/>
  <c r="M46" i="22"/>
  <c r="L46" i="22"/>
  <c r="X45" i="22"/>
  <c r="W45" i="22"/>
  <c r="V45" i="22"/>
  <c r="U45" i="22"/>
  <c r="T45" i="22"/>
  <c r="S45" i="22"/>
  <c r="R45" i="22"/>
  <c r="N45" i="22"/>
  <c r="M45" i="22"/>
  <c r="L45" i="22"/>
  <c r="X44" i="22"/>
  <c r="W44" i="22"/>
  <c r="V44" i="22"/>
  <c r="U44" i="22"/>
  <c r="T44" i="22"/>
  <c r="S44" i="22"/>
  <c r="R44" i="22"/>
  <c r="N44" i="22"/>
  <c r="M44" i="22"/>
  <c r="L44" i="22"/>
  <c r="X43" i="22"/>
  <c r="W43" i="22"/>
  <c r="V43" i="22"/>
  <c r="U43" i="22"/>
  <c r="T43" i="22"/>
  <c r="S43" i="22"/>
  <c r="R43" i="22"/>
  <c r="N43" i="22"/>
  <c r="M43" i="22"/>
  <c r="L43" i="22"/>
  <c r="X42" i="22"/>
  <c r="W42" i="22"/>
  <c r="V42" i="22"/>
  <c r="R42" i="22"/>
  <c r="N42" i="22"/>
  <c r="M42" i="22"/>
  <c r="L42" i="22"/>
  <c r="X41" i="22"/>
  <c r="W41" i="22"/>
  <c r="V41" i="22"/>
  <c r="U41" i="22"/>
  <c r="T41" i="22"/>
  <c r="S41" i="22"/>
  <c r="R41" i="22"/>
  <c r="N41" i="22"/>
  <c r="M41" i="22"/>
  <c r="L41" i="22"/>
  <c r="X40" i="22"/>
  <c r="W40" i="22"/>
  <c r="V40" i="22"/>
  <c r="U40" i="22"/>
  <c r="T40" i="22"/>
  <c r="S40" i="22"/>
  <c r="R40" i="22"/>
  <c r="N40" i="22"/>
  <c r="M40" i="22"/>
  <c r="L40" i="22"/>
  <c r="X39" i="22"/>
  <c r="W39" i="22"/>
  <c r="V39" i="22"/>
  <c r="U39" i="22"/>
  <c r="T39" i="22"/>
  <c r="S39" i="22"/>
  <c r="R39" i="22"/>
  <c r="N39" i="22"/>
  <c r="M39" i="22"/>
  <c r="L39" i="22"/>
  <c r="X38" i="22"/>
  <c r="W38" i="22"/>
  <c r="V38" i="22"/>
  <c r="U38" i="22"/>
  <c r="T38" i="22"/>
  <c r="S38" i="22"/>
  <c r="R38" i="22"/>
  <c r="N38" i="22"/>
  <c r="M38" i="22"/>
  <c r="L38" i="22"/>
  <c r="X37" i="22"/>
  <c r="W37" i="22"/>
  <c r="V37" i="22"/>
  <c r="U37" i="22"/>
  <c r="T37" i="22"/>
  <c r="S37" i="22"/>
  <c r="R37" i="22"/>
  <c r="N37" i="22"/>
  <c r="M37" i="22"/>
  <c r="L37" i="22"/>
  <c r="X36" i="22"/>
  <c r="W36" i="22"/>
  <c r="V36" i="22"/>
  <c r="U36" i="22"/>
  <c r="T36" i="22"/>
  <c r="S36" i="22"/>
  <c r="R36" i="22"/>
  <c r="N36" i="22"/>
  <c r="M36" i="22"/>
  <c r="L36" i="22"/>
  <c r="X35" i="22"/>
  <c r="W35" i="22"/>
  <c r="V35" i="22"/>
  <c r="U35" i="22"/>
  <c r="T35" i="22"/>
  <c r="S35" i="22"/>
  <c r="R35" i="22"/>
  <c r="N35" i="22"/>
  <c r="M35" i="22"/>
  <c r="L35" i="22"/>
  <c r="X34" i="22"/>
  <c r="W34" i="22"/>
  <c r="V34" i="22"/>
  <c r="U34" i="22"/>
  <c r="T34" i="22"/>
  <c r="S34" i="22"/>
  <c r="R34" i="22"/>
  <c r="N34" i="22"/>
  <c r="M34" i="22"/>
  <c r="L34" i="22"/>
  <c r="U33" i="22"/>
  <c r="T33" i="22"/>
  <c r="S33" i="22"/>
  <c r="R33" i="22"/>
  <c r="N33" i="22"/>
  <c r="M33" i="22"/>
  <c r="L33" i="22"/>
  <c r="X32" i="22"/>
  <c r="W32" i="22"/>
  <c r="V32" i="22"/>
  <c r="U32" i="22"/>
  <c r="T32" i="22"/>
  <c r="S32" i="22"/>
  <c r="R32" i="22"/>
  <c r="Q32" i="22"/>
  <c r="P32" i="22"/>
  <c r="O32" i="22"/>
  <c r="N32" i="22"/>
  <c r="Q59" i="22" s="1"/>
  <c r="M32" i="22"/>
  <c r="L32" i="22"/>
  <c r="O37" i="22" s="1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R16" i="22"/>
  <c r="N16" i="22"/>
  <c r="M16" i="22"/>
  <c r="L16" i="22"/>
  <c r="K16" i="22"/>
  <c r="W7" i="22"/>
  <c r="Y2" i="22"/>
  <c r="X153" i="20"/>
  <c r="W153" i="20"/>
  <c r="V153" i="20"/>
  <c r="U153" i="20"/>
  <c r="T153" i="20"/>
  <c r="S153" i="20"/>
  <c r="R153" i="20"/>
  <c r="N153" i="20"/>
  <c r="M153" i="20"/>
  <c r="L153" i="20"/>
  <c r="X152" i="20"/>
  <c r="W152" i="20"/>
  <c r="V152" i="20"/>
  <c r="U152" i="20"/>
  <c r="T152" i="20"/>
  <c r="S152" i="20"/>
  <c r="R152" i="20"/>
  <c r="N152" i="20"/>
  <c r="M152" i="20"/>
  <c r="L152" i="20"/>
  <c r="X151" i="20"/>
  <c r="W151" i="20"/>
  <c r="V151" i="20"/>
  <c r="U151" i="20"/>
  <c r="T151" i="20"/>
  <c r="S151" i="20"/>
  <c r="R151" i="20"/>
  <c r="N151" i="20"/>
  <c r="M151" i="20"/>
  <c r="L151" i="20"/>
  <c r="X150" i="20"/>
  <c r="W150" i="20"/>
  <c r="V150" i="20"/>
  <c r="U150" i="20"/>
  <c r="T150" i="20"/>
  <c r="S150" i="20"/>
  <c r="R150" i="20"/>
  <c r="N150" i="20"/>
  <c r="M150" i="20"/>
  <c r="L150" i="20"/>
  <c r="X149" i="20"/>
  <c r="W149" i="20"/>
  <c r="V149" i="20"/>
  <c r="U149" i="20"/>
  <c r="T149" i="20"/>
  <c r="S149" i="20"/>
  <c r="R149" i="20"/>
  <c r="N149" i="20"/>
  <c r="M149" i="20"/>
  <c r="L149" i="20"/>
  <c r="X148" i="20"/>
  <c r="W148" i="20"/>
  <c r="V148" i="20"/>
  <c r="U148" i="20"/>
  <c r="T148" i="20"/>
  <c r="S148" i="20"/>
  <c r="R148" i="20"/>
  <c r="N148" i="20"/>
  <c r="M148" i="20"/>
  <c r="L148" i="20"/>
  <c r="X147" i="20"/>
  <c r="W147" i="20"/>
  <c r="V147" i="20"/>
  <c r="U147" i="20"/>
  <c r="T147" i="20"/>
  <c r="S147" i="20"/>
  <c r="R147" i="20"/>
  <c r="N147" i="20"/>
  <c r="M147" i="20"/>
  <c r="L147" i="20"/>
  <c r="X146" i="20"/>
  <c r="W146" i="20"/>
  <c r="V146" i="20"/>
  <c r="U146" i="20"/>
  <c r="T146" i="20"/>
  <c r="S146" i="20"/>
  <c r="R146" i="20"/>
  <c r="N146" i="20"/>
  <c r="M146" i="20"/>
  <c r="L146" i="20"/>
  <c r="X145" i="20"/>
  <c r="W145" i="20"/>
  <c r="V145" i="20"/>
  <c r="U145" i="20"/>
  <c r="T145" i="20"/>
  <c r="S145" i="20"/>
  <c r="R145" i="20"/>
  <c r="N145" i="20"/>
  <c r="M145" i="20"/>
  <c r="L145" i="20"/>
  <c r="X144" i="20"/>
  <c r="W144" i="20"/>
  <c r="V144" i="20"/>
  <c r="U144" i="20"/>
  <c r="T144" i="20"/>
  <c r="S144" i="20"/>
  <c r="R144" i="20"/>
  <c r="N144" i="20"/>
  <c r="M144" i="20"/>
  <c r="L144" i="20"/>
  <c r="X143" i="20"/>
  <c r="W143" i="20"/>
  <c r="V143" i="20"/>
  <c r="U143" i="20"/>
  <c r="T143" i="20"/>
  <c r="S143" i="20"/>
  <c r="R143" i="20"/>
  <c r="N143" i="20"/>
  <c r="M143" i="20"/>
  <c r="L143" i="20"/>
  <c r="X142" i="20"/>
  <c r="W142" i="20"/>
  <c r="V142" i="20"/>
  <c r="U142" i="20"/>
  <c r="T142" i="20"/>
  <c r="S142" i="20"/>
  <c r="R142" i="20"/>
  <c r="N142" i="20"/>
  <c r="M142" i="20"/>
  <c r="L142" i="20"/>
  <c r="X141" i="20"/>
  <c r="W141" i="20"/>
  <c r="V141" i="20"/>
  <c r="U141" i="20"/>
  <c r="T141" i="20"/>
  <c r="S141" i="20"/>
  <c r="R141" i="20"/>
  <c r="N141" i="20"/>
  <c r="M141" i="20"/>
  <c r="L141" i="20"/>
  <c r="X140" i="20"/>
  <c r="W140" i="20"/>
  <c r="V140" i="20"/>
  <c r="U140" i="20"/>
  <c r="T140" i="20"/>
  <c r="S140" i="20"/>
  <c r="R140" i="20"/>
  <c r="N140" i="20"/>
  <c r="M140" i="20"/>
  <c r="L140" i="20"/>
  <c r="X139" i="20"/>
  <c r="W139" i="20"/>
  <c r="V139" i="20"/>
  <c r="U139" i="20"/>
  <c r="T139" i="20"/>
  <c r="S139" i="20"/>
  <c r="R139" i="20"/>
  <c r="N139" i="20"/>
  <c r="M139" i="20"/>
  <c r="L139" i="20"/>
  <c r="X138" i="20"/>
  <c r="W138" i="20"/>
  <c r="V138" i="20"/>
  <c r="U138" i="20"/>
  <c r="T138" i="20"/>
  <c r="S138" i="20"/>
  <c r="R138" i="20"/>
  <c r="N138" i="20"/>
  <c r="M138" i="20"/>
  <c r="L138" i="20"/>
  <c r="X137" i="20"/>
  <c r="W137" i="20"/>
  <c r="V137" i="20"/>
  <c r="U137" i="20"/>
  <c r="T137" i="20"/>
  <c r="S137" i="20"/>
  <c r="R137" i="20"/>
  <c r="N137" i="20"/>
  <c r="M137" i="20"/>
  <c r="L137" i="20"/>
  <c r="X136" i="20"/>
  <c r="W136" i="20"/>
  <c r="V136" i="20"/>
  <c r="U136" i="20"/>
  <c r="T136" i="20"/>
  <c r="S136" i="20"/>
  <c r="R136" i="20"/>
  <c r="N136" i="20"/>
  <c r="M136" i="20"/>
  <c r="L136" i="20"/>
  <c r="X135" i="20"/>
  <c r="W135" i="20"/>
  <c r="V135" i="20"/>
  <c r="U135" i="20"/>
  <c r="T135" i="20"/>
  <c r="S135" i="20"/>
  <c r="R135" i="20"/>
  <c r="N135" i="20"/>
  <c r="M135" i="20"/>
  <c r="L135" i="20"/>
  <c r="X134" i="20"/>
  <c r="W134" i="20"/>
  <c r="V134" i="20"/>
  <c r="U134" i="20"/>
  <c r="T134" i="20"/>
  <c r="S134" i="20"/>
  <c r="R134" i="20"/>
  <c r="N134" i="20"/>
  <c r="M134" i="20"/>
  <c r="L134" i="20"/>
  <c r="X133" i="20"/>
  <c r="W133" i="20"/>
  <c r="V133" i="20"/>
  <c r="U133" i="20"/>
  <c r="T133" i="20"/>
  <c r="S133" i="20"/>
  <c r="R133" i="20"/>
  <c r="N133" i="20"/>
  <c r="M133" i="20"/>
  <c r="L133" i="20"/>
  <c r="X132" i="20"/>
  <c r="W132" i="20"/>
  <c r="V132" i="20"/>
  <c r="U132" i="20"/>
  <c r="T132" i="20"/>
  <c r="S132" i="20"/>
  <c r="R132" i="20"/>
  <c r="N132" i="20"/>
  <c r="M132" i="20"/>
  <c r="L132" i="20"/>
  <c r="X131" i="20"/>
  <c r="W131" i="20"/>
  <c r="V131" i="20"/>
  <c r="U131" i="20"/>
  <c r="T131" i="20"/>
  <c r="S131" i="20"/>
  <c r="R131" i="20"/>
  <c r="N131" i="20"/>
  <c r="M131" i="20"/>
  <c r="L131" i="20"/>
  <c r="X130" i="20"/>
  <c r="W130" i="20"/>
  <c r="V130" i="20"/>
  <c r="U130" i="20"/>
  <c r="T130" i="20"/>
  <c r="S130" i="20"/>
  <c r="R130" i="20"/>
  <c r="N130" i="20"/>
  <c r="M130" i="20"/>
  <c r="L130" i="20"/>
  <c r="X129" i="20"/>
  <c r="W129" i="20"/>
  <c r="V129" i="20"/>
  <c r="U129" i="20"/>
  <c r="T129" i="20"/>
  <c r="S129" i="20"/>
  <c r="R129" i="20"/>
  <c r="N129" i="20"/>
  <c r="M129" i="20"/>
  <c r="L129" i="20"/>
  <c r="X128" i="20"/>
  <c r="W128" i="20"/>
  <c r="V128" i="20"/>
  <c r="U128" i="20"/>
  <c r="T128" i="20"/>
  <c r="S128" i="20"/>
  <c r="R128" i="20"/>
  <c r="N128" i="20"/>
  <c r="M128" i="20"/>
  <c r="L128" i="20"/>
  <c r="X127" i="20"/>
  <c r="W127" i="20"/>
  <c r="V127" i="20"/>
  <c r="U127" i="20"/>
  <c r="T127" i="20"/>
  <c r="S127" i="20"/>
  <c r="R127" i="20"/>
  <c r="N127" i="20"/>
  <c r="M127" i="20"/>
  <c r="L127" i="20"/>
  <c r="X126" i="20"/>
  <c r="W126" i="20"/>
  <c r="V126" i="20"/>
  <c r="U126" i="20"/>
  <c r="T126" i="20"/>
  <c r="S126" i="20"/>
  <c r="R126" i="20"/>
  <c r="N126" i="20"/>
  <c r="M126" i="20"/>
  <c r="L126" i="20"/>
  <c r="X125" i="20"/>
  <c r="W125" i="20"/>
  <c r="V125" i="20"/>
  <c r="U125" i="20"/>
  <c r="T125" i="20"/>
  <c r="S125" i="20"/>
  <c r="R125" i="20"/>
  <c r="N125" i="20"/>
  <c r="M125" i="20"/>
  <c r="L125" i="20"/>
  <c r="X124" i="20"/>
  <c r="W124" i="20"/>
  <c r="V124" i="20"/>
  <c r="U124" i="20"/>
  <c r="T124" i="20"/>
  <c r="S124" i="20"/>
  <c r="R124" i="20"/>
  <c r="N124" i="20"/>
  <c r="M124" i="20"/>
  <c r="L124" i="20"/>
  <c r="X123" i="20"/>
  <c r="W123" i="20"/>
  <c r="V123" i="20"/>
  <c r="U123" i="20"/>
  <c r="T123" i="20"/>
  <c r="S123" i="20"/>
  <c r="R123" i="20"/>
  <c r="N123" i="20"/>
  <c r="M123" i="20"/>
  <c r="L123" i="20"/>
  <c r="X122" i="20"/>
  <c r="W122" i="20"/>
  <c r="V122" i="20"/>
  <c r="U122" i="20"/>
  <c r="T122" i="20"/>
  <c r="S122" i="20"/>
  <c r="R122" i="20"/>
  <c r="N122" i="20"/>
  <c r="M122" i="20"/>
  <c r="L122" i="20"/>
  <c r="X121" i="20"/>
  <c r="W121" i="20"/>
  <c r="V121" i="20"/>
  <c r="U121" i="20"/>
  <c r="T121" i="20"/>
  <c r="S121" i="20"/>
  <c r="R121" i="20"/>
  <c r="N121" i="20"/>
  <c r="M121" i="20"/>
  <c r="L121" i="20"/>
  <c r="X120" i="20"/>
  <c r="W120" i="20"/>
  <c r="V120" i="20"/>
  <c r="U120" i="20"/>
  <c r="T120" i="20"/>
  <c r="S120" i="20"/>
  <c r="R120" i="20"/>
  <c r="N120" i="20"/>
  <c r="M120" i="20"/>
  <c r="L120" i="20"/>
  <c r="X119" i="20"/>
  <c r="W119" i="20"/>
  <c r="V119" i="20"/>
  <c r="U119" i="20"/>
  <c r="T119" i="20"/>
  <c r="S119" i="20"/>
  <c r="R119" i="20"/>
  <c r="N119" i="20"/>
  <c r="M119" i="20"/>
  <c r="L119" i="20"/>
  <c r="X118" i="20"/>
  <c r="W118" i="20"/>
  <c r="V118" i="20"/>
  <c r="U118" i="20"/>
  <c r="T118" i="20"/>
  <c r="S118" i="20"/>
  <c r="R118" i="20"/>
  <c r="N118" i="20"/>
  <c r="M118" i="20"/>
  <c r="L118" i="20"/>
  <c r="X117" i="20"/>
  <c r="W117" i="20"/>
  <c r="V117" i="20"/>
  <c r="U117" i="20"/>
  <c r="T117" i="20"/>
  <c r="S117" i="20"/>
  <c r="R117" i="20"/>
  <c r="N117" i="20"/>
  <c r="M117" i="20"/>
  <c r="L117" i="20"/>
  <c r="X116" i="20"/>
  <c r="W116" i="20"/>
  <c r="V116" i="20"/>
  <c r="U116" i="20"/>
  <c r="T116" i="20"/>
  <c r="S116" i="20"/>
  <c r="R116" i="20"/>
  <c r="N116" i="20"/>
  <c r="M116" i="20"/>
  <c r="L116" i="20"/>
  <c r="X115" i="20"/>
  <c r="W115" i="20"/>
  <c r="V115" i="20"/>
  <c r="U115" i="20"/>
  <c r="T115" i="20"/>
  <c r="S115" i="20"/>
  <c r="R115" i="20"/>
  <c r="N115" i="20"/>
  <c r="M115" i="20"/>
  <c r="L115" i="20"/>
  <c r="X114" i="20"/>
  <c r="W114" i="20"/>
  <c r="V114" i="20"/>
  <c r="U114" i="20"/>
  <c r="T114" i="20"/>
  <c r="S114" i="20"/>
  <c r="R114" i="20"/>
  <c r="N114" i="20"/>
  <c r="M114" i="20"/>
  <c r="L114" i="20"/>
  <c r="X113" i="20"/>
  <c r="W113" i="20"/>
  <c r="V113" i="20"/>
  <c r="U113" i="20"/>
  <c r="T113" i="20"/>
  <c r="S113" i="20"/>
  <c r="R113" i="20"/>
  <c r="N113" i="20"/>
  <c r="M113" i="20"/>
  <c r="L113" i="20"/>
  <c r="X112" i="20"/>
  <c r="W112" i="20"/>
  <c r="V112" i="20"/>
  <c r="U112" i="20"/>
  <c r="T112" i="20"/>
  <c r="S112" i="20"/>
  <c r="R112" i="20"/>
  <c r="N112" i="20"/>
  <c r="M112" i="20"/>
  <c r="L112" i="20"/>
  <c r="X111" i="20"/>
  <c r="W111" i="20"/>
  <c r="V111" i="20"/>
  <c r="U111" i="20"/>
  <c r="T111" i="20"/>
  <c r="S111" i="20"/>
  <c r="R111" i="20"/>
  <c r="N111" i="20"/>
  <c r="M111" i="20"/>
  <c r="L111" i="20"/>
  <c r="X110" i="20"/>
  <c r="W110" i="20"/>
  <c r="V110" i="20"/>
  <c r="U110" i="20"/>
  <c r="T110" i="20"/>
  <c r="S110" i="20"/>
  <c r="R110" i="20"/>
  <c r="N110" i="20"/>
  <c r="M110" i="20"/>
  <c r="L110" i="20"/>
  <c r="X109" i="20"/>
  <c r="W109" i="20"/>
  <c r="V109" i="20"/>
  <c r="U109" i="20"/>
  <c r="T109" i="20"/>
  <c r="S109" i="20"/>
  <c r="R109" i="20"/>
  <c r="N109" i="20"/>
  <c r="M109" i="20"/>
  <c r="L109" i="20"/>
  <c r="X108" i="20"/>
  <c r="W108" i="20"/>
  <c r="V108" i="20"/>
  <c r="U108" i="20"/>
  <c r="T108" i="20"/>
  <c r="S108" i="20"/>
  <c r="R108" i="20"/>
  <c r="N108" i="20"/>
  <c r="M108" i="20"/>
  <c r="L108" i="20"/>
  <c r="X107" i="20"/>
  <c r="W107" i="20"/>
  <c r="V107" i="20"/>
  <c r="U107" i="20"/>
  <c r="T107" i="20"/>
  <c r="S107" i="20"/>
  <c r="R107" i="20"/>
  <c r="N107" i="20"/>
  <c r="M107" i="20"/>
  <c r="L107" i="20"/>
  <c r="X106" i="20"/>
  <c r="W106" i="20"/>
  <c r="V106" i="20"/>
  <c r="U106" i="20"/>
  <c r="T106" i="20"/>
  <c r="S106" i="20"/>
  <c r="R106" i="20"/>
  <c r="N106" i="20"/>
  <c r="M106" i="20"/>
  <c r="L106" i="20"/>
  <c r="X105" i="20"/>
  <c r="W105" i="20"/>
  <c r="V105" i="20"/>
  <c r="U105" i="20"/>
  <c r="T105" i="20"/>
  <c r="S105" i="20"/>
  <c r="R105" i="20"/>
  <c r="N105" i="20"/>
  <c r="M105" i="20"/>
  <c r="L105" i="20"/>
  <c r="X104" i="20"/>
  <c r="W104" i="20"/>
  <c r="V104" i="20"/>
  <c r="U104" i="20"/>
  <c r="T104" i="20"/>
  <c r="S104" i="20"/>
  <c r="R104" i="20"/>
  <c r="N104" i="20"/>
  <c r="M104" i="20"/>
  <c r="L104" i="20"/>
  <c r="X103" i="20"/>
  <c r="W103" i="20"/>
  <c r="V103" i="20"/>
  <c r="U103" i="20"/>
  <c r="T103" i="20"/>
  <c r="S103" i="20"/>
  <c r="R103" i="20"/>
  <c r="N103" i="20"/>
  <c r="M103" i="20"/>
  <c r="L103" i="20"/>
  <c r="X102" i="20"/>
  <c r="W102" i="20"/>
  <c r="V102" i="20"/>
  <c r="U102" i="20"/>
  <c r="T102" i="20"/>
  <c r="S102" i="20"/>
  <c r="R102" i="20"/>
  <c r="N102" i="20"/>
  <c r="M102" i="20"/>
  <c r="L102" i="20"/>
  <c r="X101" i="20"/>
  <c r="W101" i="20"/>
  <c r="V101" i="20"/>
  <c r="U101" i="20"/>
  <c r="T101" i="20"/>
  <c r="S101" i="20"/>
  <c r="R101" i="20"/>
  <c r="N101" i="20"/>
  <c r="M101" i="20"/>
  <c r="L101" i="20"/>
  <c r="X100" i="20"/>
  <c r="W100" i="20"/>
  <c r="V100" i="20"/>
  <c r="U100" i="20"/>
  <c r="T100" i="20"/>
  <c r="S100" i="20"/>
  <c r="R100" i="20"/>
  <c r="N100" i="20"/>
  <c r="M100" i="20"/>
  <c r="L100" i="20"/>
  <c r="X99" i="20"/>
  <c r="W99" i="20"/>
  <c r="V99" i="20"/>
  <c r="U99" i="20"/>
  <c r="T99" i="20"/>
  <c r="S99" i="20"/>
  <c r="R99" i="20"/>
  <c r="N99" i="20"/>
  <c r="M99" i="20"/>
  <c r="L99" i="20"/>
  <c r="X98" i="20"/>
  <c r="W98" i="20"/>
  <c r="V98" i="20"/>
  <c r="U98" i="20"/>
  <c r="T98" i="20"/>
  <c r="S98" i="20"/>
  <c r="R98" i="20"/>
  <c r="N98" i="20"/>
  <c r="M98" i="20"/>
  <c r="L98" i="20"/>
  <c r="X97" i="20"/>
  <c r="W97" i="20"/>
  <c r="V97" i="20"/>
  <c r="U97" i="20"/>
  <c r="T97" i="20"/>
  <c r="S97" i="20"/>
  <c r="R97" i="20"/>
  <c r="N97" i="20"/>
  <c r="M97" i="20"/>
  <c r="L97" i="20"/>
  <c r="X96" i="20"/>
  <c r="W96" i="20"/>
  <c r="V96" i="20"/>
  <c r="U96" i="20"/>
  <c r="T96" i="20"/>
  <c r="S96" i="20"/>
  <c r="R96" i="20"/>
  <c r="N96" i="20"/>
  <c r="M96" i="20"/>
  <c r="L96" i="20"/>
  <c r="X95" i="20"/>
  <c r="W95" i="20"/>
  <c r="V95" i="20"/>
  <c r="U95" i="20"/>
  <c r="T95" i="20"/>
  <c r="S95" i="20"/>
  <c r="R95" i="20"/>
  <c r="N95" i="20"/>
  <c r="M95" i="20"/>
  <c r="L95" i="20"/>
  <c r="X94" i="20"/>
  <c r="W94" i="20"/>
  <c r="V94" i="20"/>
  <c r="U94" i="20"/>
  <c r="T94" i="20"/>
  <c r="S94" i="20"/>
  <c r="R94" i="20"/>
  <c r="N94" i="20"/>
  <c r="M94" i="20"/>
  <c r="L94" i="20"/>
  <c r="X93" i="20"/>
  <c r="W93" i="20"/>
  <c r="V93" i="20"/>
  <c r="U93" i="20"/>
  <c r="T93" i="20"/>
  <c r="S93" i="20"/>
  <c r="R93" i="20"/>
  <c r="N93" i="20"/>
  <c r="M93" i="20"/>
  <c r="L93" i="20"/>
  <c r="X92" i="20"/>
  <c r="W92" i="20"/>
  <c r="V92" i="20"/>
  <c r="U92" i="20"/>
  <c r="T92" i="20"/>
  <c r="S92" i="20"/>
  <c r="R92" i="20"/>
  <c r="N92" i="20"/>
  <c r="M92" i="20"/>
  <c r="L92" i="20"/>
  <c r="X91" i="20"/>
  <c r="W91" i="20"/>
  <c r="V91" i="20"/>
  <c r="U91" i="20"/>
  <c r="T91" i="20"/>
  <c r="S91" i="20"/>
  <c r="R91" i="20"/>
  <c r="N91" i="20"/>
  <c r="M91" i="20"/>
  <c r="L91" i="20"/>
  <c r="X90" i="20"/>
  <c r="W90" i="20"/>
  <c r="V90" i="20"/>
  <c r="U90" i="20"/>
  <c r="T90" i="20"/>
  <c r="S90" i="20"/>
  <c r="R90" i="20"/>
  <c r="N90" i="20"/>
  <c r="M90" i="20"/>
  <c r="L90" i="20"/>
  <c r="X89" i="20"/>
  <c r="W89" i="20"/>
  <c r="V89" i="20"/>
  <c r="U89" i="20"/>
  <c r="T89" i="20"/>
  <c r="S89" i="20"/>
  <c r="R89" i="20"/>
  <c r="N89" i="20"/>
  <c r="M89" i="20"/>
  <c r="L89" i="20"/>
  <c r="X88" i="20"/>
  <c r="W88" i="20"/>
  <c r="V88" i="20"/>
  <c r="U88" i="20"/>
  <c r="T88" i="20"/>
  <c r="S88" i="20"/>
  <c r="R88" i="20"/>
  <c r="N88" i="20"/>
  <c r="M88" i="20"/>
  <c r="L88" i="20"/>
  <c r="X87" i="20"/>
  <c r="W87" i="20"/>
  <c r="V87" i="20"/>
  <c r="U87" i="20"/>
  <c r="T87" i="20"/>
  <c r="S87" i="20"/>
  <c r="R87" i="20"/>
  <c r="N87" i="20"/>
  <c r="M87" i="20"/>
  <c r="L87" i="20"/>
  <c r="X86" i="20"/>
  <c r="W86" i="20"/>
  <c r="V86" i="20"/>
  <c r="U86" i="20"/>
  <c r="T86" i="20"/>
  <c r="S86" i="20"/>
  <c r="R86" i="20"/>
  <c r="N86" i="20"/>
  <c r="M86" i="20"/>
  <c r="L86" i="20"/>
  <c r="X85" i="20"/>
  <c r="W85" i="20"/>
  <c r="V85" i="20"/>
  <c r="U85" i="20"/>
  <c r="T85" i="20"/>
  <c r="S85" i="20"/>
  <c r="R85" i="20"/>
  <c r="N85" i="20"/>
  <c r="M85" i="20"/>
  <c r="L85" i="20"/>
  <c r="X84" i="20"/>
  <c r="W84" i="20"/>
  <c r="V84" i="20"/>
  <c r="U84" i="20"/>
  <c r="T84" i="20"/>
  <c r="S84" i="20"/>
  <c r="R84" i="20"/>
  <c r="N84" i="20"/>
  <c r="M84" i="20"/>
  <c r="L84" i="20"/>
  <c r="X83" i="20"/>
  <c r="W83" i="20"/>
  <c r="V83" i="20"/>
  <c r="U83" i="20"/>
  <c r="T83" i="20"/>
  <c r="S83" i="20"/>
  <c r="R83" i="20"/>
  <c r="N83" i="20"/>
  <c r="M83" i="20"/>
  <c r="L83" i="20"/>
  <c r="X82" i="20"/>
  <c r="W82" i="20"/>
  <c r="V82" i="20"/>
  <c r="U82" i="20"/>
  <c r="T82" i="20"/>
  <c r="S82" i="20"/>
  <c r="R82" i="20"/>
  <c r="N82" i="20"/>
  <c r="M82" i="20"/>
  <c r="L82" i="20"/>
  <c r="X81" i="20"/>
  <c r="W81" i="20"/>
  <c r="V81" i="20"/>
  <c r="U81" i="20"/>
  <c r="T81" i="20"/>
  <c r="S81" i="20"/>
  <c r="R81" i="20"/>
  <c r="N81" i="20"/>
  <c r="M81" i="20"/>
  <c r="L81" i="20"/>
  <c r="X80" i="20"/>
  <c r="W80" i="20"/>
  <c r="V80" i="20"/>
  <c r="U80" i="20"/>
  <c r="T80" i="20"/>
  <c r="S80" i="20"/>
  <c r="R80" i="20"/>
  <c r="N80" i="20"/>
  <c r="M80" i="20"/>
  <c r="L80" i="20"/>
  <c r="X79" i="20"/>
  <c r="W79" i="20"/>
  <c r="V79" i="20"/>
  <c r="U79" i="20"/>
  <c r="T79" i="20"/>
  <c r="S79" i="20"/>
  <c r="R79" i="20"/>
  <c r="N79" i="20"/>
  <c r="M79" i="20"/>
  <c r="L79" i="20"/>
  <c r="X78" i="20"/>
  <c r="W78" i="20"/>
  <c r="V78" i="20"/>
  <c r="U78" i="20"/>
  <c r="T78" i="20"/>
  <c r="S78" i="20"/>
  <c r="R78" i="20"/>
  <c r="N78" i="20"/>
  <c r="M78" i="20"/>
  <c r="L78" i="20"/>
  <c r="X77" i="20"/>
  <c r="W77" i="20"/>
  <c r="V77" i="20"/>
  <c r="U77" i="20"/>
  <c r="T77" i="20"/>
  <c r="S77" i="20"/>
  <c r="R77" i="20"/>
  <c r="N77" i="20"/>
  <c r="M77" i="20"/>
  <c r="L77" i="20"/>
  <c r="X76" i="20"/>
  <c r="W76" i="20"/>
  <c r="V76" i="20"/>
  <c r="U76" i="20"/>
  <c r="T76" i="20"/>
  <c r="S76" i="20"/>
  <c r="R76" i="20"/>
  <c r="N76" i="20"/>
  <c r="M76" i="20"/>
  <c r="L76" i="20"/>
  <c r="X75" i="20"/>
  <c r="W75" i="20"/>
  <c r="V75" i="20"/>
  <c r="U75" i="20"/>
  <c r="T75" i="20"/>
  <c r="S75" i="20"/>
  <c r="R75" i="20"/>
  <c r="N75" i="20"/>
  <c r="M75" i="20"/>
  <c r="L75" i="20"/>
  <c r="X74" i="20"/>
  <c r="W74" i="20"/>
  <c r="V74" i="20"/>
  <c r="U74" i="20"/>
  <c r="T74" i="20"/>
  <c r="S74" i="20"/>
  <c r="R74" i="20"/>
  <c r="N74" i="20"/>
  <c r="M74" i="20"/>
  <c r="L74" i="20"/>
  <c r="X73" i="20"/>
  <c r="W73" i="20"/>
  <c r="V73" i="20"/>
  <c r="U73" i="20"/>
  <c r="T73" i="20"/>
  <c r="S73" i="20"/>
  <c r="R73" i="20"/>
  <c r="N73" i="20"/>
  <c r="M73" i="20"/>
  <c r="L73" i="20"/>
  <c r="X72" i="20"/>
  <c r="W72" i="20"/>
  <c r="V72" i="20"/>
  <c r="U72" i="20"/>
  <c r="T72" i="20"/>
  <c r="S72" i="20"/>
  <c r="R72" i="20"/>
  <c r="N72" i="20"/>
  <c r="M72" i="20"/>
  <c r="L72" i="20"/>
  <c r="X71" i="20"/>
  <c r="W71" i="20"/>
  <c r="V71" i="20"/>
  <c r="U71" i="20"/>
  <c r="T71" i="20"/>
  <c r="S71" i="20"/>
  <c r="R71" i="20"/>
  <c r="N71" i="20"/>
  <c r="M71" i="20"/>
  <c r="L71" i="20"/>
  <c r="X70" i="20"/>
  <c r="W70" i="20"/>
  <c r="V70" i="20"/>
  <c r="U70" i="20"/>
  <c r="T70" i="20"/>
  <c r="S70" i="20"/>
  <c r="R70" i="20"/>
  <c r="N70" i="20"/>
  <c r="M70" i="20"/>
  <c r="L70" i="20"/>
  <c r="X69" i="20"/>
  <c r="W69" i="20"/>
  <c r="V69" i="20"/>
  <c r="U69" i="20"/>
  <c r="T69" i="20"/>
  <c r="S69" i="20"/>
  <c r="R69" i="20"/>
  <c r="N69" i="20"/>
  <c r="M69" i="20"/>
  <c r="L69" i="20"/>
  <c r="X68" i="20"/>
  <c r="W68" i="20"/>
  <c r="V68" i="20"/>
  <c r="U68" i="20"/>
  <c r="T68" i="20"/>
  <c r="S68" i="20"/>
  <c r="R68" i="20"/>
  <c r="X67" i="20"/>
  <c r="W67" i="20"/>
  <c r="V67" i="20"/>
  <c r="R67" i="20"/>
  <c r="X66" i="20"/>
  <c r="W66" i="20"/>
  <c r="V66" i="20"/>
  <c r="R66" i="20"/>
  <c r="X65" i="20"/>
  <c r="W65" i="20"/>
  <c r="V65" i="20"/>
  <c r="R65" i="20"/>
  <c r="X64" i="20"/>
  <c r="W64" i="20"/>
  <c r="V64" i="20"/>
  <c r="R64" i="20"/>
  <c r="X63" i="20"/>
  <c r="W63" i="20"/>
  <c r="V63" i="20"/>
  <c r="R63" i="20"/>
  <c r="X62" i="20"/>
  <c r="W62" i="20"/>
  <c r="V62" i="20"/>
  <c r="R62" i="20"/>
  <c r="X61" i="20"/>
  <c r="W61" i="20"/>
  <c r="V61" i="20"/>
  <c r="U61" i="20"/>
  <c r="T61" i="20"/>
  <c r="S61" i="20"/>
  <c r="R61" i="20"/>
  <c r="X60" i="20"/>
  <c r="W60" i="20"/>
  <c r="V60" i="20"/>
  <c r="U60" i="20"/>
  <c r="T60" i="20"/>
  <c r="S60" i="20"/>
  <c r="R60" i="20"/>
  <c r="X59" i="20"/>
  <c r="W59" i="20"/>
  <c r="V59" i="20"/>
  <c r="U59" i="20"/>
  <c r="T59" i="20"/>
  <c r="S59" i="20"/>
  <c r="R59" i="20"/>
  <c r="N59" i="20"/>
  <c r="M59" i="20"/>
  <c r="L59" i="20"/>
  <c r="X58" i="20"/>
  <c r="W58" i="20"/>
  <c r="V58" i="20"/>
  <c r="U58" i="20"/>
  <c r="T58" i="20"/>
  <c r="S58" i="20"/>
  <c r="R58" i="20"/>
  <c r="N58" i="20"/>
  <c r="M58" i="20"/>
  <c r="L58" i="20"/>
  <c r="X57" i="20"/>
  <c r="W57" i="20"/>
  <c r="V57" i="20"/>
  <c r="U57" i="20"/>
  <c r="T57" i="20"/>
  <c r="S57" i="20"/>
  <c r="R57" i="20"/>
  <c r="N57" i="20"/>
  <c r="M57" i="20"/>
  <c r="L57" i="20"/>
  <c r="X56" i="20"/>
  <c r="W56" i="20"/>
  <c r="V56" i="20"/>
  <c r="U56" i="20"/>
  <c r="T56" i="20"/>
  <c r="S56" i="20"/>
  <c r="R56" i="20"/>
  <c r="N56" i="20"/>
  <c r="M56" i="20"/>
  <c r="L56" i="20"/>
  <c r="X55" i="20"/>
  <c r="W55" i="20"/>
  <c r="V55" i="20"/>
  <c r="U55" i="20"/>
  <c r="T55" i="20"/>
  <c r="S55" i="20"/>
  <c r="R55" i="20"/>
  <c r="N55" i="20"/>
  <c r="M55" i="20"/>
  <c r="L55" i="20"/>
  <c r="X54" i="20"/>
  <c r="W54" i="20"/>
  <c r="V54" i="20"/>
  <c r="U54" i="20"/>
  <c r="T54" i="20"/>
  <c r="S54" i="20"/>
  <c r="R54" i="20"/>
  <c r="N54" i="20"/>
  <c r="M54" i="20"/>
  <c r="L54" i="20"/>
  <c r="X53" i="20"/>
  <c r="W53" i="20"/>
  <c r="V53" i="20"/>
  <c r="U53" i="20"/>
  <c r="T53" i="20"/>
  <c r="S53" i="20"/>
  <c r="R53" i="20"/>
  <c r="N53" i="20"/>
  <c r="M53" i="20"/>
  <c r="L53" i="20"/>
  <c r="X52" i="20"/>
  <c r="W52" i="20"/>
  <c r="V52" i="20"/>
  <c r="U52" i="20"/>
  <c r="T52" i="20"/>
  <c r="S52" i="20"/>
  <c r="R52" i="20"/>
  <c r="N52" i="20"/>
  <c r="M52" i="20"/>
  <c r="L52" i="20"/>
  <c r="X51" i="20"/>
  <c r="W51" i="20"/>
  <c r="V51" i="20"/>
  <c r="R51" i="20"/>
  <c r="N51" i="20"/>
  <c r="M51" i="20"/>
  <c r="L51" i="20"/>
  <c r="X50" i="20"/>
  <c r="W50" i="20"/>
  <c r="V50" i="20"/>
  <c r="U50" i="20"/>
  <c r="T50" i="20"/>
  <c r="S50" i="20"/>
  <c r="R50" i="20"/>
  <c r="N50" i="20"/>
  <c r="M50" i="20"/>
  <c r="L50" i="20"/>
  <c r="X49" i="20"/>
  <c r="W49" i="20"/>
  <c r="V49" i="20"/>
  <c r="U49" i="20"/>
  <c r="T49" i="20"/>
  <c r="S49" i="20"/>
  <c r="R49" i="20"/>
  <c r="N49" i="20"/>
  <c r="M49" i="20"/>
  <c r="L49" i="20"/>
  <c r="X48" i="20"/>
  <c r="W48" i="20"/>
  <c r="V48" i="20"/>
  <c r="U48" i="20"/>
  <c r="T48" i="20"/>
  <c r="S48" i="20"/>
  <c r="R48" i="20"/>
  <c r="N48" i="20"/>
  <c r="M48" i="20"/>
  <c r="L48" i="20"/>
  <c r="X47" i="20"/>
  <c r="W47" i="20"/>
  <c r="V47" i="20"/>
  <c r="U47" i="20"/>
  <c r="T47" i="20"/>
  <c r="S47" i="20"/>
  <c r="R47" i="20"/>
  <c r="N47" i="20"/>
  <c r="M47" i="20"/>
  <c r="L47" i="20"/>
  <c r="X46" i="20"/>
  <c r="W46" i="20"/>
  <c r="V46" i="20"/>
  <c r="U46" i="20"/>
  <c r="T46" i="20"/>
  <c r="S46" i="20"/>
  <c r="R46" i="20"/>
  <c r="N46" i="20"/>
  <c r="M46" i="20"/>
  <c r="L46" i="20"/>
  <c r="X45" i="20"/>
  <c r="W45" i="20"/>
  <c r="V45" i="20"/>
  <c r="U45" i="20"/>
  <c r="T45" i="20"/>
  <c r="S45" i="20"/>
  <c r="R45" i="20"/>
  <c r="N45" i="20"/>
  <c r="M45" i="20"/>
  <c r="L45" i="20"/>
  <c r="X44" i="20"/>
  <c r="W44" i="20"/>
  <c r="V44" i="20"/>
  <c r="U44" i="20"/>
  <c r="T44" i="20"/>
  <c r="S44" i="20"/>
  <c r="R44" i="20"/>
  <c r="N44" i="20"/>
  <c r="M44" i="20"/>
  <c r="L44" i="20"/>
  <c r="X43" i="20"/>
  <c r="W43" i="20"/>
  <c r="V43" i="20"/>
  <c r="U43" i="20"/>
  <c r="T43" i="20"/>
  <c r="S43" i="20"/>
  <c r="R43" i="20"/>
  <c r="N43" i="20"/>
  <c r="M43" i="20"/>
  <c r="L43" i="20"/>
  <c r="X42" i="20"/>
  <c r="W42" i="20"/>
  <c r="V42" i="20"/>
  <c r="U42" i="20"/>
  <c r="T42" i="20"/>
  <c r="S42" i="20"/>
  <c r="R42" i="20"/>
  <c r="N42" i="20"/>
  <c r="M42" i="20"/>
  <c r="L42" i="20"/>
  <c r="X41" i="20"/>
  <c r="W41" i="20"/>
  <c r="V41" i="20"/>
  <c r="U41" i="20"/>
  <c r="T41" i="20"/>
  <c r="S41" i="20"/>
  <c r="R41" i="20"/>
  <c r="N41" i="20"/>
  <c r="M41" i="20"/>
  <c r="L41" i="20"/>
  <c r="X40" i="20"/>
  <c r="W40" i="20"/>
  <c r="V40" i="20"/>
  <c r="U40" i="20"/>
  <c r="T40" i="20"/>
  <c r="S40" i="20"/>
  <c r="R40" i="20"/>
  <c r="N40" i="20"/>
  <c r="M40" i="20"/>
  <c r="L40" i="20"/>
  <c r="U39" i="20"/>
  <c r="T39" i="20"/>
  <c r="S39" i="20"/>
  <c r="R39" i="20"/>
  <c r="N39" i="20"/>
  <c r="Q66" i="20" s="1"/>
  <c r="M39" i="20"/>
  <c r="P60" i="20" s="1"/>
  <c r="L39" i="20"/>
  <c r="O62" i="20" s="1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R16" i="20"/>
  <c r="N16" i="20"/>
  <c r="M16" i="20"/>
  <c r="L16" i="20"/>
  <c r="K16" i="20"/>
  <c r="W7" i="20"/>
  <c r="Y2" i="20"/>
  <c r="X153" i="18"/>
  <c r="W153" i="18"/>
  <c r="V153" i="18"/>
  <c r="U153" i="18"/>
  <c r="T153" i="18"/>
  <c r="S153" i="18"/>
  <c r="R153" i="18"/>
  <c r="N153" i="18"/>
  <c r="M153" i="18"/>
  <c r="L153" i="18"/>
  <c r="X152" i="18"/>
  <c r="W152" i="18"/>
  <c r="V152" i="18"/>
  <c r="U152" i="18"/>
  <c r="T152" i="18"/>
  <c r="S152" i="18"/>
  <c r="R152" i="18"/>
  <c r="N152" i="18"/>
  <c r="M152" i="18"/>
  <c r="L152" i="18"/>
  <c r="X151" i="18"/>
  <c r="W151" i="18"/>
  <c r="V151" i="18"/>
  <c r="U151" i="18"/>
  <c r="T151" i="18"/>
  <c r="S151" i="18"/>
  <c r="R151" i="18"/>
  <c r="N151" i="18"/>
  <c r="M151" i="18"/>
  <c r="L151" i="18"/>
  <c r="X150" i="18"/>
  <c r="W150" i="18"/>
  <c r="V150" i="18"/>
  <c r="U150" i="18"/>
  <c r="T150" i="18"/>
  <c r="S150" i="18"/>
  <c r="R150" i="18"/>
  <c r="N150" i="18"/>
  <c r="M150" i="18"/>
  <c r="L150" i="18"/>
  <c r="X149" i="18"/>
  <c r="W149" i="18"/>
  <c r="V149" i="18"/>
  <c r="U149" i="18"/>
  <c r="T149" i="18"/>
  <c r="S149" i="18"/>
  <c r="R149" i="18"/>
  <c r="N149" i="18"/>
  <c r="M149" i="18"/>
  <c r="L149" i="18"/>
  <c r="X148" i="18"/>
  <c r="W148" i="18"/>
  <c r="V148" i="18"/>
  <c r="U148" i="18"/>
  <c r="T148" i="18"/>
  <c r="S148" i="18"/>
  <c r="R148" i="18"/>
  <c r="N148" i="18"/>
  <c r="M148" i="18"/>
  <c r="L148" i="18"/>
  <c r="X147" i="18"/>
  <c r="W147" i="18"/>
  <c r="V147" i="18"/>
  <c r="U147" i="18"/>
  <c r="T147" i="18"/>
  <c r="S147" i="18"/>
  <c r="R147" i="18"/>
  <c r="N147" i="18"/>
  <c r="M147" i="18"/>
  <c r="L147" i="18"/>
  <c r="X146" i="18"/>
  <c r="W146" i="18"/>
  <c r="V146" i="18"/>
  <c r="U146" i="18"/>
  <c r="T146" i="18"/>
  <c r="S146" i="18"/>
  <c r="R146" i="18"/>
  <c r="N146" i="18"/>
  <c r="M146" i="18"/>
  <c r="L146" i="18"/>
  <c r="X145" i="18"/>
  <c r="W145" i="18"/>
  <c r="V145" i="18"/>
  <c r="U145" i="18"/>
  <c r="T145" i="18"/>
  <c r="S145" i="18"/>
  <c r="R145" i="18"/>
  <c r="N145" i="18"/>
  <c r="M145" i="18"/>
  <c r="L145" i="18"/>
  <c r="X144" i="18"/>
  <c r="W144" i="18"/>
  <c r="V144" i="18"/>
  <c r="U144" i="18"/>
  <c r="T144" i="18"/>
  <c r="S144" i="18"/>
  <c r="R144" i="18"/>
  <c r="N144" i="18"/>
  <c r="M144" i="18"/>
  <c r="L144" i="18"/>
  <c r="X143" i="18"/>
  <c r="W143" i="18"/>
  <c r="V143" i="18"/>
  <c r="U143" i="18"/>
  <c r="T143" i="18"/>
  <c r="S143" i="18"/>
  <c r="R143" i="18"/>
  <c r="N143" i="18"/>
  <c r="M143" i="18"/>
  <c r="L143" i="18"/>
  <c r="X142" i="18"/>
  <c r="W142" i="18"/>
  <c r="V142" i="18"/>
  <c r="U142" i="18"/>
  <c r="T142" i="18"/>
  <c r="S142" i="18"/>
  <c r="R142" i="18"/>
  <c r="N142" i="18"/>
  <c r="M142" i="18"/>
  <c r="L142" i="18"/>
  <c r="X141" i="18"/>
  <c r="W141" i="18"/>
  <c r="V141" i="18"/>
  <c r="U141" i="18"/>
  <c r="T141" i="18"/>
  <c r="S141" i="18"/>
  <c r="R141" i="18"/>
  <c r="N141" i="18"/>
  <c r="M141" i="18"/>
  <c r="L141" i="18"/>
  <c r="X140" i="18"/>
  <c r="W140" i="18"/>
  <c r="V140" i="18"/>
  <c r="U140" i="18"/>
  <c r="T140" i="18"/>
  <c r="S140" i="18"/>
  <c r="R140" i="18"/>
  <c r="N140" i="18"/>
  <c r="M140" i="18"/>
  <c r="L140" i="18"/>
  <c r="X139" i="18"/>
  <c r="W139" i="18"/>
  <c r="V139" i="18"/>
  <c r="U139" i="18"/>
  <c r="T139" i="18"/>
  <c r="S139" i="18"/>
  <c r="R139" i="18"/>
  <c r="N139" i="18"/>
  <c r="M139" i="18"/>
  <c r="L139" i="18"/>
  <c r="X138" i="18"/>
  <c r="W138" i="18"/>
  <c r="V138" i="18"/>
  <c r="U138" i="18"/>
  <c r="T138" i="18"/>
  <c r="S138" i="18"/>
  <c r="R138" i="18"/>
  <c r="N138" i="18"/>
  <c r="M138" i="18"/>
  <c r="L138" i="18"/>
  <c r="X137" i="18"/>
  <c r="W137" i="18"/>
  <c r="V137" i="18"/>
  <c r="U137" i="18"/>
  <c r="T137" i="18"/>
  <c r="S137" i="18"/>
  <c r="R137" i="18"/>
  <c r="N137" i="18"/>
  <c r="M137" i="18"/>
  <c r="L137" i="18"/>
  <c r="X136" i="18"/>
  <c r="W136" i="18"/>
  <c r="V136" i="18"/>
  <c r="U136" i="18"/>
  <c r="T136" i="18"/>
  <c r="S136" i="18"/>
  <c r="R136" i="18"/>
  <c r="N136" i="18"/>
  <c r="M136" i="18"/>
  <c r="L136" i="18"/>
  <c r="X135" i="18"/>
  <c r="W135" i="18"/>
  <c r="V135" i="18"/>
  <c r="U135" i="18"/>
  <c r="T135" i="18"/>
  <c r="S135" i="18"/>
  <c r="R135" i="18"/>
  <c r="N135" i="18"/>
  <c r="M135" i="18"/>
  <c r="L135" i="18"/>
  <c r="X134" i="18"/>
  <c r="W134" i="18"/>
  <c r="V134" i="18"/>
  <c r="U134" i="18"/>
  <c r="T134" i="18"/>
  <c r="S134" i="18"/>
  <c r="R134" i="18"/>
  <c r="N134" i="18"/>
  <c r="M134" i="18"/>
  <c r="L134" i="18"/>
  <c r="X133" i="18"/>
  <c r="W133" i="18"/>
  <c r="V133" i="18"/>
  <c r="U133" i="18"/>
  <c r="T133" i="18"/>
  <c r="S133" i="18"/>
  <c r="R133" i="18"/>
  <c r="N133" i="18"/>
  <c r="M133" i="18"/>
  <c r="L133" i="18"/>
  <c r="X132" i="18"/>
  <c r="W132" i="18"/>
  <c r="V132" i="18"/>
  <c r="U132" i="18"/>
  <c r="T132" i="18"/>
  <c r="S132" i="18"/>
  <c r="R132" i="18"/>
  <c r="N132" i="18"/>
  <c r="M132" i="18"/>
  <c r="L132" i="18"/>
  <c r="X131" i="18"/>
  <c r="W131" i="18"/>
  <c r="V131" i="18"/>
  <c r="U131" i="18"/>
  <c r="T131" i="18"/>
  <c r="S131" i="18"/>
  <c r="R131" i="18"/>
  <c r="N131" i="18"/>
  <c r="M131" i="18"/>
  <c r="L131" i="18"/>
  <c r="X130" i="18"/>
  <c r="W130" i="18"/>
  <c r="V130" i="18"/>
  <c r="U130" i="18"/>
  <c r="T130" i="18"/>
  <c r="S130" i="18"/>
  <c r="R130" i="18"/>
  <c r="N130" i="18"/>
  <c r="M130" i="18"/>
  <c r="L130" i="18"/>
  <c r="X129" i="18"/>
  <c r="W129" i="18"/>
  <c r="V129" i="18"/>
  <c r="U129" i="18"/>
  <c r="T129" i="18"/>
  <c r="S129" i="18"/>
  <c r="R129" i="18"/>
  <c r="N129" i="18"/>
  <c r="M129" i="18"/>
  <c r="L129" i="18"/>
  <c r="X128" i="18"/>
  <c r="W128" i="18"/>
  <c r="V128" i="18"/>
  <c r="U128" i="18"/>
  <c r="T128" i="18"/>
  <c r="S128" i="18"/>
  <c r="R128" i="18"/>
  <c r="N128" i="18"/>
  <c r="M128" i="18"/>
  <c r="L128" i="18"/>
  <c r="X127" i="18"/>
  <c r="W127" i="18"/>
  <c r="V127" i="18"/>
  <c r="U127" i="18"/>
  <c r="T127" i="18"/>
  <c r="S127" i="18"/>
  <c r="R127" i="18"/>
  <c r="N127" i="18"/>
  <c r="M127" i="18"/>
  <c r="L127" i="18"/>
  <c r="X126" i="18"/>
  <c r="W126" i="18"/>
  <c r="V126" i="18"/>
  <c r="U126" i="18"/>
  <c r="T126" i="18"/>
  <c r="S126" i="18"/>
  <c r="R126" i="18"/>
  <c r="N126" i="18"/>
  <c r="M126" i="18"/>
  <c r="L126" i="18"/>
  <c r="X125" i="18"/>
  <c r="W125" i="18"/>
  <c r="V125" i="18"/>
  <c r="U125" i="18"/>
  <c r="T125" i="18"/>
  <c r="S125" i="18"/>
  <c r="R125" i="18"/>
  <c r="N125" i="18"/>
  <c r="M125" i="18"/>
  <c r="L125" i="18"/>
  <c r="X124" i="18"/>
  <c r="W124" i="18"/>
  <c r="V124" i="18"/>
  <c r="U124" i="18"/>
  <c r="T124" i="18"/>
  <c r="S124" i="18"/>
  <c r="R124" i="18"/>
  <c r="N124" i="18"/>
  <c r="M124" i="18"/>
  <c r="L124" i="18"/>
  <c r="X123" i="18"/>
  <c r="W123" i="18"/>
  <c r="V123" i="18"/>
  <c r="U123" i="18"/>
  <c r="T123" i="18"/>
  <c r="S123" i="18"/>
  <c r="R123" i="18"/>
  <c r="N123" i="18"/>
  <c r="M123" i="18"/>
  <c r="L123" i="18"/>
  <c r="X122" i="18"/>
  <c r="W122" i="18"/>
  <c r="V122" i="18"/>
  <c r="U122" i="18"/>
  <c r="T122" i="18"/>
  <c r="S122" i="18"/>
  <c r="R122" i="18"/>
  <c r="N122" i="18"/>
  <c r="M122" i="18"/>
  <c r="L122" i="18"/>
  <c r="X121" i="18"/>
  <c r="W121" i="18"/>
  <c r="V121" i="18"/>
  <c r="U121" i="18"/>
  <c r="T121" i="18"/>
  <c r="S121" i="18"/>
  <c r="R121" i="18"/>
  <c r="N121" i="18"/>
  <c r="M121" i="18"/>
  <c r="L121" i="18"/>
  <c r="X120" i="18"/>
  <c r="W120" i="18"/>
  <c r="V120" i="18"/>
  <c r="U120" i="18"/>
  <c r="T120" i="18"/>
  <c r="S120" i="18"/>
  <c r="R120" i="18"/>
  <c r="N120" i="18"/>
  <c r="M120" i="18"/>
  <c r="L120" i="18"/>
  <c r="X119" i="18"/>
  <c r="W119" i="18"/>
  <c r="V119" i="18"/>
  <c r="U119" i="18"/>
  <c r="T119" i="18"/>
  <c r="S119" i="18"/>
  <c r="R119" i="18"/>
  <c r="N119" i="18"/>
  <c r="M119" i="18"/>
  <c r="L119" i="18"/>
  <c r="X118" i="18"/>
  <c r="W118" i="18"/>
  <c r="V118" i="18"/>
  <c r="U118" i="18"/>
  <c r="T118" i="18"/>
  <c r="S118" i="18"/>
  <c r="R118" i="18"/>
  <c r="N118" i="18"/>
  <c r="M118" i="18"/>
  <c r="L118" i="18"/>
  <c r="X117" i="18"/>
  <c r="W117" i="18"/>
  <c r="V117" i="18"/>
  <c r="U117" i="18"/>
  <c r="T117" i="18"/>
  <c r="S117" i="18"/>
  <c r="R117" i="18"/>
  <c r="N117" i="18"/>
  <c r="M117" i="18"/>
  <c r="L117" i="18"/>
  <c r="X116" i="18"/>
  <c r="W116" i="18"/>
  <c r="V116" i="18"/>
  <c r="U116" i="18"/>
  <c r="T116" i="18"/>
  <c r="S116" i="18"/>
  <c r="R116" i="18"/>
  <c r="N116" i="18"/>
  <c r="M116" i="18"/>
  <c r="L116" i="18"/>
  <c r="X115" i="18"/>
  <c r="W115" i="18"/>
  <c r="V115" i="18"/>
  <c r="U115" i="18"/>
  <c r="T115" i="18"/>
  <c r="S115" i="18"/>
  <c r="R115" i="18"/>
  <c r="N115" i="18"/>
  <c r="M115" i="18"/>
  <c r="L115" i="18"/>
  <c r="X114" i="18"/>
  <c r="W114" i="18"/>
  <c r="V114" i="18"/>
  <c r="U114" i="18"/>
  <c r="T114" i="18"/>
  <c r="S114" i="18"/>
  <c r="R114" i="18"/>
  <c r="N114" i="18"/>
  <c r="M114" i="18"/>
  <c r="L114" i="18"/>
  <c r="X113" i="18"/>
  <c r="W113" i="18"/>
  <c r="V113" i="18"/>
  <c r="U113" i="18"/>
  <c r="T113" i="18"/>
  <c r="S113" i="18"/>
  <c r="R113" i="18"/>
  <c r="N113" i="18"/>
  <c r="M113" i="18"/>
  <c r="L113" i="18"/>
  <c r="X112" i="18"/>
  <c r="W112" i="18"/>
  <c r="V112" i="18"/>
  <c r="U112" i="18"/>
  <c r="T112" i="18"/>
  <c r="S112" i="18"/>
  <c r="R112" i="18"/>
  <c r="N112" i="18"/>
  <c r="M112" i="18"/>
  <c r="L112" i="18"/>
  <c r="X111" i="18"/>
  <c r="W111" i="18"/>
  <c r="V111" i="18"/>
  <c r="U111" i="18"/>
  <c r="T111" i="18"/>
  <c r="S111" i="18"/>
  <c r="R111" i="18"/>
  <c r="N111" i="18"/>
  <c r="M111" i="18"/>
  <c r="L111" i="18"/>
  <c r="X110" i="18"/>
  <c r="W110" i="18"/>
  <c r="V110" i="18"/>
  <c r="U110" i="18"/>
  <c r="T110" i="18"/>
  <c r="S110" i="18"/>
  <c r="R110" i="18"/>
  <c r="N110" i="18"/>
  <c r="M110" i="18"/>
  <c r="L110" i="18"/>
  <c r="X109" i="18"/>
  <c r="W109" i="18"/>
  <c r="V109" i="18"/>
  <c r="U109" i="18"/>
  <c r="T109" i="18"/>
  <c r="S109" i="18"/>
  <c r="R109" i="18"/>
  <c r="N109" i="18"/>
  <c r="M109" i="18"/>
  <c r="L109" i="18"/>
  <c r="X108" i="18"/>
  <c r="W108" i="18"/>
  <c r="V108" i="18"/>
  <c r="U108" i="18"/>
  <c r="T108" i="18"/>
  <c r="S108" i="18"/>
  <c r="R108" i="18"/>
  <c r="N108" i="18"/>
  <c r="M108" i="18"/>
  <c r="L108" i="18"/>
  <c r="X107" i="18"/>
  <c r="W107" i="18"/>
  <c r="V107" i="18"/>
  <c r="U107" i="18"/>
  <c r="T107" i="18"/>
  <c r="S107" i="18"/>
  <c r="R107" i="18"/>
  <c r="N107" i="18"/>
  <c r="M107" i="18"/>
  <c r="L107" i="18"/>
  <c r="X106" i="18"/>
  <c r="W106" i="18"/>
  <c r="V106" i="18"/>
  <c r="U106" i="18"/>
  <c r="T106" i="18"/>
  <c r="S106" i="18"/>
  <c r="R106" i="18"/>
  <c r="N106" i="18"/>
  <c r="M106" i="18"/>
  <c r="L106" i="18"/>
  <c r="X105" i="18"/>
  <c r="W105" i="18"/>
  <c r="V105" i="18"/>
  <c r="U105" i="18"/>
  <c r="T105" i="18"/>
  <c r="S105" i="18"/>
  <c r="R105" i="18"/>
  <c r="N105" i="18"/>
  <c r="M105" i="18"/>
  <c r="L105" i="18"/>
  <c r="X104" i="18"/>
  <c r="W104" i="18"/>
  <c r="V104" i="18"/>
  <c r="U104" i="18"/>
  <c r="T104" i="18"/>
  <c r="S104" i="18"/>
  <c r="R104" i="18"/>
  <c r="N104" i="18"/>
  <c r="M104" i="18"/>
  <c r="L104" i="18"/>
  <c r="X103" i="18"/>
  <c r="W103" i="18"/>
  <c r="V103" i="18"/>
  <c r="U103" i="18"/>
  <c r="T103" i="18"/>
  <c r="S103" i="18"/>
  <c r="R103" i="18"/>
  <c r="N103" i="18"/>
  <c r="M103" i="18"/>
  <c r="L103" i="18"/>
  <c r="X102" i="18"/>
  <c r="W102" i="18"/>
  <c r="V102" i="18"/>
  <c r="U102" i="18"/>
  <c r="T102" i="18"/>
  <c r="S102" i="18"/>
  <c r="R102" i="18"/>
  <c r="N102" i="18"/>
  <c r="M102" i="18"/>
  <c r="L102" i="18"/>
  <c r="X101" i="18"/>
  <c r="W101" i="18"/>
  <c r="V101" i="18"/>
  <c r="U101" i="18"/>
  <c r="T101" i="18"/>
  <c r="S101" i="18"/>
  <c r="R101" i="18"/>
  <c r="N101" i="18"/>
  <c r="M101" i="18"/>
  <c r="L101" i="18"/>
  <c r="X100" i="18"/>
  <c r="W100" i="18"/>
  <c r="V100" i="18"/>
  <c r="U100" i="18"/>
  <c r="T100" i="18"/>
  <c r="S100" i="18"/>
  <c r="R100" i="18"/>
  <c r="N100" i="18"/>
  <c r="M100" i="18"/>
  <c r="L100" i="18"/>
  <c r="X99" i="18"/>
  <c r="W99" i="18"/>
  <c r="V99" i="18"/>
  <c r="U99" i="18"/>
  <c r="T99" i="18"/>
  <c r="S99" i="18"/>
  <c r="R99" i="18"/>
  <c r="N99" i="18"/>
  <c r="M99" i="18"/>
  <c r="L99" i="18"/>
  <c r="X98" i="18"/>
  <c r="W98" i="18"/>
  <c r="V98" i="18"/>
  <c r="U98" i="18"/>
  <c r="T98" i="18"/>
  <c r="S98" i="18"/>
  <c r="R98" i="18"/>
  <c r="N98" i="18"/>
  <c r="M98" i="18"/>
  <c r="L98" i="18"/>
  <c r="X97" i="18"/>
  <c r="W97" i="18"/>
  <c r="V97" i="18"/>
  <c r="U97" i="18"/>
  <c r="T97" i="18"/>
  <c r="S97" i="18"/>
  <c r="R97" i="18"/>
  <c r="N97" i="18"/>
  <c r="M97" i="18"/>
  <c r="L97" i="18"/>
  <c r="X96" i="18"/>
  <c r="W96" i="18"/>
  <c r="V96" i="18"/>
  <c r="U96" i="18"/>
  <c r="T96" i="18"/>
  <c r="S96" i="18"/>
  <c r="R96" i="18"/>
  <c r="N96" i="18"/>
  <c r="M96" i="18"/>
  <c r="L96" i="18"/>
  <c r="X95" i="18"/>
  <c r="W95" i="18"/>
  <c r="V95" i="18"/>
  <c r="U95" i="18"/>
  <c r="T95" i="18"/>
  <c r="S95" i="18"/>
  <c r="R95" i="18"/>
  <c r="N95" i="18"/>
  <c r="M95" i="18"/>
  <c r="L95" i="18"/>
  <c r="X94" i="18"/>
  <c r="W94" i="18"/>
  <c r="V94" i="18"/>
  <c r="U94" i="18"/>
  <c r="T94" i="18"/>
  <c r="S94" i="18"/>
  <c r="R94" i="18"/>
  <c r="N94" i="18"/>
  <c r="M94" i="18"/>
  <c r="L94" i="18"/>
  <c r="X93" i="18"/>
  <c r="W93" i="18"/>
  <c r="V93" i="18"/>
  <c r="U93" i="18"/>
  <c r="T93" i="18"/>
  <c r="S93" i="18"/>
  <c r="R93" i="18"/>
  <c r="N93" i="18"/>
  <c r="M93" i="18"/>
  <c r="L93" i="18"/>
  <c r="X92" i="18"/>
  <c r="W92" i="18"/>
  <c r="V92" i="18"/>
  <c r="U92" i="18"/>
  <c r="T92" i="18"/>
  <c r="S92" i="18"/>
  <c r="R92" i="18"/>
  <c r="N92" i="18"/>
  <c r="M92" i="18"/>
  <c r="L92" i="18"/>
  <c r="X91" i="18"/>
  <c r="W91" i="18"/>
  <c r="V91" i="18"/>
  <c r="U91" i="18"/>
  <c r="T91" i="18"/>
  <c r="S91" i="18"/>
  <c r="R91" i="18"/>
  <c r="N91" i="18"/>
  <c r="M91" i="18"/>
  <c r="L91" i="18"/>
  <c r="X90" i="18"/>
  <c r="W90" i="18"/>
  <c r="V90" i="18"/>
  <c r="U90" i="18"/>
  <c r="T90" i="18"/>
  <c r="S90" i="18"/>
  <c r="R90" i="18"/>
  <c r="N90" i="18"/>
  <c r="M90" i="18"/>
  <c r="L90" i="18"/>
  <c r="X89" i="18"/>
  <c r="W89" i="18"/>
  <c r="V89" i="18"/>
  <c r="U89" i="18"/>
  <c r="T89" i="18"/>
  <c r="S89" i="18"/>
  <c r="R89" i="18"/>
  <c r="N89" i="18"/>
  <c r="M89" i="18"/>
  <c r="L89" i="18"/>
  <c r="X88" i="18"/>
  <c r="W88" i="18"/>
  <c r="V88" i="18"/>
  <c r="U88" i="18"/>
  <c r="T88" i="18"/>
  <c r="S88" i="18"/>
  <c r="R88" i="18"/>
  <c r="N88" i="18"/>
  <c r="M88" i="18"/>
  <c r="L88" i="18"/>
  <c r="X87" i="18"/>
  <c r="W87" i="18"/>
  <c r="V87" i="18"/>
  <c r="U87" i="18"/>
  <c r="T87" i="18"/>
  <c r="S87" i="18"/>
  <c r="R87" i="18"/>
  <c r="N87" i="18"/>
  <c r="M87" i="18"/>
  <c r="L87" i="18"/>
  <c r="X86" i="18"/>
  <c r="W86" i="18"/>
  <c r="V86" i="18"/>
  <c r="U86" i="18"/>
  <c r="T86" i="18"/>
  <c r="S86" i="18"/>
  <c r="R86" i="18"/>
  <c r="N86" i="18"/>
  <c r="M86" i="18"/>
  <c r="L86" i="18"/>
  <c r="X85" i="18"/>
  <c r="W85" i="18"/>
  <c r="V85" i="18"/>
  <c r="U85" i="18"/>
  <c r="T85" i="18"/>
  <c r="S85" i="18"/>
  <c r="R85" i="18"/>
  <c r="N85" i="18"/>
  <c r="M85" i="18"/>
  <c r="L85" i="18"/>
  <c r="X84" i="18"/>
  <c r="W84" i="18"/>
  <c r="V84" i="18"/>
  <c r="U84" i="18"/>
  <c r="T84" i="18"/>
  <c r="S84" i="18"/>
  <c r="R84" i="18"/>
  <c r="N84" i="18"/>
  <c r="M84" i="18"/>
  <c r="L84" i="18"/>
  <c r="X83" i="18"/>
  <c r="W83" i="18"/>
  <c r="V83" i="18"/>
  <c r="U83" i="18"/>
  <c r="T83" i="18"/>
  <c r="S83" i="18"/>
  <c r="R83" i="18"/>
  <c r="N83" i="18"/>
  <c r="M83" i="18"/>
  <c r="L83" i="18"/>
  <c r="X82" i="18"/>
  <c r="W82" i="18"/>
  <c r="V82" i="18"/>
  <c r="U82" i="18"/>
  <c r="T82" i="18"/>
  <c r="S82" i="18"/>
  <c r="R82" i="18"/>
  <c r="N82" i="18"/>
  <c r="M82" i="18"/>
  <c r="L82" i="18"/>
  <c r="X81" i="18"/>
  <c r="W81" i="18"/>
  <c r="V81" i="18"/>
  <c r="U81" i="18"/>
  <c r="T81" i="18"/>
  <c r="S81" i="18"/>
  <c r="R81" i="18"/>
  <c r="N81" i="18"/>
  <c r="M81" i="18"/>
  <c r="L81" i="18"/>
  <c r="X80" i="18"/>
  <c r="W80" i="18"/>
  <c r="V80" i="18"/>
  <c r="U80" i="18"/>
  <c r="T80" i="18"/>
  <c r="S80" i="18"/>
  <c r="R80" i="18"/>
  <c r="N80" i="18"/>
  <c r="M80" i="18"/>
  <c r="L80" i="18"/>
  <c r="X79" i="18"/>
  <c r="W79" i="18"/>
  <c r="V79" i="18"/>
  <c r="U79" i="18"/>
  <c r="T79" i="18"/>
  <c r="S79" i="18"/>
  <c r="R79" i="18"/>
  <c r="N79" i="18"/>
  <c r="M79" i="18"/>
  <c r="L79" i="18"/>
  <c r="X78" i="18"/>
  <c r="W78" i="18"/>
  <c r="V78" i="18"/>
  <c r="U78" i="18"/>
  <c r="T78" i="18"/>
  <c r="S78" i="18"/>
  <c r="R78" i="18"/>
  <c r="N78" i="18"/>
  <c r="M78" i="18"/>
  <c r="L78" i="18"/>
  <c r="X77" i="18"/>
  <c r="W77" i="18"/>
  <c r="V77" i="18"/>
  <c r="U77" i="18"/>
  <c r="T77" i="18"/>
  <c r="S77" i="18"/>
  <c r="R77" i="18"/>
  <c r="N77" i="18"/>
  <c r="M77" i="18"/>
  <c r="L77" i="18"/>
  <c r="X76" i="18"/>
  <c r="W76" i="18"/>
  <c r="V76" i="18"/>
  <c r="U76" i="18"/>
  <c r="T76" i="18"/>
  <c r="S76" i="18"/>
  <c r="R76" i="18"/>
  <c r="N76" i="18"/>
  <c r="M76" i="18"/>
  <c r="L76" i="18"/>
  <c r="X75" i="18"/>
  <c r="W75" i="18"/>
  <c r="V75" i="18"/>
  <c r="U75" i="18"/>
  <c r="T75" i="18"/>
  <c r="S75" i="18"/>
  <c r="R75" i="18"/>
  <c r="N75" i="18"/>
  <c r="M75" i="18"/>
  <c r="L75" i="18"/>
  <c r="X74" i="18"/>
  <c r="W74" i="18"/>
  <c r="V74" i="18"/>
  <c r="U74" i="18"/>
  <c r="T74" i="18"/>
  <c r="S74" i="18"/>
  <c r="R74" i="18"/>
  <c r="N74" i="18"/>
  <c r="M74" i="18"/>
  <c r="L74" i="18"/>
  <c r="X73" i="18"/>
  <c r="W73" i="18"/>
  <c r="V73" i="18"/>
  <c r="U73" i="18"/>
  <c r="T73" i="18"/>
  <c r="S73" i="18"/>
  <c r="R73" i="18"/>
  <c r="N73" i="18"/>
  <c r="M73" i="18"/>
  <c r="L73" i="18"/>
  <c r="X72" i="18"/>
  <c r="W72" i="18"/>
  <c r="V72" i="18"/>
  <c r="U72" i="18"/>
  <c r="T72" i="18"/>
  <c r="S72" i="18"/>
  <c r="R72" i="18"/>
  <c r="N72" i="18"/>
  <c r="M72" i="18"/>
  <c r="L72" i="18"/>
  <c r="X71" i="18"/>
  <c r="W71" i="18"/>
  <c r="V71" i="18"/>
  <c r="U71" i="18"/>
  <c r="T71" i="18"/>
  <c r="S71" i="18"/>
  <c r="R71" i="18"/>
  <c r="N71" i="18"/>
  <c r="M71" i="18"/>
  <c r="L71" i="18"/>
  <c r="X70" i="18"/>
  <c r="W70" i="18"/>
  <c r="V70" i="18"/>
  <c r="U70" i="18"/>
  <c r="T70" i="18"/>
  <c r="S70" i="18"/>
  <c r="R70" i="18"/>
  <c r="N70" i="18"/>
  <c r="M70" i="18"/>
  <c r="L70" i="18"/>
  <c r="X69" i="18"/>
  <c r="W69" i="18"/>
  <c r="V69" i="18"/>
  <c r="U69" i="18"/>
  <c r="T69" i="18"/>
  <c r="S69" i="18"/>
  <c r="R69" i="18"/>
  <c r="N69" i="18"/>
  <c r="M69" i="18"/>
  <c r="L69" i="18"/>
  <c r="X68" i="18"/>
  <c r="W68" i="18"/>
  <c r="V68" i="18"/>
  <c r="U68" i="18"/>
  <c r="T68" i="18"/>
  <c r="S68" i="18"/>
  <c r="R68" i="18"/>
  <c r="N68" i="18"/>
  <c r="M68" i="18"/>
  <c r="L68" i="18"/>
  <c r="X67" i="18"/>
  <c r="W67" i="18"/>
  <c r="V67" i="18"/>
  <c r="U67" i="18"/>
  <c r="T67" i="18"/>
  <c r="S67" i="18"/>
  <c r="R67" i="18"/>
  <c r="N67" i="18"/>
  <c r="M67" i="18"/>
  <c r="L67" i="18"/>
  <c r="X66" i="18"/>
  <c r="W66" i="18"/>
  <c r="V66" i="18"/>
  <c r="U66" i="18"/>
  <c r="T66" i="18"/>
  <c r="S66" i="18"/>
  <c r="R66" i="18"/>
  <c r="N66" i="18"/>
  <c r="M66" i="18"/>
  <c r="L66" i="18"/>
  <c r="X65" i="18"/>
  <c r="W65" i="18"/>
  <c r="V65" i="18"/>
  <c r="U65" i="18"/>
  <c r="T65" i="18"/>
  <c r="S65" i="18"/>
  <c r="R65" i="18"/>
  <c r="N65" i="18"/>
  <c r="M65" i="18"/>
  <c r="L65" i="18"/>
  <c r="X64" i="18"/>
  <c r="W64" i="18"/>
  <c r="V64" i="18"/>
  <c r="U64" i="18"/>
  <c r="T64" i="18"/>
  <c r="S64" i="18"/>
  <c r="R64" i="18"/>
  <c r="N64" i="18"/>
  <c r="M64" i="18"/>
  <c r="L64" i="18"/>
  <c r="X63" i="18"/>
  <c r="W63" i="18"/>
  <c r="V63" i="18"/>
  <c r="U63" i="18"/>
  <c r="T63" i="18"/>
  <c r="S63" i="18"/>
  <c r="R63" i="18"/>
  <c r="N63" i="18"/>
  <c r="M63" i="18"/>
  <c r="L63" i="18"/>
  <c r="X62" i="18"/>
  <c r="W62" i="18"/>
  <c r="V62" i="18"/>
  <c r="U62" i="18"/>
  <c r="T62" i="18"/>
  <c r="S62" i="18"/>
  <c r="R62" i="18"/>
  <c r="N62" i="18"/>
  <c r="M62" i="18"/>
  <c r="L62" i="18"/>
  <c r="X61" i="18"/>
  <c r="W61" i="18"/>
  <c r="V61" i="18"/>
  <c r="U61" i="18"/>
  <c r="T61" i="18"/>
  <c r="S61" i="18"/>
  <c r="R61" i="18"/>
  <c r="N61" i="18"/>
  <c r="M61" i="18"/>
  <c r="L61" i="18"/>
  <c r="X60" i="18"/>
  <c r="W60" i="18"/>
  <c r="V60" i="18"/>
  <c r="U60" i="18"/>
  <c r="T60" i="18"/>
  <c r="S60" i="18"/>
  <c r="R60" i="18"/>
  <c r="N60" i="18"/>
  <c r="M60" i="18"/>
  <c r="L60" i="18"/>
  <c r="X59" i="18"/>
  <c r="W59" i="18"/>
  <c r="V59" i="18"/>
  <c r="U59" i="18"/>
  <c r="T59" i="18"/>
  <c r="S59" i="18"/>
  <c r="R59" i="18"/>
  <c r="N59" i="18"/>
  <c r="M59" i="18"/>
  <c r="L59" i="18"/>
  <c r="X58" i="18"/>
  <c r="W58" i="18"/>
  <c r="V58" i="18"/>
  <c r="U58" i="18"/>
  <c r="T58" i="18"/>
  <c r="S58" i="18"/>
  <c r="R58" i="18"/>
  <c r="N58" i="18"/>
  <c r="M58" i="18"/>
  <c r="L58" i="18"/>
  <c r="X57" i="18"/>
  <c r="W57" i="18"/>
  <c r="V57" i="18"/>
  <c r="U57" i="18"/>
  <c r="T57" i="18"/>
  <c r="S57" i="18"/>
  <c r="R57" i="18"/>
  <c r="N57" i="18"/>
  <c r="M57" i="18"/>
  <c r="L57" i="18"/>
  <c r="X56" i="18"/>
  <c r="W56" i="18"/>
  <c r="V56" i="18"/>
  <c r="U56" i="18"/>
  <c r="T56" i="18"/>
  <c r="S56" i="18"/>
  <c r="R56" i="18"/>
  <c r="N56" i="18"/>
  <c r="M56" i="18"/>
  <c r="L56" i="18"/>
  <c r="X55" i="18"/>
  <c r="W55" i="18"/>
  <c r="V55" i="18"/>
  <c r="U55" i="18"/>
  <c r="T55" i="18"/>
  <c r="S55" i="18"/>
  <c r="R55" i="18"/>
  <c r="N55" i="18"/>
  <c r="M55" i="18"/>
  <c r="L55" i="18"/>
  <c r="X54" i="18"/>
  <c r="W54" i="18"/>
  <c r="V54" i="18"/>
  <c r="U54" i="18"/>
  <c r="T54" i="18"/>
  <c r="S54" i="18"/>
  <c r="R54" i="18"/>
  <c r="N54" i="18"/>
  <c r="M54" i="18"/>
  <c r="L54" i="18"/>
  <c r="X53" i="18"/>
  <c r="W53" i="18"/>
  <c r="V53" i="18"/>
  <c r="U53" i="18"/>
  <c r="T53" i="18"/>
  <c r="S53" i="18"/>
  <c r="R53" i="18"/>
  <c r="N53" i="18"/>
  <c r="M53" i="18"/>
  <c r="L53" i="18"/>
  <c r="X52" i="18"/>
  <c r="W52" i="18"/>
  <c r="V52" i="18"/>
  <c r="U52" i="18"/>
  <c r="T52" i="18"/>
  <c r="S52" i="18"/>
  <c r="R52" i="18"/>
  <c r="N52" i="18"/>
  <c r="M52" i="18"/>
  <c r="L52" i="18"/>
  <c r="X51" i="18"/>
  <c r="W51" i="18"/>
  <c r="V51" i="18"/>
  <c r="U51" i="18"/>
  <c r="T51" i="18"/>
  <c r="S51" i="18"/>
  <c r="N51" i="18"/>
  <c r="M51" i="18"/>
  <c r="L51" i="18"/>
  <c r="X50" i="18"/>
  <c r="W50" i="18"/>
  <c r="V50" i="18"/>
  <c r="L50" i="18"/>
  <c r="X49" i="18"/>
  <c r="W49" i="18"/>
  <c r="V49" i="18"/>
  <c r="U49" i="18"/>
  <c r="T49" i="18"/>
  <c r="S49" i="18"/>
  <c r="N49" i="18"/>
  <c r="M49" i="18"/>
  <c r="L49" i="18"/>
  <c r="X48" i="18"/>
  <c r="W48" i="18"/>
  <c r="V48" i="18"/>
  <c r="U48" i="18"/>
  <c r="T48" i="18"/>
  <c r="S48" i="18"/>
  <c r="N48" i="18"/>
  <c r="M48" i="18"/>
  <c r="L48" i="18"/>
  <c r="X47" i="18"/>
  <c r="W47" i="18"/>
  <c r="V47" i="18"/>
  <c r="U47" i="18"/>
  <c r="T47" i="18"/>
  <c r="S47" i="18"/>
  <c r="N47" i="18"/>
  <c r="M47" i="18"/>
  <c r="L47" i="18"/>
  <c r="X46" i="18"/>
  <c r="W46" i="18"/>
  <c r="V46" i="18"/>
  <c r="U46" i="18"/>
  <c r="T46" i="18"/>
  <c r="S46" i="18"/>
  <c r="L46" i="18"/>
  <c r="X45" i="18"/>
  <c r="W45" i="18"/>
  <c r="V45" i="18"/>
  <c r="L45" i="18"/>
  <c r="X44" i="18"/>
  <c r="W44" i="18"/>
  <c r="V44" i="18"/>
  <c r="U44" i="18"/>
  <c r="T44" i="18"/>
  <c r="S44" i="18"/>
  <c r="N44" i="18"/>
  <c r="M44" i="18"/>
  <c r="L44" i="18"/>
  <c r="X43" i="18"/>
  <c r="W43" i="18"/>
  <c r="V43" i="18"/>
  <c r="U43" i="18"/>
  <c r="T43" i="18"/>
  <c r="S43" i="18"/>
  <c r="N43" i="18"/>
  <c r="M43" i="18"/>
  <c r="L43" i="18"/>
  <c r="X42" i="18"/>
  <c r="W42" i="18"/>
  <c r="V42" i="18"/>
  <c r="U42" i="18"/>
  <c r="T42" i="18"/>
  <c r="S42" i="18"/>
  <c r="N42" i="18"/>
  <c r="M42" i="18"/>
  <c r="L42" i="18"/>
  <c r="X41" i="18"/>
  <c r="W41" i="18"/>
  <c r="V41" i="18"/>
  <c r="U41" i="18"/>
  <c r="T41" i="18"/>
  <c r="S41" i="18"/>
  <c r="N41" i="18"/>
  <c r="M41" i="18"/>
  <c r="L41" i="18"/>
  <c r="X40" i="18"/>
  <c r="W40" i="18"/>
  <c r="V40" i="18"/>
  <c r="U40" i="18"/>
  <c r="T40" i="18"/>
  <c r="S40" i="18"/>
  <c r="N40" i="18"/>
  <c r="M40" i="18"/>
  <c r="L40" i="18"/>
  <c r="X39" i="18"/>
  <c r="W39" i="18"/>
  <c r="V39" i="18"/>
  <c r="U39" i="18"/>
  <c r="T39" i="18"/>
  <c r="S39" i="18"/>
  <c r="N39" i="18"/>
  <c r="M39" i="18"/>
  <c r="L39" i="18"/>
  <c r="X38" i="18"/>
  <c r="W38" i="18"/>
  <c r="V38" i="18"/>
  <c r="U38" i="18"/>
  <c r="T38" i="18"/>
  <c r="S38" i="18"/>
  <c r="N38" i="18"/>
  <c r="M38" i="18"/>
  <c r="L38" i="18"/>
  <c r="X37" i="18"/>
  <c r="W37" i="18"/>
  <c r="V37" i="18"/>
  <c r="U37" i="18"/>
  <c r="T37" i="18"/>
  <c r="S37" i="18"/>
  <c r="N37" i="18"/>
  <c r="M37" i="18"/>
  <c r="L37" i="18"/>
  <c r="X36" i="18"/>
  <c r="W36" i="18"/>
  <c r="V36" i="18"/>
  <c r="U36" i="18"/>
  <c r="T36" i="18"/>
  <c r="S36" i="18"/>
  <c r="N36" i="18"/>
  <c r="M36" i="18"/>
  <c r="L36" i="18"/>
  <c r="X35" i="18"/>
  <c r="W35" i="18"/>
  <c r="V35" i="18"/>
  <c r="U35" i="18"/>
  <c r="T35" i="18"/>
  <c r="S35" i="18"/>
  <c r="L35" i="18"/>
  <c r="X33" i="18"/>
  <c r="W33" i="18"/>
  <c r="V33" i="18"/>
  <c r="U33" i="18"/>
  <c r="T33" i="18"/>
  <c r="S33" i="18"/>
  <c r="Q33" i="18"/>
  <c r="P33" i="18"/>
  <c r="O33" i="18"/>
  <c r="L33" i="18"/>
  <c r="X32" i="18"/>
  <c r="W32" i="18"/>
  <c r="V32" i="18"/>
  <c r="U32" i="18"/>
  <c r="T32" i="18"/>
  <c r="S32" i="18"/>
  <c r="Q32" i="18"/>
  <c r="P32" i="18"/>
  <c r="O32" i="18"/>
  <c r="L32" i="18"/>
  <c r="X31" i="18"/>
  <c r="W31" i="18"/>
  <c r="V31" i="18"/>
  <c r="U31" i="18"/>
  <c r="T31" i="18"/>
  <c r="S31" i="18"/>
  <c r="Q31" i="18"/>
  <c r="P31" i="18"/>
  <c r="O31" i="18"/>
  <c r="L31" i="18"/>
  <c r="X30" i="18"/>
  <c r="W30" i="18"/>
  <c r="V30" i="18"/>
  <c r="U30" i="18"/>
  <c r="T30" i="18"/>
  <c r="S30" i="18"/>
  <c r="Q30" i="18"/>
  <c r="P30" i="18"/>
  <c r="O30" i="18"/>
  <c r="L30" i="18"/>
  <c r="X29" i="18"/>
  <c r="W29" i="18"/>
  <c r="V29" i="18"/>
  <c r="U29" i="18"/>
  <c r="T29" i="18"/>
  <c r="S29" i="18"/>
  <c r="Q29" i="18"/>
  <c r="P29" i="18"/>
  <c r="O29" i="18"/>
  <c r="L29" i="18"/>
  <c r="X28" i="18"/>
  <c r="W28" i="18"/>
  <c r="V28" i="18"/>
  <c r="U28" i="18"/>
  <c r="T28" i="18"/>
  <c r="S28" i="18"/>
  <c r="Q28" i="18"/>
  <c r="P28" i="18"/>
  <c r="O28" i="18"/>
  <c r="L28" i="18"/>
  <c r="X27" i="18"/>
  <c r="W27" i="18"/>
  <c r="V27" i="18"/>
  <c r="U27" i="18"/>
  <c r="T27" i="18"/>
  <c r="S27" i="18"/>
  <c r="Q27" i="18"/>
  <c r="P27" i="18"/>
  <c r="O27" i="18"/>
  <c r="N24" i="18"/>
  <c r="N50" i="18" s="1"/>
  <c r="L27" i="18"/>
  <c r="X26" i="18"/>
  <c r="W26" i="18"/>
  <c r="V26" i="18"/>
  <c r="U26" i="18"/>
  <c r="T26" i="18"/>
  <c r="S26" i="18"/>
  <c r="Q26" i="18"/>
  <c r="P26" i="18"/>
  <c r="O26" i="18"/>
  <c r="L26" i="18"/>
  <c r="K26" i="18"/>
  <c r="X25" i="18"/>
  <c r="W25" i="18"/>
  <c r="V25" i="18"/>
  <c r="U25" i="18"/>
  <c r="T25" i="18"/>
  <c r="S25" i="18"/>
  <c r="Q25" i="18"/>
  <c r="P25" i="18"/>
  <c r="O25" i="18"/>
  <c r="L25" i="18"/>
  <c r="K25" i="18"/>
  <c r="X24" i="18"/>
  <c r="W24" i="18"/>
  <c r="V24" i="18"/>
  <c r="U24" i="18"/>
  <c r="T24" i="18"/>
  <c r="S24" i="18"/>
  <c r="Q24" i="18"/>
  <c r="P24" i="18"/>
  <c r="O24" i="18"/>
  <c r="M24" i="18"/>
  <c r="M26" i="18" s="1"/>
  <c r="L24" i="18"/>
  <c r="K24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R16" i="18"/>
  <c r="N16" i="18"/>
  <c r="M16" i="18"/>
  <c r="L16" i="18"/>
  <c r="K16" i="18"/>
  <c r="W7" i="18"/>
  <c r="Y2" i="18"/>
  <c r="X153" i="16"/>
  <c r="W153" i="16"/>
  <c r="V153" i="16"/>
  <c r="U153" i="16"/>
  <c r="T153" i="16"/>
  <c r="S153" i="16"/>
  <c r="R153" i="16"/>
  <c r="N153" i="16"/>
  <c r="M153" i="16"/>
  <c r="L153" i="16"/>
  <c r="X152" i="16"/>
  <c r="W152" i="16"/>
  <c r="V152" i="16"/>
  <c r="U152" i="16"/>
  <c r="T152" i="16"/>
  <c r="S152" i="16"/>
  <c r="R152" i="16"/>
  <c r="N152" i="16"/>
  <c r="M152" i="16"/>
  <c r="L152" i="16"/>
  <c r="X151" i="16"/>
  <c r="W151" i="16"/>
  <c r="V151" i="16"/>
  <c r="U151" i="16"/>
  <c r="T151" i="16"/>
  <c r="S151" i="16"/>
  <c r="R151" i="16"/>
  <c r="N151" i="16"/>
  <c r="M151" i="16"/>
  <c r="L151" i="16"/>
  <c r="X150" i="16"/>
  <c r="W150" i="16"/>
  <c r="V150" i="16"/>
  <c r="U150" i="16"/>
  <c r="T150" i="16"/>
  <c r="S150" i="16"/>
  <c r="R150" i="16"/>
  <c r="N150" i="16"/>
  <c r="M150" i="16"/>
  <c r="L150" i="16"/>
  <c r="X149" i="16"/>
  <c r="W149" i="16"/>
  <c r="V149" i="16"/>
  <c r="U149" i="16"/>
  <c r="T149" i="16"/>
  <c r="S149" i="16"/>
  <c r="R149" i="16"/>
  <c r="N149" i="16"/>
  <c r="M149" i="16"/>
  <c r="L149" i="16"/>
  <c r="X148" i="16"/>
  <c r="W148" i="16"/>
  <c r="V148" i="16"/>
  <c r="U148" i="16"/>
  <c r="T148" i="16"/>
  <c r="S148" i="16"/>
  <c r="R148" i="16"/>
  <c r="N148" i="16"/>
  <c r="M148" i="16"/>
  <c r="L148" i="16"/>
  <c r="X147" i="16"/>
  <c r="W147" i="16"/>
  <c r="V147" i="16"/>
  <c r="U147" i="16"/>
  <c r="T147" i="16"/>
  <c r="S147" i="16"/>
  <c r="R147" i="16"/>
  <c r="N147" i="16"/>
  <c r="M147" i="16"/>
  <c r="L147" i="16"/>
  <c r="X146" i="16"/>
  <c r="W146" i="16"/>
  <c r="V146" i="16"/>
  <c r="U146" i="16"/>
  <c r="T146" i="16"/>
  <c r="S146" i="16"/>
  <c r="R146" i="16"/>
  <c r="N146" i="16"/>
  <c r="M146" i="16"/>
  <c r="L146" i="16"/>
  <c r="X145" i="16"/>
  <c r="W145" i="16"/>
  <c r="V145" i="16"/>
  <c r="U145" i="16"/>
  <c r="T145" i="16"/>
  <c r="S145" i="16"/>
  <c r="R145" i="16"/>
  <c r="N145" i="16"/>
  <c r="M145" i="16"/>
  <c r="L145" i="16"/>
  <c r="X144" i="16"/>
  <c r="W144" i="16"/>
  <c r="V144" i="16"/>
  <c r="U144" i="16"/>
  <c r="T144" i="16"/>
  <c r="S144" i="16"/>
  <c r="R144" i="16"/>
  <c r="N144" i="16"/>
  <c r="M144" i="16"/>
  <c r="L144" i="16"/>
  <c r="X143" i="16"/>
  <c r="W143" i="16"/>
  <c r="V143" i="16"/>
  <c r="U143" i="16"/>
  <c r="T143" i="16"/>
  <c r="S143" i="16"/>
  <c r="R143" i="16"/>
  <c r="N143" i="16"/>
  <c r="M143" i="16"/>
  <c r="L143" i="16"/>
  <c r="X142" i="16"/>
  <c r="W142" i="16"/>
  <c r="V142" i="16"/>
  <c r="U142" i="16"/>
  <c r="T142" i="16"/>
  <c r="S142" i="16"/>
  <c r="R142" i="16"/>
  <c r="N142" i="16"/>
  <c r="M142" i="16"/>
  <c r="L142" i="16"/>
  <c r="X141" i="16"/>
  <c r="W141" i="16"/>
  <c r="V141" i="16"/>
  <c r="U141" i="16"/>
  <c r="T141" i="16"/>
  <c r="S141" i="16"/>
  <c r="R141" i="16"/>
  <c r="N141" i="16"/>
  <c r="M141" i="16"/>
  <c r="L141" i="16"/>
  <c r="X140" i="16"/>
  <c r="W140" i="16"/>
  <c r="V140" i="16"/>
  <c r="U140" i="16"/>
  <c r="T140" i="16"/>
  <c r="S140" i="16"/>
  <c r="R140" i="16"/>
  <c r="N140" i="16"/>
  <c r="M140" i="16"/>
  <c r="L140" i="16"/>
  <c r="X139" i="16"/>
  <c r="W139" i="16"/>
  <c r="V139" i="16"/>
  <c r="U139" i="16"/>
  <c r="T139" i="16"/>
  <c r="S139" i="16"/>
  <c r="R139" i="16"/>
  <c r="N139" i="16"/>
  <c r="M139" i="16"/>
  <c r="L139" i="16"/>
  <c r="X138" i="16"/>
  <c r="W138" i="16"/>
  <c r="V138" i="16"/>
  <c r="U138" i="16"/>
  <c r="T138" i="16"/>
  <c r="S138" i="16"/>
  <c r="R138" i="16"/>
  <c r="N138" i="16"/>
  <c r="M138" i="16"/>
  <c r="L138" i="16"/>
  <c r="X137" i="16"/>
  <c r="W137" i="16"/>
  <c r="V137" i="16"/>
  <c r="U137" i="16"/>
  <c r="T137" i="16"/>
  <c r="S137" i="16"/>
  <c r="R137" i="16"/>
  <c r="N137" i="16"/>
  <c r="M137" i="16"/>
  <c r="L137" i="16"/>
  <c r="X136" i="16"/>
  <c r="W136" i="16"/>
  <c r="V136" i="16"/>
  <c r="U136" i="16"/>
  <c r="T136" i="16"/>
  <c r="S136" i="16"/>
  <c r="R136" i="16"/>
  <c r="N136" i="16"/>
  <c r="M136" i="16"/>
  <c r="L136" i="16"/>
  <c r="X135" i="16"/>
  <c r="W135" i="16"/>
  <c r="V135" i="16"/>
  <c r="U135" i="16"/>
  <c r="T135" i="16"/>
  <c r="S135" i="16"/>
  <c r="R135" i="16"/>
  <c r="N135" i="16"/>
  <c r="M135" i="16"/>
  <c r="L135" i="16"/>
  <c r="X134" i="16"/>
  <c r="W134" i="16"/>
  <c r="V134" i="16"/>
  <c r="U134" i="16"/>
  <c r="T134" i="16"/>
  <c r="S134" i="16"/>
  <c r="R134" i="16"/>
  <c r="N134" i="16"/>
  <c r="M134" i="16"/>
  <c r="L134" i="16"/>
  <c r="X133" i="16"/>
  <c r="W133" i="16"/>
  <c r="V133" i="16"/>
  <c r="U133" i="16"/>
  <c r="T133" i="16"/>
  <c r="S133" i="16"/>
  <c r="R133" i="16"/>
  <c r="N133" i="16"/>
  <c r="M133" i="16"/>
  <c r="L133" i="16"/>
  <c r="X132" i="16"/>
  <c r="W132" i="16"/>
  <c r="V132" i="16"/>
  <c r="U132" i="16"/>
  <c r="T132" i="16"/>
  <c r="S132" i="16"/>
  <c r="R132" i="16"/>
  <c r="N132" i="16"/>
  <c r="M132" i="16"/>
  <c r="L132" i="16"/>
  <c r="X131" i="16"/>
  <c r="W131" i="16"/>
  <c r="V131" i="16"/>
  <c r="U131" i="16"/>
  <c r="T131" i="16"/>
  <c r="S131" i="16"/>
  <c r="R131" i="16"/>
  <c r="N131" i="16"/>
  <c r="M131" i="16"/>
  <c r="L131" i="16"/>
  <c r="X130" i="16"/>
  <c r="W130" i="16"/>
  <c r="V130" i="16"/>
  <c r="U130" i="16"/>
  <c r="T130" i="16"/>
  <c r="S130" i="16"/>
  <c r="R130" i="16"/>
  <c r="N130" i="16"/>
  <c r="M130" i="16"/>
  <c r="L130" i="16"/>
  <c r="X129" i="16"/>
  <c r="W129" i="16"/>
  <c r="V129" i="16"/>
  <c r="U129" i="16"/>
  <c r="T129" i="16"/>
  <c r="S129" i="16"/>
  <c r="R129" i="16"/>
  <c r="N129" i="16"/>
  <c r="M129" i="16"/>
  <c r="L129" i="16"/>
  <c r="X128" i="16"/>
  <c r="W128" i="16"/>
  <c r="V128" i="16"/>
  <c r="U128" i="16"/>
  <c r="T128" i="16"/>
  <c r="S128" i="16"/>
  <c r="R128" i="16"/>
  <c r="N128" i="16"/>
  <c r="M128" i="16"/>
  <c r="L128" i="16"/>
  <c r="X127" i="16"/>
  <c r="W127" i="16"/>
  <c r="V127" i="16"/>
  <c r="U127" i="16"/>
  <c r="T127" i="16"/>
  <c r="S127" i="16"/>
  <c r="R127" i="16"/>
  <c r="N127" i="16"/>
  <c r="M127" i="16"/>
  <c r="L127" i="16"/>
  <c r="X126" i="16"/>
  <c r="W126" i="16"/>
  <c r="V126" i="16"/>
  <c r="U126" i="16"/>
  <c r="T126" i="16"/>
  <c r="S126" i="16"/>
  <c r="R126" i="16"/>
  <c r="N126" i="16"/>
  <c r="M126" i="16"/>
  <c r="L126" i="16"/>
  <c r="X125" i="16"/>
  <c r="W125" i="16"/>
  <c r="V125" i="16"/>
  <c r="U125" i="16"/>
  <c r="T125" i="16"/>
  <c r="S125" i="16"/>
  <c r="R125" i="16"/>
  <c r="N125" i="16"/>
  <c r="M125" i="16"/>
  <c r="L125" i="16"/>
  <c r="X124" i="16"/>
  <c r="W124" i="16"/>
  <c r="V124" i="16"/>
  <c r="U124" i="16"/>
  <c r="T124" i="16"/>
  <c r="S124" i="16"/>
  <c r="R124" i="16"/>
  <c r="N124" i="16"/>
  <c r="M124" i="16"/>
  <c r="L124" i="16"/>
  <c r="X123" i="16"/>
  <c r="W123" i="16"/>
  <c r="V123" i="16"/>
  <c r="U123" i="16"/>
  <c r="T123" i="16"/>
  <c r="S123" i="16"/>
  <c r="R123" i="16"/>
  <c r="N123" i="16"/>
  <c r="M123" i="16"/>
  <c r="L123" i="16"/>
  <c r="X122" i="16"/>
  <c r="W122" i="16"/>
  <c r="V122" i="16"/>
  <c r="U122" i="16"/>
  <c r="T122" i="16"/>
  <c r="S122" i="16"/>
  <c r="R122" i="16"/>
  <c r="N122" i="16"/>
  <c r="M122" i="16"/>
  <c r="L122" i="16"/>
  <c r="X121" i="16"/>
  <c r="W121" i="16"/>
  <c r="V121" i="16"/>
  <c r="U121" i="16"/>
  <c r="T121" i="16"/>
  <c r="S121" i="16"/>
  <c r="R121" i="16"/>
  <c r="N121" i="16"/>
  <c r="M121" i="16"/>
  <c r="L121" i="16"/>
  <c r="X120" i="16"/>
  <c r="W120" i="16"/>
  <c r="V120" i="16"/>
  <c r="U120" i="16"/>
  <c r="T120" i="16"/>
  <c r="S120" i="16"/>
  <c r="R120" i="16"/>
  <c r="N120" i="16"/>
  <c r="M120" i="16"/>
  <c r="L120" i="16"/>
  <c r="X119" i="16"/>
  <c r="W119" i="16"/>
  <c r="V119" i="16"/>
  <c r="U119" i="16"/>
  <c r="T119" i="16"/>
  <c r="S119" i="16"/>
  <c r="R119" i="16"/>
  <c r="N119" i="16"/>
  <c r="M119" i="16"/>
  <c r="L119" i="16"/>
  <c r="X118" i="16"/>
  <c r="W118" i="16"/>
  <c r="V118" i="16"/>
  <c r="U118" i="16"/>
  <c r="T118" i="16"/>
  <c r="S118" i="16"/>
  <c r="R118" i="16"/>
  <c r="N118" i="16"/>
  <c r="M118" i="16"/>
  <c r="L118" i="16"/>
  <c r="X117" i="16"/>
  <c r="W117" i="16"/>
  <c r="V117" i="16"/>
  <c r="U117" i="16"/>
  <c r="T117" i="16"/>
  <c r="S117" i="16"/>
  <c r="R117" i="16"/>
  <c r="N117" i="16"/>
  <c r="M117" i="16"/>
  <c r="L117" i="16"/>
  <c r="X116" i="16"/>
  <c r="W116" i="16"/>
  <c r="V116" i="16"/>
  <c r="U116" i="16"/>
  <c r="T116" i="16"/>
  <c r="S116" i="16"/>
  <c r="R116" i="16"/>
  <c r="N116" i="16"/>
  <c r="M116" i="16"/>
  <c r="L116" i="16"/>
  <c r="X115" i="16"/>
  <c r="W115" i="16"/>
  <c r="V115" i="16"/>
  <c r="U115" i="16"/>
  <c r="T115" i="16"/>
  <c r="S115" i="16"/>
  <c r="R115" i="16"/>
  <c r="N115" i="16"/>
  <c r="M115" i="16"/>
  <c r="L115" i="16"/>
  <c r="X114" i="16"/>
  <c r="W114" i="16"/>
  <c r="V114" i="16"/>
  <c r="U114" i="16"/>
  <c r="T114" i="16"/>
  <c r="S114" i="16"/>
  <c r="R114" i="16"/>
  <c r="N114" i="16"/>
  <c r="M114" i="16"/>
  <c r="L114" i="16"/>
  <c r="X113" i="16"/>
  <c r="W113" i="16"/>
  <c r="V113" i="16"/>
  <c r="U113" i="16"/>
  <c r="T113" i="16"/>
  <c r="S113" i="16"/>
  <c r="R113" i="16"/>
  <c r="N113" i="16"/>
  <c r="M113" i="16"/>
  <c r="L113" i="16"/>
  <c r="X112" i="16"/>
  <c r="W112" i="16"/>
  <c r="V112" i="16"/>
  <c r="U112" i="16"/>
  <c r="T112" i="16"/>
  <c r="S112" i="16"/>
  <c r="R112" i="16"/>
  <c r="N112" i="16"/>
  <c r="M112" i="16"/>
  <c r="L112" i="16"/>
  <c r="X111" i="16"/>
  <c r="W111" i="16"/>
  <c r="V111" i="16"/>
  <c r="U111" i="16"/>
  <c r="T111" i="16"/>
  <c r="S111" i="16"/>
  <c r="R111" i="16"/>
  <c r="N111" i="16"/>
  <c r="M111" i="16"/>
  <c r="L111" i="16"/>
  <c r="X110" i="16"/>
  <c r="W110" i="16"/>
  <c r="V110" i="16"/>
  <c r="U110" i="16"/>
  <c r="T110" i="16"/>
  <c r="S110" i="16"/>
  <c r="R110" i="16"/>
  <c r="N110" i="16"/>
  <c r="M110" i="16"/>
  <c r="L110" i="16"/>
  <c r="X109" i="16"/>
  <c r="W109" i="16"/>
  <c r="V109" i="16"/>
  <c r="U109" i="16"/>
  <c r="T109" i="16"/>
  <c r="S109" i="16"/>
  <c r="R109" i="16"/>
  <c r="N109" i="16"/>
  <c r="M109" i="16"/>
  <c r="L109" i="16"/>
  <c r="X108" i="16"/>
  <c r="W108" i="16"/>
  <c r="V108" i="16"/>
  <c r="U108" i="16"/>
  <c r="T108" i="16"/>
  <c r="S108" i="16"/>
  <c r="R108" i="16"/>
  <c r="N108" i="16"/>
  <c r="M108" i="16"/>
  <c r="L108" i="16"/>
  <c r="X107" i="16"/>
  <c r="W107" i="16"/>
  <c r="V107" i="16"/>
  <c r="U107" i="16"/>
  <c r="T107" i="16"/>
  <c r="S107" i="16"/>
  <c r="R107" i="16"/>
  <c r="N107" i="16"/>
  <c r="M107" i="16"/>
  <c r="L107" i="16"/>
  <c r="X106" i="16"/>
  <c r="W106" i="16"/>
  <c r="V106" i="16"/>
  <c r="U106" i="16"/>
  <c r="T106" i="16"/>
  <c r="S106" i="16"/>
  <c r="R106" i="16"/>
  <c r="N106" i="16"/>
  <c r="M106" i="16"/>
  <c r="L106" i="16"/>
  <c r="X105" i="16"/>
  <c r="W105" i="16"/>
  <c r="V105" i="16"/>
  <c r="U105" i="16"/>
  <c r="T105" i="16"/>
  <c r="S105" i="16"/>
  <c r="R105" i="16"/>
  <c r="N105" i="16"/>
  <c r="M105" i="16"/>
  <c r="L105" i="16"/>
  <c r="X104" i="16"/>
  <c r="W104" i="16"/>
  <c r="V104" i="16"/>
  <c r="U104" i="16"/>
  <c r="T104" i="16"/>
  <c r="S104" i="16"/>
  <c r="R104" i="16"/>
  <c r="N104" i="16"/>
  <c r="M104" i="16"/>
  <c r="L104" i="16"/>
  <c r="X103" i="16"/>
  <c r="W103" i="16"/>
  <c r="V103" i="16"/>
  <c r="U103" i="16"/>
  <c r="T103" i="16"/>
  <c r="S103" i="16"/>
  <c r="R103" i="16"/>
  <c r="N103" i="16"/>
  <c r="M103" i="16"/>
  <c r="L103" i="16"/>
  <c r="X102" i="16"/>
  <c r="W102" i="16"/>
  <c r="V102" i="16"/>
  <c r="U102" i="16"/>
  <c r="T102" i="16"/>
  <c r="S102" i="16"/>
  <c r="R102" i="16"/>
  <c r="N102" i="16"/>
  <c r="M102" i="16"/>
  <c r="L102" i="16"/>
  <c r="X101" i="16"/>
  <c r="W101" i="16"/>
  <c r="V101" i="16"/>
  <c r="U101" i="16"/>
  <c r="T101" i="16"/>
  <c r="S101" i="16"/>
  <c r="R101" i="16"/>
  <c r="N101" i="16"/>
  <c r="M101" i="16"/>
  <c r="L101" i="16"/>
  <c r="X100" i="16"/>
  <c r="W100" i="16"/>
  <c r="V100" i="16"/>
  <c r="U100" i="16"/>
  <c r="T100" i="16"/>
  <c r="S100" i="16"/>
  <c r="R100" i="16"/>
  <c r="N100" i="16"/>
  <c r="M100" i="16"/>
  <c r="L100" i="16"/>
  <c r="X99" i="16"/>
  <c r="W99" i="16"/>
  <c r="V99" i="16"/>
  <c r="U99" i="16"/>
  <c r="T99" i="16"/>
  <c r="S99" i="16"/>
  <c r="R99" i="16"/>
  <c r="N99" i="16"/>
  <c r="M99" i="16"/>
  <c r="L99" i="16"/>
  <c r="X98" i="16"/>
  <c r="W98" i="16"/>
  <c r="V98" i="16"/>
  <c r="U98" i="16"/>
  <c r="T98" i="16"/>
  <c r="S98" i="16"/>
  <c r="R98" i="16"/>
  <c r="N98" i="16"/>
  <c r="M98" i="16"/>
  <c r="L98" i="16"/>
  <c r="X97" i="16"/>
  <c r="W97" i="16"/>
  <c r="V97" i="16"/>
  <c r="U97" i="16"/>
  <c r="T97" i="16"/>
  <c r="S97" i="16"/>
  <c r="R97" i="16"/>
  <c r="N97" i="16"/>
  <c r="M97" i="16"/>
  <c r="L97" i="16"/>
  <c r="X96" i="16"/>
  <c r="W96" i="16"/>
  <c r="V96" i="16"/>
  <c r="U96" i="16"/>
  <c r="T96" i="16"/>
  <c r="S96" i="16"/>
  <c r="R96" i="16"/>
  <c r="N96" i="16"/>
  <c r="M96" i="16"/>
  <c r="L96" i="16"/>
  <c r="X95" i="16"/>
  <c r="W95" i="16"/>
  <c r="V95" i="16"/>
  <c r="U95" i="16"/>
  <c r="T95" i="16"/>
  <c r="S95" i="16"/>
  <c r="R95" i="16"/>
  <c r="N95" i="16"/>
  <c r="M95" i="16"/>
  <c r="L95" i="16"/>
  <c r="X94" i="16"/>
  <c r="W94" i="16"/>
  <c r="V94" i="16"/>
  <c r="U94" i="16"/>
  <c r="T94" i="16"/>
  <c r="S94" i="16"/>
  <c r="R94" i="16"/>
  <c r="N94" i="16"/>
  <c r="M94" i="16"/>
  <c r="L94" i="16"/>
  <c r="X93" i="16"/>
  <c r="W93" i="16"/>
  <c r="V93" i="16"/>
  <c r="U93" i="16"/>
  <c r="T93" i="16"/>
  <c r="S93" i="16"/>
  <c r="R93" i="16"/>
  <c r="N93" i="16"/>
  <c r="M93" i="16"/>
  <c r="L93" i="16"/>
  <c r="X92" i="16"/>
  <c r="W92" i="16"/>
  <c r="V92" i="16"/>
  <c r="U92" i="16"/>
  <c r="T92" i="16"/>
  <c r="S92" i="16"/>
  <c r="R92" i="16"/>
  <c r="N92" i="16"/>
  <c r="M92" i="16"/>
  <c r="L92" i="16"/>
  <c r="X91" i="16"/>
  <c r="W91" i="16"/>
  <c r="V91" i="16"/>
  <c r="U91" i="16"/>
  <c r="T91" i="16"/>
  <c r="S91" i="16"/>
  <c r="R91" i="16"/>
  <c r="N91" i="16"/>
  <c r="M91" i="16"/>
  <c r="L91" i="16"/>
  <c r="X90" i="16"/>
  <c r="W90" i="16"/>
  <c r="V90" i="16"/>
  <c r="U90" i="16"/>
  <c r="T90" i="16"/>
  <c r="S90" i="16"/>
  <c r="R90" i="16"/>
  <c r="N90" i="16"/>
  <c r="M90" i="16"/>
  <c r="L90" i="16"/>
  <c r="X89" i="16"/>
  <c r="W89" i="16"/>
  <c r="V89" i="16"/>
  <c r="U89" i="16"/>
  <c r="T89" i="16"/>
  <c r="S89" i="16"/>
  <c r="R89" i="16"/>
  <c r="N89" i="16"/>
  <c r="M89" i="16"/>
  <c r="L89" i="16"/>
  <c r="X88" i="16"/>
  <c r="W88" i="16"/>
  <c r="V88" i="16"/>
  <c r="U88" i="16"/>
  <c r="T88" i="16"/>
  <c r="S88" i="16"/>
  <c r="R88" i="16"/>
  <c r="N88" i="16"/>
  <c r="M88" i="16"/>
  <c r="L88" i="16"/>
  <c r="X87" i="16"/>
  <c r="W87" i="16"/>
  <c r="V87" i="16"/>
  <c r="U87" i="16"/>
  <c r="T87" i="16"/>
  <c r="S87" i="16"/>
  <c r="R87" i="16"/>
  <c r="N87" i="16"/>
  <c r="M87" i="16"/>
  <c r="L87" i="16"/>
  <c r="X86" i="16"/>
  <c r="W86" i="16"/>
  <c r="V86" i="16"/>
  <c r="U86" i="16"/>
  <c r="T86" i="16"/>
  <c r="S86" i="16"/>
  <c r="R86" i="16"/>
  <c r="N86" i="16"/>
  <c r="M86" i="16"/>
  <c r="L86" i="16"/>
  <c r="X85" i="16"/>
  <c r="W85" i="16"/>
  <c r="V85" i="16"/>
  <c r="U85" i="16"/>
  <c r="T85" i="16"/>
  <c r="S85" i="16"/>
  <c r="R85" i="16"/>
  <c r="N85" i="16"/>
  <c r="M85" i="16"/>
  <c r="L85" i="16"/>
  <c r="X84" i="16"/>
  <c r="W84" i="16"/>
  <c r="V84" i="16"/>
  <c r="U84" i="16"/>
  <c r="T84" i="16"/>
  <c r="S84" i="16"/>
  <c r="R84" i="16"/>
  <c r="N84" i="16"/>
  <c r="M84" i="16"/>
  <c r="L84" i="16"/>
  <c r="X83" i="16"/>
  <c r="W83" i="16"/>
  <c r="V83" i="16"/>
  <c r="U83" i="16"/>
  <c r="T83" i="16"/>
  <c r="S83" i="16"/>
  <c r="R83" i="16"/>
  <c r="N83" i="16"/>
  <c r="M83" i="16"/>
  <c r="L83" i="16"/>
  <c r="X82" i="16"/>
  <c r="W82" i="16"/>
  <c r="V82" i="16"/>
  <c r="U82" i="16"/>
  <c r="T82" i="16"/>
  <c r="S82" i="16"/>
  <c r="R82" i="16"/>
  <c r="N82" i="16"/>
  <c r="M82" i="16"/>
  <c r="L82" i="16"/>
  <c r="X81" i="16"/>
  <c r="W81" i="16"/>
  <c r="V81" i="16"/>
  <c r="U81" i="16"/>
  <c r="T81" i="16"/>
  <c r="S81" i="16"/>
  <c r="R81" i="16"/>
  <c r="N81" i="16"/>
  <c r="M81" i="16"/>
  <c r="L81" i="16"/>
  <c r="X80" i="16"/>
  <c r="W80" i="16"/>
  <c r="V80" i="16"/>
  <c r="U80" i="16"/>
  <c r="T80" i="16"/>
  <c r="S80" i="16"/>
  <c r="R80" i="16"/>
  <c r="N80" i="16"/>
  <c r="M80" i="16"/>
  <c r="L80" i="16"/>
  <c r="X79" i="16"/>
  <c r="W79" i="16"/>
  <c r="V79" i="16"/>
  <c r="U79" i="16"/>
  <c r="T79" i="16"/>
  <c r="S79" i="16"/>
  <c r="R79" i="16"/>
  <c r="N79" i="16"/>
  <c r="M79" i="16"/>
  <c r="L79" i="16"/>
  <c r="X78" i="16"/>
  <c r="W78" i="16"/>
  <c r="V78" i="16"/>
  <c r="U78" i="16"/>
  <c r="T78" i="16"/>
  <c r="S78" i="16"/>
  <c r="R78" i="16"/>
  <c r="N78" i="16"/>
  <c r="M78" i="16"/>
  <c r="L78" i="16"/>
  <c r="X77" i="16"/>
  <c r="W77" i="16"/>
  <c r="V77" i="16"/>
  <c r="U77" i="16"/>
  <c r="T77" i="16"/>
  <c r="S77" i="16"/>
  <c r="R77" i="16"/>
  <c r="N77" i="16"/>
  <c r="M77" i="16"/>
  <c r="L77" i="16"/>
  <c r="X76" i="16"/>
  <c r="W76" i="16"/>
  <c r="V76" i="16"/>
  <c r="U76" i="16"/>
  <c r="T76" i="16"/>
  <c r="S76" i="16"/>
  <c r="R76" i="16"/>
  <c r="N76" i="16"/>
  <c r="M76" i="16"/>
  <c r="L76" i="16"/>
  <c r="X75" i="16"/>
  <c r="W75" i="16"/>
  <c r="V75" i="16"/>
  <c r="U75" i="16"/>
  <c r="T75" i="16"/>
  <c r="S75" i="16"/>
  <c r="R75" i="16"/>
  <c r="N75" i="16"/>
  <c r="M75" i="16"/>
  <c r="L75" i="16"/>
  <c r="X74" i="16"/>
  <c r="W74" i="16"/>
  <c r="V74" i="16"/>
  <c r="U74" i="16"/>
  <c r="T74" i="16"/>
  <c r="S74" i="16"/>
  <c r="R74" i="16"/>
  <c r="N74" i="16"/>
  <c r="M74" i="16"/>
  <c r="L74" i="16"/>
  <c r="X73" i="16"/>
  <c r="W73" i="16"/>
  <c r="V73" i="16"/>
  <c r="U73" i="16"/>
  <c r="T73" i="16"/>
  <c r="S73" i="16"/>
  <c r="R73" i="16"/>
  <c r="N73" i="16"/>
  <c r="M73" i="16"/>
  <c r="L73" i="16"/>
  <c r="X72" i="16"/>
  <c r="W72" i="16"/>
  <c r="V72" i="16"/>
  <c r="U72" i="16"/>
  <c r="T72" i="16"/>
  <c r="S72" i="16"/>
  <c r="R72" i="16"/>
  <c r="N72" i="16"/>
  <c r="M72" i="16"/>
  <c r="L72" i="16"/>
  <c r="X71" i="16"/>
  <c r="W71" i="16"/>
  <c r="V71" i="16"/>
  <c r="U71" i="16"/>
  <c r="T71" i="16"/>
  <c r="S71" i="16"/>
  <c r="R71" i="16"/>
  <c r="N71" i="16"/>
  <c r="M71" i="16"/>
  <c r="L71" i="16"/>
  <c r="X70" i="16"/>
  <c r="W70" i="16"/>
  <c r="V70" i="16"/>
  <c r="U70" i="16"/>
  <c r="T70" i="16"/>
  <c r="S70" i="16"/>
  <c r="R70" i="16"/>
  <c r="N70" i="16"/>
  <c r="M70" i="16"/>
  <c r="L70" i="16"/>
  <c r="X69" i="16"/>
  <c r="W69" i="16"/>
  <c r="V69" i="16"/>
  <c r="U69" i="16"/>
  <c r="T69" i="16"/>
  <c r="S69" i="16"/>
  <c r="R69" i="16"/>
  <c r="N69" i="16"/>
  <c r="M69" i="16"/>
  <c r="L69" i="16"/>
  <c r="X68" i="16"/>
  <c r="W68" i="16"/>
  <c r="V68" i="16"/>
  <c r="U68" i="16"/>
  <c r="T68" i="16"/>
  <c r="S68" i="16"/>
  <c r="R68" i="16"/>
  <c r="N68" i="16"/>
  <c r="M68" i="16"/>
  <c r="L68" i="16"/>
  <c r="X67" i="16"/>
  <c r="W67" i="16"/>
  <c r="V67" i="16"/>
  <c r="U67" i="16"/>
  <c r="T67" i="16"/>
  <c r="S67" i="16"/>
  <c r="R67" i="16"/>
  <c r="N67" i="16"/>
  <c r="M67" i="16"/>
  <c r="L67" i="16"/>
  <c r="X66" i="16"/>
  <c r="W66" i="16"/>
  <c r="V66" i="16"/>
  <c r="U66" i="16"/>
  <c r="T66" i="16"/>
  <c r="S66" i="16"/>
  <c r="R66" i="16"/>
  <c r="N66" i="16"/>
  <c r="M66" i="16"/>
  <c r="L66" i="16"/>
  <c r="X65" i="16"/>
  <c r="W65" i="16"/>
  <c r="V65" i="16"/>
  <c r="U65" i="16"/>
  <c r="T65" i="16"/>
  <c r="S65" i="16"/>
  <c r="R65" i="16"/>
  <c r="N65" i="16"/>
  <c r="M65" i="16"/>
  <c r="L65" i="16"/>
  <c r="X64" i="16"/>
  <c r="W64" i="16"/>
  <c r="V64" i="16"/>
  <c r="U64" i="16"/>
  <c r="T64" i="16"/>
  <c r="S64" i="16"/>
  <c r="R64" i="16"/>
  <c r="N64" i="16"/>
  <c r="M64" i="16"/>
  <c r="L64" i="16"/>
  <c r="X63" i="16"/>
  <c r="W63" i="16"/>
  <c r="V63" i="16"/>
  <c r="U63" i="16"/>
  <c r="T63" i="16"/>
  <c r="S63" i="16"/>
  <c r="R63" i="16"/>
  <c r="N63" i="16"/>
  <c r="M63" i="16"/>
  <c r="L63" i="16"/>
  <c r="X62" i="16"/>
  <c r="W62" i="16"/>
  <c r="V62" i="16"/>
  <c r="U62" i="16"/>
  <c r="T62" i="16"/>
  <c r="S62" i="16"/>
  <c r="R62" i="16"/>
  <c r="N62" i="16"/>
  <c r="M62" i="16"/>
  <c r="L62" i="16"/>
  <c r="X61" i="16"/>
  <c r="W61" i="16"/>
  <c r="V61" i="16"/>
  <c r="U61" i="16"/>
  <c r="T61" i="16"/>
  <c r="S61" i="16"/>
  <c r="R61" i="16"/>
  <c r="N61" i="16"/>
  <c r="M61" i="16"/>
  <c r="L61" i="16"/>
  <c r="X60" i="16"/>
  <c r="W60" i="16"/>
  <c r="V60" i="16"/>
  <c r="U60" i="16"/>
  <c r="T60" i="16"/>
  <c r="S60" i="16"/>
  <c r="R60" i="16"/>
  <c r="N60" i="16"/>
  <c r="M60" i="16"/>
  <c r="L60" i="16"/>
  <c r="X59" i="16"/>
  <c r="W59" i="16"/>
  <c r="V59" i="16"/>
  <c r="U59" i="16"/>
  <c r="S59" i="16"/>
  <c r="R59" i="16"/>
  <c r="N59" i="16"/>
  <c r="M59" i="16"/>
  <c r="L59" i="16"/>
  <c r="X58" i="16"/>
  <c r="W58" i="16"/>
  <c r="V58" i="16"/>
  <c r="U58" i="16"/>
  <c r="T58" i="16"/>
  <c r="S58" i="16"/>
  <c r="R58" i="16"/>
  <c r="N58" i="16"/>
  <c r="M58" i="16"/>
  <c r="L58" i="16"/>
  <c r="X57" i="16"/>
  <c r="W57" i="16"/>
  <c r="V57" i="16"/>
  <c r="U57" i="16"/>
  <c r="T57" i="16"/>
  <c r="S57" i="16"/>
  <c r="R57" i="16"/>
  <c r="N57" i="16"/>
  <c r="M57" i="16"/>
  <c r="L57" i="16"/>
  <c r="X56" i="16"/>
  <c r="W56" i="16"/>
  <c r="V56" i="16"/>
  <c r="U56" i="16"/>
  <c r="T56" i="16"/>
  <c r="S56" i="16"/>
  <c r="R56" i="16"/>
  <c r="N56" i="16"/>
  <c r="M56" i="16"/>
  <c r="L56" i="16"/>
  <c r="X55" i="16"/>
  <c r="W55" i="16"/>
  <c r="V55" i="16"/>
  <c r="U55" i="16"/>
  <c r="T55" i="16"/>
  <c r="S55" i="16"/>
  <c r="R55" i="16"/>
  <c r="N55" i="16"/>
  <c r="M55" i="16"/>
  <c r="L55" i="16"/>
  <c r="X54" i="16"/>
  <c r="W54" i="16"/>
  <c r="V54" i="16"/>
  <c r="U54" i="16"/>
  <c r="T54" i="16"/>
  <c r="S54" i="16"/>
  <c r="R54" i="16"/>
  <c r="N54" i="16"/>
  <c r="M54" i="16"/>
  <c r="L54" i="16"/>
  <c r="X53" i="16"/>
  <c r="W53" i="16"/>
  <c r="V53" i="16"/>
  <c r="U53" i="16"/>
  <c r="T53" i="16"/>
  <c r="S53" i="16"/>
  <c r="R53" i="16"/>
  <c r="N53" i="16"/>
  <c r="M53" i="16"/>
  <c r="L53" i="16"/>
  <c r="X52" i="16"/>
  <c r="W52" i="16"/>
  <c r="V52" i="16"/>
  <c r="U52" i="16"/>
  <c r="T52" i="16"/>
  <c r="S52" i="16"/>
  <c r="R52" i="16"/>
  <c r="N52" i="16"/>
  <c r="M52" i="16"/>
  <c r="L52" i="16"/>
  <c r="X51" i="16"/>
  <c r="W51" i="16"/>
  <c r="V51" i="16"/>
  <c r="U51" i="16"/>
  <c r="T51" i="16"/>
  <c r="S51" i="16"/>
  <c r="R51" i="16"/>
  <c r="N51" i="16"/>
  <c r="M51" i="16"/>
  <c r="L51" i="16"/>
  <c r="X50" i="16"/>
  <c r="W50" i="16"/>
  <c r="V50" i="16"/>
  <c r="U50" i="16"/>
  <c r="T50" i="16"/>
  <c r="S50" i="16"/>
  <c r="R50" i="16"/>
  <c r="N50" i="16"/>
  <c r="M50" i="16"/>
  <c r="L50" i="16"/>
  <c r="X49" i="16"/>
  <c r="W49" i="16"/>
  <c r="V49" i="16"/>
  <c r="U49" i="16"/>
  <c r="T49" i="16"/>
  <c r="S49" i="16"/>
  <c r="R49" i="16"/>
  <c r="N49" i="16"/>
  <c r="M49" i="16"/>
  <c r="L49" i="16"/>
  <c r="X48" i="16"/>
  <c r="W48" i="16"/>
  <c r="V48" i="16"/>
  <c r="U48" i="16"/>
  <c r="T48" i="16"/>
  <c r="S48" i="16"/>
  <c r="R48" i="16"/>
  <c r="N48" i="16"/>
  <c r="M48" i="16"/>
  <c r="L48" i="16"/>
  <c r="X47" i="16"/>
  <c r="W47" i="16"/>
  <c r="V47" i="16"/>
  <c r="U47" i="16"/>
  <c r="T47" i="16"/>
  <c r="S47" i="16"/>
  <c r="R47" i="16"/>
  <c r="N47" i="16"/>
  <c r="M47" i="16"/>
  <c r="L47" i="16"/>
  <c r="X46" i="16"/>
  <c r="W46" i="16"/>
  <c r="V46" i="16"/>
  <c r="U46" i="16"/>
  <c r="T46" i="16"/>
  <c r="S46" i="16"/>
  <c r="R46" i="16"/>
  <c r="N46" i="16"/>
  <c r="M46" i="16"/>
  <c r="L46" i="16"/>
  <c r="X45" i="16"/>
  <c r="W45" i="16"/>
  <c r="V45" i="16"/>
  <c r="U45" i="16"/>
  <c r="T45" i="16"/>
  <c r="S45" i="16"/>
  <c r="R45" i="16"/>
  <c r="N45" i="16"/>
  <c r="M45" i="16"/>
  <c r="L45" i="16"/>
  <c r="X44" i="16"/>
  <c r="W44" i="16"/>
  <c r="V44" i="16"/>
  <c r="U44" i="16"/>
  <c r="T44" i="16"/>
  <c r="S44" i="16"/>
  <c r="R44" i="16"/>
  <c r="N44" i="16"/>
  <c r="M44" i="16"/>
  <c r="L44" i="16"/>
  <c r="X43" i="16"/>
  <c r="W43" i="16"/>
  <c r="V43" i="16"/>
  <c r="U43" i="16"/>
  <c r="T43" i="16"/>
  <c r="S43" i="16"/>
  <c r="R43" i="16"/>
  <c r="N43" i="16"/>
  <c r="M43" i="16"/>
  <c r="L43" i="16"/>
  <c r="X42" i="16"/>
  <c r="W42" i="16"/>
  <c r="V42" i="16"/>
  <c r="U42" i="16"/>
  <c r="T42" i="16"/>
  <c r="S42" i="16"/>
  <c r="R42" i="16"/>
  <c r="N42" i="16"/>
  <c r="M42" i="16"/>
  <c r="L42" i="16"/>
  <c r="X41" i="16"/>
  <c r="W41" i="16"/>
  <c r="V41" i="16"/>
  <c r="U41" i="16"/>
  <c r="T41" i="16"/>
  <c r="S41" i="16"/>
  <c r="R41" i="16"/>
  <c r="N41" i="16"/>
  <c r="M41" i="16"/>
  <c r="L41" i="16"/>
  <c r="X40" i="16"/>
  <c r="W40" i="16"/>
  <c r="V40" i="16"/>
  <c r="U40" i="16"/>
  <c r="T40" i="16"/>
  <c r="S40" i="16"/>
  <c r="R40" i="16"/>
  <c r="N40" i="16"/>
  <c r="M40" i="16"/>
  <c r="L40" i="16"/>
  <c r="X39" i="16"/>
  <c r="W39" i="16"/>
  <c r="V39" i="16"/>
  <c r="U39" i="16"/>
  <c r="T39" i="16"/>
  <c r="S39" i="16"/>
  <c r="R39" i="16"/>
  <c r="N39" i="16"/>
  <c r="M39" i="16"/>
  <c r="L39" i="16"/>
  <c r="U38" i="16"/>
  <c r="T38" i="16"/>
  <c r="S38" i="16"/>
  <c r="R38" i="16"/>
  <c r="N38" i="16"/>
  <c r="Q48" i="16" s="1"/>
  <c r="M38" i="16"/>
  <c r="P43" i="16" s="1"/>
  <c r="L38" i="16"/>
  <c r="O38" i="16" s="1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R16" i="16"/>
  <c r="N16" i="16"/>
  <c r="M16" i="16"/>
  <c r="L16" i="16"/>
  <c r="K16" i="16"/>
  <c r="W7" i="16"/>
  <c r="Y2" i="16"/>
  <c r="X153" i="14"/>
  <c r="W153" i="14"/>
  <c r="V153" i="14"/>
  <c r="U153" i="14"/>
  <c r="T153" i="14"/>
  <c r="S153" i="14"/>
  <c r="R153" i="14"/>
  <c r="N153" i="14"/>
  <c r="M153" i="14"/>
  <c r="L153" i="14"/>
  <c r="X152" i="14"/>
  <c r="W152" i="14"/>
  <c r="V152" i="14"/>
  <c r="U152" i="14"/>
  <c r="T152" i="14"/>
  <c r="S152" i="14"/>
  <c r="R152" i="14"/>
  <c r="N152" i="14"/>
  <c r="M152" i="14"/>
  <c r="L152" i="14"/>
  <c r="X151" i="14"/>
  <c r="W151" i="14"/>
  <c r="V151" i="14"/>
  <c r="U151" i="14"/>
  <c r="T151" i="14"/>
  <c r="S151" i="14"/>
  <c r="R151" i="14"/>
  <c r="N151" i="14"/>
  <c r="M151" i="14"/>
  <c r="L151" i="14"/>
  <c r="X150" i="14"/>
  <c r="W150" i="14"/>
  <c r="V150" i="14"/>
  <c r="U150" i="14"/>
  <c r="T150" i="14"/>
  <c r="S150" i="14"/>
  <c r="R150" i="14"/>
  <c r="N150" i="14"/>
  <c r="M150" i="14"/>
  <c r="L150" i="14"/>
  <c r="X149" i="14"/>
  <c r="W149" i="14"/>
  <c r="V149" i="14"/>
  <c r="U149" i="14"/>
  <c r="T149" i="14"/>
  <c r="S149" i="14"/>
  <c r="R149" i="14"/>
  <c r="N149" i="14"/>
  <c r="M149" i="14"/>
  <c r="L149" i="14"/>
  <c r="X148" i="14"/>
  <c r="W148" i="14"/>
  <c r="V148" i="14"/>
  <c r="U148" i="14"/>
  <c r="T148" i="14"/>
  <c r="S148" i="14"/>
  <c r="R148" i="14"/>
  <c r="N148" i="14"/>
  <c r="M148" i="14"/>
  <c r="L148" i="14"/>
  <c r="X147" i="14"/>
  <c r="W147" i="14"/>
  <c r="V147" i="14"/>
  <c r="U147" i="14"/>
  <c r="T147" i="14"/>
  <c r="S147" i="14"/>
  <c r="R147" i="14"/>
  <c r="N147" i="14"/>
  <c r="M147" i="14"/>
  <c r="L147" i="14"/>
  <c r="X146" i="14"/>
  <c r="W146" i="14"/>
  <c r="V146" i="14"/>
  <c r="U146" i="14"/>
  <c r="T146" i="14"/>
  <c r="S146" i="14"/>
  <c r="R146" i="14"/>
  <c r="N146" i="14"/>
  <c r="M146" i="14"/>
  <c r="L146" i="14"/>
  <c r="X145" i="14"/>
  <c r="W145" i="14"/>
  <c r="V145" i="14"/>
  <c r="U145" i="14"/>
  <c r="T145" i="14"/>
  <c r="S145" i="14"/>
  <c r="R145" i="14"/>
  <c r="N145" i="14"/>
  <c r="M145" i="14"/>
  <c r="L145" i="14"/>
  <c r="X144" i="14"/>
  <c r="W144" i="14"/>
  <c r="V144" i="14"/>
  <c r="U144" i="14"/>
  <c r="T144" i="14"/>
  <c r="S144" i="14"/>
  <c r="R144" i="14"/>
  <c r="N144" i="14"/>
  <c r="M144" i="14"/>
  <c r="L144" i="14"/>
  <c r="X143" i="14"/>
  <c r="W143" i="14"/>
  <c r="V143" i="14"/>
  <c r="U143" i="14"/>
  <c r="T143" i="14"/>
  <c r="S143" i="14"/>
  <c r="R143" i="14"/>
  <c r="N143" i="14"/>
  <c r="M143" i="14"/>
  <c r="L143" i="14"/>
  <c r="X142" i="14"/>
  <c r="W142" i="14"/>
  <c r="V142" i="14"/>
  <c r="U142" i="14"/>
  <c r="T142" i="14"/>
  <c r="S142" i="14"/>
  <c r="R142" i="14"/>
  <c r="N142" i="14"/>
  <c r="M142" i="14"/>
  <c r="L142" i="14"/>
  <c r="X141" i="14"/>
  <c r="W141" i="14"/>
  <c r="V141" i="14"/>
  <c r="U141" i="14"/>
  <c r="T141" i="14"/>
  <c r="S141" i="14"/>
  <c r="R141" i="14"/>
  <c r="N141" i="14"/>
  <c r="M141" i="14"/>
  <c r="L141" i="14"/>
  <c r="X140" i="14"/>
  <c r="W140" i="14"/>
  <c r="V140" i="14"/>
  <c r="U140" i="14"/>
  <c r="T140" i="14"/>
  <c r="S140" i="14"/>
  <c r="R140" i="14"/>
  <c r="N140" i="14"/>
  <c r="M140" i="14"/>
  <c r="L140" i="14"/>
  <c r="X139" i="14"/>
  <c r="W139" i="14"/>
  <c r="V139" i="14"/>
  <c r="U139" i="14"/>
  <c r="T139" i="14"/>
  <c r="S139" i="14"/>
  <c r="R139" i="14"/>
  <c r="N139" i="14"/>
  <c r="M139" i="14"/>
  <c r="L139" i="14"/>
  <c r="X138" i="14"/>
  <c r="W138" i="14"/>
  <c r="V138" i="14"/>
  <c r="U138" i="14"/>
  <c r="T138" i="14"/>
  <c r="S138" i="14"/>
  <c r="R138" i="14"/>
  <c r="N138" i="14"/>
  <c r="M138" i="14"/>
  <c r="L138" i="14"/>
  <c r="X137" i="14"/>
  <c r="W137" i="14"/>
  <c r="V137" i="14"/>
  <c r="U137" i="14"/>
  <c r="T137" i="14"/>
  <c r="S137" i="14"/>
  <c r="R137" i="14"/>
  <c r="N137" i="14"/>
  <c r="M137" i="14"/>
  <c r="L137" i="14"/>
  <c r="X136" i="14"/>
  <c r="W136" i="14"/>
  <c r="V136" i="14"/>
  <c r="U136" i="14"/>
  <c r="T136" i="14"/>
  <c r="S136" i="14"/>
  <c r="R136" i="14"/>
  <c r="N136" i="14"/>
  <c r="M136" i="14"/>
  <c r="L136" i="14"/>
  <c r="X135" i="14"/>
  <c r="W135" i="14"/>
  <c r="V135" i="14"/>
  <c r="U135" i="14"/>
  <c r="T135" i="14"/>
  <c r="S135" i="14"/>
  <c r="R135" i="14"/>
  <c r="N135" i="14"/>
  <c r="M135" i="14"/>
  <c r="L135" i="14"/>
  <c r="X134" i="14"/>
  <c r="W134" i="14"/>
  <c r="V134" i="14"/>
  <c r="U134" i="14"/>
  <c r="T134" i="14"/>
  <c r="S134" i="14"/>
  <c r="R134" i="14"/>
  <c r="N134" i="14"/>
  <c r="M134" i="14"/>
  <c r="L134" i="14"/>
  <c r="X133" i="14"/>
  <c r="W133" i="14"/>
  <c r="V133" i="14"/>
  <c r="U133" i="14"/>
  <c r="T133" i="14"/>
  <c r="S133" i="14"/>
  <c r="R133" i="14"/>
  <c r="N133" i="14"/>
  <c r="M133" i="14"/>
  <c r="L133" i="14"/>
  <c r="X132" i="14"/>
  <c r="W132" i="14"/>
  <c r="V132" i="14"/>
  <c r="U132" i="14"/>
  <c r="T132" i="14"/>
  <c r="S132" i="14"/>
  <c r="R132" i="14"/>
  <c r="N132" i="14"/>
  <c r="M132" i="14"/>
  <c r="L132" i="14"/>
  <c r="X131" i="14"/>
  <c r="W131" i="14"/>
  <c r="V131" i="14"/>
  <c r="U131" i="14"/>
  <c r="T131" i="14"/>
  <c r="S131" i="14"/>
  <c r="R131" i="14"/>
  <c r="N131" i="14"/>
  <c r="M131" i="14"/>
  <c r="L131" i="14"/>
  <c r="X130" i="14"/>
  <c r="W130" i="14"/>
  <c r="V130" i="14"/>
  <c r="U130" i="14"/>
  <c r="T130" i="14"/>
  <c r="S130" i="14"/>
  <c r="R130" i="14"/>
  <c r="N130" i="14"/>
  <c r="M130" i="14"/>
  <c r="L130" i="14"/>
  <c r="X129" i="14"/>
  <c r="W129" i="14"/>
  <c r="V129" i="14"/>
  <c r="U129" i="14"/>
  <c r="T129" i="14"/>
  <c r="S129" i="14"/>
  <c r="R129" i="14"/>
  <c r="N129" i="14"/>
  <c r="M129" i="14"/>
  <c r="L129" i="14"/>
  <c r="X128" i="14"/>
  <c r="W128" i="14"/>
  <c r="V128" i="14"/>
  <c r="U128" i="14"/>
  <c r="T128" i="14"/>
  <c r="S128" i="14"/>
  <c r="R128" i="14"/>
  <c r="N128" i="14"/>
  <c r="M128" i="14"/>
  <c r="L128" i="14"/>
  <c r="X127" i="14"/>
  <c r="W127" i="14"/>
  <c r="V127" i="14"/>
  <c r="U127" i="14"/>
  <c r="T127" i="14"/>
  <c r="S127" i="14"/>
  <c r="R127" i="14"/>
  <c r="N127" i="14"/>
  <c r="M127" i="14"/>
  <c r="L127" i="14"/>
  <c r="X126" i="14"/>
  <c r="W126" i="14"/>
  <c r="V126" i="14"/>
  <c r="U126" i="14"/>
  <c r="T126" i="14"/>
  <c r="S126" i="14"/>
  <c r="R126" i="14"/>
  <c r="N126" i="14"/>
  <c r="M126" i="14"/>
  <c r="L126" i="14"/>
  <c r="X125" i="14"/>
  <c r="W125" i="14"/>
  <c r="V125" i="14"/>
  <c r="U125" i="14"/>
  <c r="T125" i="14"/>
  <c r="S125" i="14"/>
  <c r="R125" i="14"/>
  <c r="N125" i="14"/>
  <c r="M125" i="14"/>
  <c r="L125" i="14"/>
  <c r="X124" i="14"/>
  <c r="W124" i="14"/>
  <c r="V124" i="14"/>
  <c r="U124" i="14"/>
  <c r="T124" i="14"/>
  <c r="S124" i="14"/>
  <c r="R124" i="14"/>
  <c r="N124" i="14"/>
  <c r="M124" i="14"/>
  <c r="L124" i="14"/>
  <c r="X123" i="14"/>
  <c r="W123" i="14"/>
  <c r="V123" i="14"/>
  <c r="U123" i="14"/>
  <c r="T123" i="14"/>
  <c r="S123" i="14"/>
  <c r="R123" i="14"/>
  <c r="N123" i="14"/>
  <c r="M123" i="14"/>
  <c r="L123" i="14"/>
  <c r="X122" i="14"/>
  <c r="W122" i="14"/>
  <c r="V122" i="14"/>
  <c r="U122" i="14"/>
  <c r="T122" i="14"/>
  <c r="S122" i="14"/>
  <c r="R122" i="14"/>
  <c r="N122" i="14"/>
  <c r="M122" i="14"/>
  <c r="L122" i="14"/>
  <c r="X121" i="14"/>
  <c r="W121" i="14"/>
  <c r="V121" i="14"/>
  <c r="U121" i="14"/>
  <c r="T121" i="14"/>
  <c r="S121" i="14"/>
  <c r="R121" i="14"/>
  <c r="N121" i="14"/>
  <c r="M121" i="14"/>
  <c r="L121" i="14"/>
  <c r="X120" i="14"/>
  <c r="W120" i="14"/>
  <c r="V120" i="14"/>
  <c r="U120" i="14"/>
  <c r="T120" i="14"/>
  <c r="S120" i="14"/>
  <c r="R120" i="14"/>
  <c r="N120" i="14"/>
  <c r="M120" i="14"/>
  <c r="L120" i="14"/>
  <c r="X119" i="14"/>
  <c r="W119" i="14"/>
  <c r="V119" i="14"/>
  <c r="U119" i="14"/>
  <c r="T119" i="14"/>
  <c r="S119" i="14"/>
  <c r="R119" i="14"/>
  <c r="N119" i="14"/>
  <c r="M119" i="14"/>
  <c r="L119" i="14"/>
  <c r="X118" i="14"/>
  <c r="W118" i="14"/>
  <c r="V118" i="14"/>
  <c r="U118" i="14"/>
  <c r="T118" i="14"/>
  <c r="S118" i="14"/>
  <c r="R118" i="14"/>
  <c r="N118" i="14"/>
  <c r="M118" i="14"/>
  <c r="L118" i="14"/>
  <c r="X117" i="14"/>
  <c r="W117" i="14"/>
  <c r="V117" i="14"/>
  <c r="U117" i="14"/>
  <c r="T117" i="14"/>
  <c r="S117" i="14"/>
  <c r="R117" i="14"/>
  <c r="N117" i="14"/>
  <c r="M117" i="14"/>
  <c r="L117" i="14"/>
  <c r="X116" i="14"/>
  <c r="W116" i="14"/>
  <c r="V116" i="14"/>
  <c r="U116" i="14"/>
  <c r="T116" i="14"/>
  <c r="S116" i="14"/>
  <c r="R116" i="14"/>
  <c r="N116" i="14"/>
  <c r="M116" i="14"/>
  <c r="L116" i="14"/>
  <c r="X115" i="14"/>
  <c r="W115" i="14"/>
  <c r="V115" i="14"/>
  <c r="U115" i="14"/>
  <c r="T115" i="14"/>
  <c r="S115" i="14"/>
  <c r="R115" i="14"/>
  <c r="N115" i="14"/>
  <c r="M115" i="14"/>
  <c r="L115" i="14"/>
  <c r="X114" i="14"/>
  <c r="W114" i="14"/>
  <c r="V114" i="14"/>
  <c r="U114" i="14"/>
  <c r="T114" i="14"/>
  <c r="S114" i="14"/>
  <c r="R114" i="14"/>
  <c r="N114" i="14"/>
  <c r="M114" i="14"/>
  <c r="L114" i="14"/>
  <c r="X113" i="14"/>
  <c r="W113" i="14"/>
  <c r="V113" i="14"/>
  <c r="U113" i="14"/>
  <c r="T113" i="14"/>
  <c r="S113" i="14"/>
  <c r="R113" i="14"/>
  <c r="N113" i="14"/>
  <c r="M113" i="14"/>
  <c r="L113" i="14"/>
  <c r="X112" i="14"/>
  <c r="W112" i="14"/>
  <c r="V112" i="14"/>
  <c r="U112" i="14"/>
  <c r="T112" i="14"/>
  <c r="S112" i="14"/>
  <c r="R112" i="14"/>
  <c r="N112" i="14"/>
  <c r="M112" i="14"/>
  <c r="L112" i="14"/>
  <c r="X111" i="14"/>
  <c r="W111" i="14"/>
  <c r="V111" i="14"/>
  <c r="U111" i="14"/>
  <c r="T111" i="14"/>
  <c r="S111" i="14"/>
  <c r="R111" i="14"/>
  <c r="N111" i="14"/>
  <c r="M111" i="14"/>
  <c r="L111" i="14"/>
  <c r="X110" i="14"/>
  <c r="W110" i="14"/>
  <c r="V110" i="14"/>
  <c r="U110" i="14"/>
  <c r="T110" i="14"/>
  <c r="S110" i="14"/>
  <c r="R110" i="14"/>
  <c r="N110" i="14"/>
  <c r="M110" i="14"/>
  <c r="L110" i="14"/>
  <c r="X109" i="14"/>
  <c r="W109" i="14"/>
  <c r="V109" i="14"/>
  <c r="U109" i="14"/>
  <c r="T109" i="14"/>
  <c r="S109" i="14"/>
  <c r="R109" i="14"/>
  <c r="N109" i="14"/>
  <c r="M109" i="14"/>
  <c r="L109" i="14"/>
  <c r="X108" i="14"/>
  <c r="W108" i="14"/>
  <c r="V108" i="14"/>
  <c r="U108" i="14"/>
  <c r="T108" i="14"/>
  <c r="S108" i="14"/>
  <c r="R108" i="14"/>
  <c r="N108" i="14"/>
  <c r="M108" i="14"/>
  <c r="L108" i="14"/>
  <c r="X107" i="14"/>
  <c r="W107" i="14"/>
  <c r="V107" i="14"/>
  <c r="U107" i="14"/>
  <c r="T107" i="14"/>
  <c r="S107" i="14"/>
  <c r="R107" i="14"/>
  <c r="N107" i="14"/>
  <c r="M107" i="14"/>
  <c r="L107" i="14"/>
  <c r="X106" i="14"/>
  <c r="W106" i="14"/>
  <c r="V106" i="14"/>
  <c r="U106" i="14"/>
  <c r="T106" i="14"/>
  <c r="S106" i="14"/>
  <c r="R106" i="14"/>
  <c r="N106" i="14"/>
  <c r="M106" i="14"/>
  <c r="L106" i="14"/>
  <c r="X105" i="14"/>
  <c r="W105" i="14"/>
  <c r="V105" i="14"/>
  <c r="U105" i="14"/>
  <c r="T105" i="14"/>
  <c r="S105" i="14"/>
  <c r="R105" i="14"/>
  <c r="N105" i="14"/>
  <c r="M105" i="14"/>
  <c r="L105" i="14"/>
  <c r="X104" i="14"/>
  <c r="W104" i="14"/>
  <c r="V104" i="14"/>
  <c r="U104" i="14"/>
  <c r="T104" i="14"/>
  <c r="S104" i="14"/>
  <c r="R104" i="14"/>
  <c r="N104" i="14"/>
  <c r="M104" i="14"/>
  <c r="L104" i="14"/>
  <c r="X103" i="14"/>
  <c r="W103" i="14"/>
  <c r="V103" i="14"/>
  <c r="U103" i="14"/>
  <c r="T103" i="14"/>
  <c r="S103" i="14"/>
  <c r="R103" i="14"/>
  <c r="N103" i="14"/>
  <c r="M103" i="14"/>
  <c r="L103" i="14"/>
  <c r="X102" i="14"/>
  <c r="W102" i="14"/>
  <c r="V102" i="14"/>
  <c r="U102" i="14"/>
  <c r="T102" i="14"/>
  <c r="S102" i="14"/>
  <c r="R102" i="14"/>
  <c r="N102" i="14"/>
  <c r="M102" i="14"/>
  <c r="L102" i="14"/>
  <c r="X101" i="14"/>
  <c r="W101" i="14"/>
  <c r="V101" i="14"/>
  <c r="U101" i="14"/>
  <c r="T101" i="14"/>
  <c r="S101" i="14"/>
  <c r="R101" i="14"/>
  <c r="N101" i="14"/>
  <c r="M101" i="14"/>
  <c r="L101" i="14"/>
  <c r="X100" i="14"/>
  <c r="W100" i="14"/>
  <c r="V100" i="14"/>
  <c r="U100" i="14"/>
  <c r="T100" i="14"/>
  <c r="S100" i="14"/>
  <c r="R100" i="14"/>
  <c r="N100" i="14"/>
  <c r="M100" i="14"/>
  <c r="L100" i="14"/>
  <c r="X99" i="14"/>
  <c r="W99" i="14"/>
  <c r="V99" i="14"/>
  <c r="U99" i="14"/>
  <c r="T99" i="14"/>
  <c r="S99" i="14"/>
  <c r="R99" i="14"/>
  <c r="N99" i="14"/>
  <c r="M99" i="14"/>
  <c r="L99" i="14"/>
  <c r="X98" i="14"/>
  <c r="W98" i="14"/>
  <c r="V98" i="14"/>
  <c r="U98" i="14"/>
  <c r="T98" i="14"/>
  <c r="S98" i="14"/>
  <c r="R98" i="14"/>
  <c r="N98" i="14"/>
  <c r="M98" i="14"/>
  <c r="L98" i="14"/>
  <c r="X97" i="14"/>
  <c r="W97" i="14"/>
  <c r="V97" i="14"/>
  <c r="U97" i="14"/>
  <c r="T97" i="14"/>
  <c r="S97" i="14"/>
  <c r="R97" i="14"/>
  <c r="N97" i="14"/>
  <c r="M97" i="14"/>
  <c r="L97" i="14"/>
  <c r="X96" i="14"/>
  <c r="W96" i="14"/>
  <c r="V96" i="14"/>
  <c r="U96" i="14"/>
  <c r="T96" i="14"/>
  <c r="S96" i="14"/>
  <c r="R96" i="14"/>
  <c r="N96" i="14"/>
  <c r="M96" i="14"/>
  <c r="L96" i="14"/>
  <c r="X95" i="14"/>
  <c r="W95" i="14"/>
  <c r="V95" i="14"/>
  <c r="U95" i="14"/>
  <c r="T95" i="14"/>
  <c r="S95" i="14"/>
  <c r="R95" i="14"/>
  <c r="N95" i="14"/>
  <c r="M95" i="14"/>
  <c r="L95" i="14"/>
  <c r="X94" i="14"/>
  <c r="W94" i="14"/>
  <c r="V94" i="14"/>
  <c r="U94" i="14"/>
  <c r="T94" i="14"/>
  <c r="S94" i="14"/>
  <c r="R94" i="14"/>
  <c r="N94" i="14"/>
  <c r="M94" i="14"/>
  <c r="L94" i="14"/>
  <c r="X93" i="14"/>
  <c r="W93" i="14"/>
  <c r="V93" i="14"/>
  <c r="U93" i="14"/>
  <c r="T93" i="14"/>
  <c r="S93" i="14"/>
  <c r="R93" i="14"/>
  <c r="N93" i="14"/>
  <c r="M93" i="14"/>
  <c r="L93" i="14"/>
  <c r="X92" i="14"/>
  <c r="W92" i="14"/>
  <c r="V92" i="14"/>
  <c r="U92" i="14"/>
  <c r="T92" i="14"/>
  <c r="S92" i="14"/>
  <c r="R92" i="14"/>
  <c r="N92" i="14"/>
  <c r="M92" i="14"/>
  <c r="L92" i="14"/>
  <c r="X91" i="14"/>
  <c r="W91" i="14"/>
  <c r="V91" i="14"/>
  <c r="U91" i="14"/>
  <c r="T91" i="14"/>
  <c r="S91" i="14"/>
  <c r="R91" i="14"/>
  <c r="N91" i="14"/>
  <c r="M91" i="14"/>
  <c r="L91" i="14"/>
  <c r="X90" i="14"/>
  <c r="W90" i="14"/>
  <c r="V90" i="14"/>
  <c r="U90" i="14"/>
  <c r="T90" i="14"/>
  <c r="S90" i="14"/>
  <c r="R90" i="14"/>
  <c r="N90" i="14"/>
  <c r="M90" i="14"/>
  <c r="L90" i="14"/>
  <c r="X89" i="14"/>
  <c r="W89" i="14"/>
  <c r="V89" i="14"/>
  <c r="U89" i="14"/>
  <c r="T89" i="14"/>
  <c r="S89" i="14"/>
  <c r="R89" i="14"/>
  <c r="N89" i="14"/>
  <c r="M89" i="14"/>
  <c r="L89" i="14"/>
  <c r="X88" i="14"/>
  <c r="W88" i="14"/>
  <c r="V88" i="14"/>
  <c r="U88" i="14"/>
  <c r="T88" i="14"/>
  <c r="S88" i="14"/>
  <c r="R88" i="14"/>
  <c r="N88" i="14"/>
  <c r="M88" i="14"/>
  <c r="L88" i="14"/>
  <c r="X87" i="14"/>
  <c r="W87" i="14"/>
  <c r="V87" i="14"/>
  <c r="U87" i="14"/>
  <c r="T87" i="14"/>
  <c r="S87" i="14"/>
  <c r="R87" i="14"/>
  <c r="N87" i="14"/>
  <c r="M87" i="14"/>
  <c r="L87" i="14"/>
  <c r="X86" i="14"/>
  <c r="W86" i="14"/>
  <c r="V86" i="14"/>
  <c r="U86" i="14"/>
  <c r="T86" i="14"/>
  <c r="S86" i="14"/>
  <c r="R86" i="14"/>
  <c r="N86" i="14"/>
  <c r="M86" i="14"/>
  <c r="L86" i="14"/>
  <c r="X85" i="14"/>
  <c r="W85" i="14"/>
  <c r="V85" i="14"/>
  <c r="U85" i="14"/>
  <c r="T85" i="14"/>
  <c r="S85" i="14"/>
  <c r="R85" i="14"/>
  <c r="N85" i="14"/>
  <c r="M85" i="14"/>
  <c r="L85" i="14"/>
  <c r="X84" i="14"/>
  <c r="W84" i="14"/>
  <c r="V84" i="14"/>
  <c r="U84" i="14"/>
  <c r="T84" i="14"/>
  <c r="S84" i="14"/>
  <c r="R84" i="14"/>
  <c r="N84" i="14"/>
  <c r="M84" i="14"/>
  <c r="L84" i="14"/>
  <c r="X83" i="14"/>
  <c r="W83" i="14"/>
  <c r="V83" i="14"/>
  <c r="U83" i="14"/>
  <c r="T83" i="14"/>
  <c r="S83" i="14"/>
  <c r="R83" i="14"/>
  <c r="N83" i="14"/>
  <c r="M83" i="14"/>
  <c r="L83" i="14"/>
  <c r="X82" i="14"/>
  <c r="W82" i="14"/>
  <c r="V82" i="14"/>
  <c r="U82" i="14"/>
  <c r="T82" i="14"/>
  <c r="S82" i="14"/>
  <c r="R82" i="14"/>
  <c r="N82" i="14"/>
  <c r="M82" i="14"/>
  <c r="L82" i="14"/>
  <c r="X81" i="14"/>
  <c r="W81" i="14"/>
  <c r="V81" i="14"/>
  <c r="U81" i="14"/>
  <c r="T81" i="14"/>
  <c r="S81" i="14"/>
  <c r="R81" i="14"/>
  <c r="N81" i="14"/>
  <c r="M81" i="14"/>
  <c r="L81" i="14"/>
  <c r="X80" i="14"/>
  <c r="W80" i="14"/>
  <c r="V80" i="14"/>
  <c r="U80" i="14"/>
  <c r="T80" i="14"/>
  <c r="S80" i="14"/>
  <c r="R80" i="14"/>
  <c r="N80" i="14"/>
  <c r="M80" i="14"/>
  <c r="L80" i="14"/>
  <c r="X79" i="14"/>
  <c r="W79" i="14"/>
  <c r="V79" i="14"/>
  <c r="U79" i="14"/>
  <c r="T79" i="14"/>
  <c r="S79" i="14"/>
  <c r="R79" i="14"/>
  <c r="N79" i="14"/>
  <c r="M79" i="14"/>
  <c r="L79" i="14"/>
  <c r="X78" i="14"/>
  <c r="W78" i="14"/>
  <c r="V78" i="14"/>
  <c r="U78" i="14"/>
  <c r="T78" i="14"/>
  <c r="S78" i="14"/>
  <c r="R78" i="14"/>
  <c r="N78" i="14"/>
  <c r="M78" i="14"/>
  <c r="L78" i="14"/>
  <c r="X77" i="14"/>
  <c r="W77" i="14"/>
  <c r="V77" i="14"/>
  <c r="U77" i="14"/>
  <c r="T77" i="14"/>
  <c r="S77" i="14"/>
  <c r="R77" i="14"/>
  <c r="N77" i="14"/>
  <c r="M77" i="14"/>
  <c r="L77" i="14"/>
  <c r="X76" i="14"/>
  <c r="W76" i="14"/>
  <c r="V76" i="14"/>
  <c r="U76" i="14"/>
  <c r="T76" i="14"/>
  <c r="S76" i="14"/>
  <c r="R76" i="14"/>
  <c r="N76" i="14"/>
  <c r="M76" i="14"/>
  <c r="L76" i="14"/>
  <c r="X75" i="14"/>
  <c r="W75" i="14"/>
  <c r="V75" i="14"/>
  <c r="U75" i="14"/>
  <c r="T75" i="14"/>
  <c r="S75" i="14"/>
  <c r="R75" i="14"/>
  <c r="N75" i="14"/>
  <c r="M75" i="14"/>
  <c r="L75" i="14"/>
  <c r="X74" i="14"/>
  <c r="W74" i="14"/>
  <c r="V74" i="14"/>
  <c r="U74" i="14"/>
  <c r="T74" i="14"/>
  <c r="S74" i="14"/>
  <c r="R74" i="14"/>
  <c r="N74" i="14"/>
  <c r="M74" i="14"/>
  <c r="L74" i="14"/>
  <c r="X73" i="14"/>
  <c r="W73" i="14"/>
  <c r="V73" i="14"/>
  <c r="U73" i="14"/>
  <c r="T73" i="14"/>
  <c r="S73" i="14"/>
  <c r="R73" i="14"/>
  <c r="N73" i="14"/>
  <c r="M73" i="14"/>
  <c r="L73" i="14"/>
  <c r="X72" i="14"/>
  <c r="W72" i="14"/>
  <c r="V72" i="14"/>
  <c r="U72" i="14"/>
  <c r="T72" i="14"/>
  <c r="S72" i="14"/>
  <c r="R72" i="14"/>
  <c r="N72" i="14"/>
  <c r="M72" i="14"/>
  <c r="L72" i="14"/>
  <c r="X71" i="14"/>
  <c r="W71" i="14"/>
  <c r="V71" i="14"/>
  <c r="U71" i="14"/>
  <c r="T71" i="14"/>
  <c r="S71" i="14"/>
  <c r="R71" i="14"/>
  <c r="N71" i="14"/>
  <c r="M71" i="14"/>
  <c r="L71" i="14"/>
  <c r="X70" i="14"/>
  <c r="W70" i="14"/>
  <c r="V70" i="14"/>
  <c r="U70" i="14"/>
  <c r="T70" i="14"/>
  <c r="S70" i="14"/>
  <c r="R70" i="14"/>
  <c r="N70" i="14"/>
  <c r="M70" i="14"/>
  <c r="L70" i="14"/>
  <c r="X69" i="14"/>
  <c r="W69" i="14"/>
  <c r="V69" i="14"/>
  <c r="U69" i="14"/>
  <c r="T69" i="14"/>
  <c r="S69" i="14"/>
  <c r="R69" i="14"/>
  <c r="N69" i="14"/>
  <c r="M69" i="14"/>
  <c r="L69" i="14"/>
  <c r="X68" i="14"/>
  <c r="W68" i="14"/>
  <c r="V68" i="14"/>
  <c r="U68" i="14"/>
  <c r="T68" i="14"/>
  <c r="S68" i="14"/>
  <c r="R68" i="14"/>
  <c r="N68" i="14"/>
  <c r="M68" i="14"/>
  <c r="L68" i="14"/>
  <c r="X67" i="14"/>
  <c r="W67" i="14"/>
  <c r="V67" i="14"/>
  <c r="U67" i="14"/>
  <c r="T67" i="14"/>
  <c r="S67" i="14"/>
  <c r="R67" i="14"/>
  <c r="N67" i="14"/>
  <c r="M67" i="14"/>
  <c r="L67" i="14"/>
  <c r="X66" i="14"/>
  <c r="W66" i="14"/>
  <c r="V66" i="14"/>
  <c r="U66" i="14"/>
  <c r="T66" i="14"/>
  <c r="S66" i="14"/>
  <c r="R66" i="14"/>
  <c r="N66" i="14"/>
  <c r="M66" i="14"/>
  <c r="L66" i="14"/>
  <c r="X65" i="14"/>
  <c r="W65" i="14"/>
  <c r="V65" i="14"/>
  <c r="U65" i="14"/>
  <c r="T65" i="14"/>
  <c r="S65" i="14"/>
  <c r="R65" i="14"/>
  <c r="N65" i="14"/>
  <c r="M65" i="14"/>
  <c r="L65" i="14"/>
  <c r="X64" i="14"/>
  <c r="W64" i="14"/>
  <c r="V64" i="14"/>
  <c r="U64" i="14"/>
  <c r="T64" i="14"/>
  <c r="S64" i="14"/>
  <c r="R64" i="14"/>
  <c r="N64" i="14"/>
  <c r="M64" i="14"/>
  <c r="L64" i="14"/>
  <c r="X63" i="14"/>
  <c r="W63" i="14"/>
  <c r="V63" i="14"/>
  <c r="U63" i="14"/>
  <c r="T63" i="14"/>
  <c r="S63" i="14"/>
  <c r="R63" i="14"/>
  <c r="N63" i="14"/>
  <c r="M63" i="14"/>
  <c r="L63" i="14"/>
  <c r="X62" i="14"/>
  <c r="W62" i="14"/>
  <c r="V62" i="14"/>
  <c r="U62" i="14"/>
  <c r="T62" i="14"/>
  <c r="S62" i="14"/>
  <c r="R62" i="14"/>
  <c r="N62" i="14"/>
  <c r="M62" i="14"/>
  <c r="L62" i="14"/>
  <c r="X61" i="14"/>
  <c r="W61" i="14"/>
  <c r="V61" i="14"/>
  <c r="U61" i="14"/>
  <c r="T61" i="14"/>
  <c r="S61" i="14"/>
  <c r="R61" i="14"/>
  <c r="N61" i="14"/>
  <c r="M61" i="14"/>
  <c r="L61" i="14"/>
  <c r="X60" i="14"/>
  <c r="W60" i="14"/>
  <c r="V60" i="14"/>
  <c r="U60" i="14"/>
  <c r="T60" i="14"/>
  <c r="S60" i="14"/>
  <c r="R60" i="14"/>
  <c r="N60" i="14"/>
  <c r="M60" i="14"/>
  <c r="L60" i="14"/>
  <c r="X59" i="14"/>
  <c r="W59" i="14"/>
  <c r="V59" i="14"/>
  <c r="U59" i="14"/>
  <c r="T59" i="14"/>
  <c r="S59" i="14"/>
  <c r="R59" i="14"/>
  <c r="N59" i="14"/>
  <c r="M59" i="14"/>
  <c r="L59" i="14"/>
  <c r="X58" i="14"/>
  <c r="W58" i="14"/>
  <c r="V58" i="14"/>
  <c r="U58" i="14"/>
  <c r="T58" i="14"/>
  <c r="S58" i="14"/>
  <c r="R58" i="14"/>
  <c r="N58" i="14"/>
  <c r="M58" i="14"/>
  <c r="L58" i="14"/>
  <c r="X57" i="14"/>
  <c r="W57" i="14"/>
  <c r="V57" i="14"/>
  <c r="U57" i="14"/>
  <c r="T57" i="14"/>
  <c r="S57" i="14"/>
  <c r="R57" i="14"/>
  <c r="N57" i="14"/>
  <c r="M57" i="14"/>
  <c r="L57" i="14"/>
  <c r="X56" i="14"/>
  <c r="W56" i="14"/>
  <c r="V56" i="14"/>
  <c r="U56" i="14"/>
  <c r="T56" i="14"/>
  <c r="S56" i="14"/>
  <c r="R56" i="14"/>
  <c r="N56" i="14"/>
  <c r="M56" i="14"/>
  <c r="L56" i="14"/>
  <c r="X55" i="14"/>
  <c r="W55" i="14"/>
  <c r="V55" i="14"/>
  <c r="U55" i="14"/>
  <c r="T55" i="14"/>
  <c r="S55" i="14"/>
  <c r="R55" i="14"/>
  <c r="N55" i="14"/>
  <c r="M55" i="14"/>
  <c r="L55" i="14"/>
  <c r="X54" i="14"/>
  <c r="W54" i="14"/>
  <c r="V54" i="14"/>
  <c r="U54" i="14"/>
  <c r="T54" i="14"/>
  <c r="S54" i="14"/>
  <c r="R54" i="14"/>
  <c r="N54" i="14"/>
  <c r="M54" i="14"/>
  <c r="L54" i="14"/>
  <c r="X53" i="14"/>
  <c r="W53" i="14"/>
  <c r="V53" i="14"/>
  <c r="U53" i="14"/>
  <c r="T53" i="14"/>
  <c r="S53" i="14"/>
  <c r="R53" i="14"/>
  <c r="N53" i="14"/>
  <c r="M53" i="14"/>
  <c r="L53" i="14"/>
  <c r="X52" i="14"/>
  <c r="W52" i="14"/>
  <c r="V52" i="14"/>
  <c r="U52" i="14"/>
  <c r="T52" i="14"/>
  <c r="S52" i="14"/>
  <c r="R52" i="14"/>
  <c r="N52" i="14"/>
  <c r="M52" i="14"/>
  <c r="L52" i="14"/>
  <c r="X51" i="14"/>
  <c r="W51" i="14"/>
  <c r="V51" i="14"/>
  <c r="U51" i="14"/>
  <c r="T51" i="14"/>
  <c r="S51" i="14"/>
  <c r="R51" i="14"/>
  <c r="N51" i="14"/>
  <c r="M51" i="14"/>
  <c r="L51" i="14"/>
  <c r="X50" i="14"/>
  <c r="W50" i="14"/>
  <c r="V50" i="14"/>
  <c r="R50" i="14"/>
  <c r="N50" i="14"/>
  <c r="M50" i="14"/>
  <c r="L50" i="14"/>
  <c r="X49" i="14"/>
  <c r="W49" i="14"/>
  <c r="V49" i="14"/>
  <c r="U49" i="14"/>
  <c r="T49" i="14"/>
  <c r="S49" i="14"/>
  <c r="R49" i="14"/>
  <c r="N49" i="14"/>
  <c r="M49" i="14"/>
  <c r="L49" i="14"/>
  <c r="X48" i="14"/>
  <c r="W48" i="14"/>
  <c r="V48" i="14"/>
  <c r="U48" i="14"/>
  <c r="T48" i="14"/>
  <c r="S48" i="14"/>
  <c r="R48" i="14"/>
  <c r="N48" i="14"/>
  <c r="M48" i="14"/>
  <c r="L48" i="14"/>
  <c r="X47" i="14"/>
  <c r="W47" i="14"/>
  <c r="V47" i="14"/>
  <c r="U47" i="14"/>
  <c r="T47" i="14"/>
  <c r="S47" i="14"/>
  <c r="R47" i="14"/>
  <c r="N47" i="14"/>
  <c r="M47" i="14"/>
  <c r="L47" i="14"/>
  <c r="X46" i="14"/>
  <c r="W46" i="14"/>
  <c r="V46" i="14"/>
  <c r="U46" i="14"/>
  <c r="T46" i="14"/>
  <c r="S46" i="14"/>
  <c r="R46" i="14"/>
  <c r="N46" i="14"/>
  <c r="M46" i="14"/>
  <c r="L46" i="14"/>
  <c r="X45" i="14"/>
  <c r="W45" i="14"/>
  <c r="V45" i="14"/>
  <c r="R45" i="14"/>
  <c r="N45" i="14"/>
  <c r="M45" i="14"/>
  <c r="L45" i="14"/>
  <c r="X44" i="14"/>
  <c r="W44" i="14"/>
  <c r="V44" i="14"/>
  <c r="U44" i="14"/>
  <c r="T44" i="14"/>
  <c r="S44" i="14"/>
  <c r="R44" i="14"/>
  <c r="N44" i="14"/>
  <c r="M44" i="14"/>
  <c r="L44" i="14"/>
  <c r="X43" i="14"/>
  <c r="W43" i="14"/>
  <c r="V43" i="14"/>
  <c r="U43" i="14"/>
  <c r="T43" i="14"/>
  <c r="S43" i="14"/>
  <c r="R43" i="14"/>
  <c r="N43" i="14"/>
  <c r="M43" i="14"/>
  <c r="L43" i="14"/>
  <c r="X42" i="14"/>
  <c r="W42" i="14"/>
  <c r="V42" i="14"/>
  <c r="U42" i="14"/>
  <c r="T42" i="14"/>
  <c r="S42" i="14"/>
  <c r="R42" i="14"/>
  <c r="N42" i="14"/>
  <c r="M42" i="14"/>
  <c r="L42" i="14"/>
  <c r="X41" i="14"/>
  <c r="W41" i="14"/>
  <c r="V41" i="14"/>
  <c r="U41" i="14"/>
  <c r="T41" i="14"/>
  <c r="S41" i="14"/>
  <c r="R41" i="14"/>
  <c r="N41" i="14"/>
  <c r="M41" i="14"/>
  <c r="L41" i="14"/>
  <c r="X40" i="14"/>
  <c r="W40" i="14"/>
  <c r="V40" i="14"/>
  <c r="U40" i="14"/>
  <c r="T40" i="14"/>
  <c r="S40" i="14"/>
  <c r="R40" i="14"/>
  <c r="N40" i="14"/>
  <c r="M40" i="14"/>
  <c r="L40" i="14"/>
  <c r="X39" i="14"/>
  <c r="W39" i="14"/>
  <c r="V39" i="14"/>
  <c r="U39" i="14"/>
  <c r="T39" i="14"/>
  <c r="S39" i="14"/>
  <c r="R39" i="14"/>
  <c r="N39" i="14"/>
  <c r="M39" i="14"/>
  <c r="L39" i="14"/>
  <c r="X38" i="14"/>
  <c r="W38" i="14"/>
  <c r="V38" i="14"/>
  <c r="U38" i="14"/>
  <c r="T38" i="14"/>
  <c r="S38" i="14"/>
  <c r="R38" i="14"/>
  <c r="N38" i="14"/>
  <c r="M38" i="14"/>
  <c r="L38" i="14"/>
  <c r="X37" i="14"/>
  <c r="W37" i="14"/>
  <c r="V37" i="14"/>
  <c r="U37" i="14"/>
  <c r="T37" i="14"/>
  <c r="S37" i="14"/>
  <c r="R37" i="14"/>
  <c r="N37" i="14"/>
  <c r="M37" i="14"/>
  <c r="L37" i="14"/>
  <c r="X36" i="14"/>
  <c r="W36" i="14"/>
  <c r="V36" i="14"/>
  <c r="U36" i="14"/>
  <c r="T36" i="14"/>
  <c r="S36" i="14"/>
  <c r="R36" i="14"/>
  <c r="N36" i="14"/>
  <c r="M36" i="14"/>
  <c r="L36" i="14"/>
  <c r="X35" i="14"/>
  <c r="W35" i="14"/>
  <c r="V35" i="14"/>
  <c r="U35" i="14"/>
  <c r="T35" i="14"/>
  <c r="S35" i="14"/>
  <c r="R35" i="14"/>
  <c r="N35" i="14"/>
  <c r="M35" i="14"/>
  <c r="L35" i="14"/>
  <c r="U34" i="14"/>
  <c r="T34" i="14"/>
  <c r="S34" i="14"/>
  <c r="R34" i="14"/>
  <c r="N34" i="14"/>
  <c r="Q46" i="14" s="1"/>
  <c r="M34" i="14"/>
  <c r="L34" i="14"/>
  <c r="O36" i="14" s="1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R16" i="14"/>
  <c r="N16" i="14"/>
  <c r="M16" i="14"/>
  <c r="L16" i="14"/>
  <c r="K16" i="14"/>
  <c r="W7" i="14"/>
  <c r="Y2" i="14"/>
  <c r="X153" i="11"/>
  <c r="W153" i="11"/>
  <c r="V153" i="11"/>
  <c r="U153" i="11"/>
  <c r="T153" i="11"/>
  <c r="S153" i="11"/>
  <c r="R153" i="11"/>
  <c r="N153" i="11"/>
  <c r="M153" i="11"/>
  <c r="L153" i="11"/>
  <c r="X152" i="11"/>
  <c r="W152" i="11"/>
  <c r="V152" i="11"/>
  <c r="U152" i="11"/>
  <c r="T152" i="11"/>
  <c r="S152" i="11"/>
  <c r="R152" i="11"/>
  <c r="N152" i="11"/>
  <c r="M152" i="11"/>
  <c r="L152" i="11"/>
  <c r="X151" i="11"/>
  <c r="W151" i="11"/>
  <c r="V151" i="11"/>
  <c r="U151" i="11"/>
  <c r="T151" i="11"/>
  <c r="S151" i="11"/>
  <c r="R151" i="11"/>
  <c r="N151" i="11"/>
  <c r="M151" i="11"/>
  <c r="L151" i="11"/>
  <c r="X150" i="11"/>
  <c r="W150" i="11"/>
  <c r="V150" i="11"/>
  <c r="U150" i="11"/>
  <c r="T150" i="11"/>
  <c r="S150" i="11"/>
  <c r="R150" i="11"/>
  <c r="N150" i="11"/>
  <c r="M150" i="11"/>
  <c r="L150" i="11"/>
  <c r="X149" i="11"/>
  <c r="W149" i="11"/>
  <c r="V149" i="11"/>
  <c r="U149" i="11"/>
  <c r="T149" i="11"/>
  <c r="S149" i="11"/>
  <c r="R149" i="11"/>
  <c r="N149" i="11"/>
  <c r="M149" i="11"/>
  <c r="L149" i="11"/>
  <c r="X148" i="11"/>
  <c r="W148" i="11"/>
  <c r="V148" i="11"/>
  <c r="U148" i="11"/>
  <c r="T148" i="11"/>
  <c r="S148" i="11"/>
  <c r="R148" i="11"/>
  <c r="N148" i="11"/>
  <c r="M148" i="11"/>
  <c r="L148" i="11"/>
  <c r="X147" i="11"/>
  <c r="W147" i="11"/>
  <c r="V147" i="11"/>
  <c r="U147" i="11"/>
  <c r="T147" i="11"/>
  <c r="S147" i="11"/>
  <c r="R147" i="11"/>
  <c r="N147" i="11"/>
  <c r="M147" i="11"/>
  <c r="L147" i="11"/>
  <c r="X146" i="11"/>
  <c r="W146" i="11"/>
  <c r="V146" i="11"/>
  <c r="U146" i="11"/>
  <c r="T146" i="11"/>
  <c r="S146" i="11"/>
  <c r="R146" i="11"/>
  <c r="N146" i="11"/>
  <c r="M146" i="11"/>
  <c r="L146" i="11"/>
  <c r="X145" i="11"/>
  <c r="W145" i="11"/>
  <c r="V145" i="11"/>
  <c r="U145" i="11"/>
  <c r="T145" i="11"/>
  <c r="S145" i="11"/>
  <c r="R145" i="11"/>
  <c r="N145" i="11"/>
  <c r="M145" i="11"/>
  <c r="L145" i="11"/>
  <c r="X144" i="11"/>
  <c r="W144" i="11"/>
  <c r="V144" i="11"/>
  <c r="U144" i="11"/>
  <c r="T144" i="11"/>
  <c r="S144" i="11"/>
  <c r="R144" i="11"/>
  <c r="N144" i="11"/>
  <c r="M144" i="11"/>
  <c r="L144" i="11"/>
  <c r="X143" i="11"/>
  <c r="W143" i="11"/>
  <c r="V143" i="11"/>
  <c r="U143" i="11"/>
  <c r="T143" i="11"/>
  <c r="S143" i="11"/>
  <c r="R143" i="11"/>
  <c r="N143" i="11"/>
  <c r="M143" i="11"/>
  <c r="L143" i="11"/>
  <c r="X142" i="11"/>
  <c r="W142" i="11"/>
  <c r="V142" i="11"/>
  <c r="U142" i="11"/>
  <c r="T142" i="11"/>
  <c r="S142" i="11"/>
  <c r="R142" i="11"/>
  <c r="N142" i="11"/>
  <c r="M142" i="11"/>
  <c r="L142" i="11"/>
  <c r="X141" i="11"/>
  <c r="W141" i="11"/>
  <c r="V141" i="11"/>
  <c r="U141" i="11"/>
  <c r="T141" i="11"/>
  <c r="S141" i="11"/>
  <c r="R141" i="11"/>
  <c r="N141" i="11"/>
  <c r="M141" i="11"/>
  <c r="L141" i="11"/>
  <c r="X140" i="11"/>
  <c r="W140" i="11"/>
  <c r="V140" i="11"/>
  <c r="U140" i="11"/>
  <c r="T140" i="11"/>
  <c r="S140" i="11"/>
  <c r="R140" i="11"/>
  <c r="N140" i="11"/>
  <c r="M140" i="11"/>
  <c r="L140" i="11"/>
  <c r="X139" i="11"/>
  <c r="W139" i="11"/>
  <c r="V139" i="11"/>
  <c r="U139" i="11"/>
  <c r="T139" i="11"/>
  <c r="S139" i="11"/>
  <c r="R139" i="11"/>
  <c r="N139" i="11"/>
  <c r="M139" i="11"/>
  <c r="L139" i="11"/>
  <c r="X138" i="11"/>
  <c r="W138" i="11"/>
  <c r="V138" i="11"/>
  <c r="U138" i="11"/>
  <c r="T138" i="11"/>
  <c r="S138" i="11"/>
  <c r="R138" i="11"/>
  <c r="N138" i="11"/>
  <c r="M138" i="11"/>
  <c r="L138" i="11"/>
  <c r="X137" i="11"/>
  <c r="W137" i="11"/>
  <c r="V137" i="11"/>
  <c r="U137" i="11"/>
  <c r="T137" i="11"/>
  <c r="S137" i="11"/>
  <c r="R137" i="11"/>
  <c r="N137" i="11"/>
  <c r="M137" i="11"/>
  <c r="L137" i="11"/>
  <c r="X136" i="11"/>
  <c r="W136" i="11"/>
  <c r="V136" i="11"/>
  <c r="U136" i="11"/>
  <c r="T136" i="11"/>
  <c r="S136" i="11"/>
  <c r="R136" i="11"/>
  <c r="N136" i="11"/>
  <c r="M136" i="11"/>
  <c r="L136" i="11"/>
  <c r="X135" i="11"/>
  <c r="W135" i="11"/>
  <c r="V135" i="11"/>
  <c r="U135" i="11"/>
  <c r="T135" i="11"/>
  <c r="S135" i="11"/>
  <c r="R135" i="11"/>
  <c r="N135" i="11"/>
  <c r="M135" i="11"/>
  <c r="L135" i="11"/>
  <c r="X134" i="11"/>
  <c r="W134" i="11"/>
  <c r="V134" i="11"/>
  <c r="U134" i="11"/>
  <c r="T134" i="11"/>
  <c r="S134" i="11"/>
  <c r="R134" i="11"/>
  <c r="N134" i="11"/>
  <c r="M134" i="11"/>
  <c r="L134" i="11"/>
  <c r="X133" i="11"/>
  <c r="W133" i="11"/>
  <c r="V133" i="11"/>
  <c r="U133" i="11"/>
  <c r="T133" i="11"/>
  <c r="S133" i="11"/>
  <c r="R133" i="11"/>
  <c r="N133" i="11"/>
  <c r="M133" i="11"/>
  <c r="L133" i="11"/>
  <c r="X132" i="11"/>
  <c r="W132" i="11"/>
  <c r="V132" i="11"/>
  <c r="U132" i="11"/>
  <c r="T132" i="11"/>
  <c r="S132" i="11"/>
  <c r="R132" i="11"/>
  <c r="N132" i="11"/>
  <c r="M132" i="11"/>
  <c r="L132" i="11"/>
  <c r="X131" i="11"/>
  <c r="W131" i="11"/>
  <c r="V131" i="11"/>
  <c r="U131" i="11"/>
  <c r="T131" i="11"/>
  <c r="S131" i="11"/>
  <c r="R131" i="11"/>
  <c r="N131" i="11"/>
  <c r="M131" i="11"/>
  <c r="L131" i="11"/>
  <c r="X130" i="11"/>
  <c r="W130" i="11"/>
  <c r="V130" i="11"/>
  <c r="U130" i="11"/>
  <c r="T130" i="11"/>
  <c r="S130" i="11"/>
  <c r="R130" i="11"/>
  <c r="N130" i="11"/>
  <c r="M130" i="11"/>
  <c r="L130" i="11"/>
  <c r="X129" i="11"/>
  <c r="W129" i="11"/>
  <c r="V129" i="11"/>
  <c r="U129" i="11"/>
  <c r="T129" i="11"/>
  <c r="S129" i="11"/>
  <c r="R129" i="11"/>
  <c r="N129" i="11"/>
  <c r="M129" i="11"/>
  <c r="L129" i="11"/>
  <c r="X128" i="11"/>
  <c r="W128" i="11"/>
  <c r="V128" i="11"/>
  <c r="U128" i="11"/>
  <c r="T128" i="11"/>
  <c r="S128" i="11"/>
  <c r="R128" i="11"/>
  <c r="N128" i="11"/>
  <c r="M128" i="11"/>
  <c r="L128" i="11"/>
  <c r="X127" i="11"/>
  <c r="W127" i="11"/>
  <c r="V127" i="11"/>
  <c r="U127" i="11"/>
  <c r="T127" i="11"/>
  <c r="S127" i="11"/>
  <c r="R127" i="11"/>
  <c r="N127" i="11"/>
  <c r="M127" i="11"/>
  <c r="L127" i="11"/>
  <c r="X126" i="11"/>
  <c r="W126" i="11"/>
  <c r="V126" i="11"/>
  <c r="U126" i="11"/>
  <c r="T126" i="11"/>
  <c r="S126" i="11"/>
  <c r="R126" i="11"/>
  <c r="N126" i="11"/>
  <c r="M126" i="11"/>
  <c r="L126" i="11"/>
  <c r="X125" i="11"/>
  <c r="W125" i="11"/>
  <c r="V125" i="11"/>
  <c r="U125" i="11"/>
  <c r="T125" i="11"/>
  <c r="S125" i="11"/>
  <c r="R125" i="11"/>
  <c r="N125" i="11"/>
  <c r="M125" i="11"/>
  <c r="L125" i="11"/>
  <c r="X124" i="11"/>
  <c r="W124" i="11"/>
  <c r="V124" i="11"/>
  <c r="U124" i="11"/>
  <c r="T124" i="11"/>
  <c r="S124" i="11"/>
  <c r="R124" i="11"/>
  <c r="N124" i="11"/>
  <c r="M124" i="11"/>
  <c r="L124" i="11"/>
  <c r="X123" i="11"/>
  <c r="W123" i="11"/>
  <c r="V123" i="11"/>
  <c r="U123" i="11"/>
  <c r="T123" i="11"/>
  <c r="S123" i="11"/>
  <c r="R123" i="11"/>
  <c r="N123" i="11"/>
  <c r="M123" i="11"/>
  <c r="L123" i="11"/>
  <c r="X122" i="11"/>
  <c r="W122" i="11"/>
  <c r="V122" i="11"/>
  <c r="U122" i="11"/>
  <c r="T122" i="11"/>
  <c r="S122" i="11"/>
  <c r="R122" i="11"/>
  <c r="N122" i="11"/>
  <c r="M122" i="11"/>
  <c r="L122" i="11"/>
  <c r="X121" i="11"/>
  <c r="W121" i="11"/>
  <c r="V121" i="11"/>
  <c r="U121" i="11"/>
  <c r="T121" i="11"/>
  <c r="S121" i="11"/>
  <c r="R121" i="11"/>
  <c r="N121" i="11"/>
  <c r="M121" i="11"/>
  <c r="L121" i="11"/>
  <c r="X120" i="11"/>
  <c r="W120" i="11"/>
  <c r="V120" i="11"/>
  <c r="U120" i="11"/>
  <c r="T120" i="11"/>
  <c r="S120" i="11"/>
  <c r="R120" i="11"/>
  <c r="N120" i="11"/>
  <c r="M120" i="11"/>
  <c r="L120" i="11"/>
  <c r="X119" i="11"/>
  <c r="W119" i="11"/>
  <c r="V119" i="11"/>
  <c r="U119" i="11"/>
  <c r="T119" i="11"/>
  <c r="S119" i="11"/>
  <c r="R119" i="11"/>
  <c r="N119" i="11"/>
  <c r="M119" i="11"/>
  <c r="L119" i="11"/>
  <c r="X118" i="11"/>
  <c r="W118" i="11"/>
  <c r="V118" i="11"/>
  <c r="U118" i="11"/>
  <c r="T118" i="11"/>
  <c r="S118" i="11"/>
  <c r="R118" i="11"/>
  <c r="N118" i="11"/>
  <c r="M118" i="11"/>
  <c r="L118" i="11"/>
  <c r="X117" i="11"/>
  <c r="W117" i="11"/>
  <c r="V117" i="11"/>
  <c r="U117" i="11"/>
  <c r="T117" i="11"/>
  <c r="S117" i="11"/>
  <c r="R117" i="11"/>
  <c r="N117" i="11"/>
  <c r="M117" i="11"/>
  <c r="L117" i="11"/>
  <c r="X116" i="11"/>
  <c r="W116" i="11"/>
  <c r="V116" i="11"/>
  <c r="U116" i="11"/>
  <c r="T116" i="11"/>
  <c r="S116" i="11"/>
  <c r="R116" i="11"/>
  <c r="N116" i="11"/>
  <c r="M116" i="11"/>
  <c r="L116" i="11"/>
  <c r="X115" i="11"/>
  <c r="W115" i="11"/>
  <c r="V115" i="11"/>
  <c r="U115" i="11"/>
  <c r="T115" i="11"/>
  <c r="S115" i="11"/>
  <c r="R115" i="11"/>
  <c r="N115" i="11"/>
  <c r="M115" i="11"/>
  <c r="L115" i="11"/>
  <c r="X114" i="11"/>
  <c r="W114" i="11"/>
  <c r="V114" i="11"/>
  <c r="U114" i="11"/>
  <c r="T114" i="11"/>
  <c r="S114" i="11"/>
  <c r="R114" i="11"/>
  <c r="N114" i="11"/>
  <c r="M114" i="11"/>
  <c r="L114" i="11"/>
  <c r="X113" i="11"/>
  <c r="W113" i="11"/>
  <c r="V113" i="11"/>
  <c r="U113" i="11"/>
  <c r="T113" i="11"/>
  <c r="S113" i="11"/>
  <c r="R113" i="11"/>
  <c r="N113" i="11"/>
  <c r="M113" i="11"/>
  <c r="L113" i="11"/>
  <c r="X112" i="11"/>
  <c r="W112" i="11"/>
  <c r="V112" i="11"/>
  <c r="U112" i="11"/>
  <c r="T112" i="11"/>
  <c r="S112" i="11"/>
  <c r="R112" i="11"/>
  <c r="N112" i="11"/>
  <c r="M112" i="11"/>
  <c r="L112" i="11"/>
  <c r="X111" i="11"/>
  <c r="W111" i="11"/>
  <c r="V111" i="11"/>
  <c r="U111" i="11"/>
  <c r="T111" i="11"/>
  <c r="S111" i="11"/>
  <c r="R111" i="11"/>
  <c r="N111" i="11"/>
  <c r="M111" i="11"/>
  <c r="L111" i="11"/>
  <c r="X110" i="11"/>
  <c r="W110" i="11"/>
  <c r="V110" i="11"/>
  <c r="U110" i="11"/>
  <c r="T110" i="11"/>
  <c r="S110" i="11"/>
  <c r="R110" i="11"/>
  <c r="N110" i="11"/>
  <c r="M110" i="11"/>
  <c r="L110" i="11"/>
  <c r="X109" i="11"/>
  <c r="W109" i="11"/>
  <c r="V109" i="11"/>
  <c r="U109" i="11"/>
  <c r="T109" i="11"/>
  <c r="S109" i="11"/>
  <c r="R109" i="11"/>
  <c r="N109" i="11"/>
  <c r="M109" i="11"/>
  <c r="L109" i="11"/>
  <c r="X108" i="11"/>
  <c r="W108" i="11"/>
  <c r="V108" i="11"/>
  <c r="U108" i="11"/>
  <c r="T108" i="11"/>
  <c r="S108" i="11"/>
  <c r="R108" i="11"/>
  <c r="N108" i="11"/>
  <c r="M108" i="11"/>
  <c r="L108" i="11"/>
  <c r="X107" i="11"/>
  <c r="W107" i="11"/>
  <c r="V107" i="11"/>
  <c r="U107" i="11"/>
  <c r="T107" i="11"/>
  <c r="S107" i="11"/>
  <c r="R107" i="11"/>
  <c r="N107" i="11"/>
  <c r="M107" i="11"/>
  <c r="L107" i="11"/>
  <c r="X106" i="11"/>
  <c r="W106" i="11"/>
  <c r="V106" i="11"/>
  <c r="U106" i="11"/>
  <c r="T106" i="11"/>
  <c r="S106" i="11"/>
  <c r="R106" i="11"/>
  <c r="N106" i="11"/>
  <c r="M106" i="11"/>
  <c r="L106" i="11"/>
  <c r="X105" i="11"/>
  <c r="W105" i="11"/>
  <c r="V105" i="11"/>
  <c r="U105" i="11"/>
  <c r="T105" i="11"/>
  <c r="S105" i="11"/>
  <c r="R105" i="11"/>
  <c r="N105" i="11"/>
  <c r="M105" i="11"/>
  <c r="L105" i="11"/>
  <c r="X104" i="11"/>
  <c r="W104" i="11"/>
  <c r="V104" i="11"/>
  <c r="U104" i="11"/>
  <c r="T104" i="11"/>
  <c r="S104" i="11"/>
  <c r="R104" i="11"/>
  <c r="N104" i="11"/>
  <c r="M104" i="11"/>
  <c r="L104" i="11"/>
  <c r="X103" i="11"/>
  <c r="W103" i="11"/>
  <c r="V103" i="11"/>
  <c r="U103" i="11"/>
  <c r="T103" i="11"/>
  <c r="S103" i="11"/>
  <c r="R103" i="11"/>
  <c r="N103" i="11"/>
  <c r="M103" i="11"/>
  <c r="L103" i="11"/>
  <c r="X102" i="11"/>
  <c r="W102" i="11"/>
  <c r="V102" i="11"/>
  <c r="U102" i="11"/>
  <c r="T102" i="11"/>
  <c r="S102" i="11"/>
  <c r="R102" i="11"/>
  <c r="N102" i="11"/>
  <c r="M102" i="11"/>
  <c r="L102" i="11"/>
  <c r="X101" i="11"/>
  <c r="W101" i="11"/>
  <c r="V101" i="11"/>
  <c r="U101" i="11"/>
  <c r="T101" i="11"/>
  <c r="S101" i="11"/>
  <c r="R101" i="11"/>
  <c r="N101" i="11"/>
  <c r="M101" i="11"/>
  <c r="L101" i="11"/>
  <c r="X100" i="11"/>
  <c r="W100" i="11"/>
  <c r="V100" i="11"/>
  <c r="U100" i="11"/>
  <c r="T100" i="11"/>
  <c r="S100" i="11"/>
  <c r="R100" i="11"/>
  <c r="N100" i="11"/>
  <c r="M100" i="11"/>
  <c r="L100" i="11"/>
  <c r="X99" i="11"/>
  <c r="W99" i="11"/>
  <c r="V99" i="11"/>
  <c r="U99" i="11"/>
  <c r="T99" i="11"/>
  <c r="S99" i="11"/>
  <c r="R99" i="11"/>
  <c r="N99" i="11"/>
  <c r="M99" i="11"/>
  <c r="L99" i="11"/>
  <c r="X98" i="11"/>
  <c r="W98" i="11"/>
  <c r="V98" i="11"/>
  <c r="U98" i="11"/>
  <c r="T98" i="11"/>
  <c r="S98" i="11"/>
  <c r="R98" i="11"/>
  <c r="N98" i="11"/>
  <c r="M98" i="11"/>
  <c r="L98" i="11"/>
  <c r="X97" i="11"/>
  <c r="W97" i="11"/>
  <c r="V97" i="11"/>
  <c r="U97" i="11"/>
  <c r="T97" i="11"/>
  <c r="S97" i="11"/>
  <c r="R97" i="11"/>
  <c r="N97" i="11"/>
  <c r="M97" i="11"/>
  <c r="L97" i="11"/>
  <c r="X96" i="11"/>
  <c r="W96" i="11"/>
  <c r="V96" i="11"/>
  <c r="U96" i="11"/>
  <c r="T96" i="11"/>
  <c r="S96" i="11"/>
  <c r="R96" i="11"/>
  <c r="N96" i="11"/>
  <c r="M96" i="11"/>
  <c r="L96" i="11"/>
  <c r="X95" i="11"/>
  <c r="W95" i="11"/>
  <c r="V95" i="11"/>
  <c r="U95" i="11"/>
  <c r="T95" i="11"/>
  <c r="S95" i="11"/>
  <c r="R95" i="11"/>
  <c r="N95" i="11"/>
  <c r="M95" i="11"/>
  <c r="L95" i="11"/>
  <c r="X94" i="11"/>
  <c r="W94" i="11"/>
  <c r="V94" i="11"/>
  <c r="U94" i="11"/>
  <c r="T94" i="11"/>
  <c r="S94" i="11"/>
  <c r="R94" i="11"/>
  <c r="N94" i="11"/>
  <c r="M94" i="11"/>
  <c r="L94" i="11"/>
  <c r="X93" i="11"/>
  <c r="W93" i="11"/>
  <c r="V93" i="11"/>
  <c r="U93" i="11"/>
  <c r="T93" i="11"/>
  <c r="S93" i="11"/>
  <c r="R93" i="11"/>
  <c r="N93" i="11"/>
  <c r="M93" i="11"/>
  <c r="L93" i="11"/>
  <c r="X92" i="11"/>
  <c r="W92" i="11"/>
  <c r="V92" i="11"/>
  <c r="U92" i="11"/>
  <c r="T92" i="11"/>
  <c r="S92" i="11"/>
  <c r="R92" i="11"/>
  <c r="N92" i="11"/>
  <c r="M92" i="11"/>
  <c r="L92" i="11"/>
  <c r="X91" i="11"/>
  <c r="W91" i="11"/>
  <c r="V91" i="11"/>
  <c r="U91" i="11"/>
  <c r="T91" i="11"/>
  <c r="S91" i="11"/>
  <c r="R91" i="11"/>
  <c r="N91" i="11"/>
  <c r="M91" i="11"/>
  <c r="L91" i="11"/>
  <c r="X90" i="11"/>
  <c r="W90" i="11"/>
  <c r="V90" i="11"/>
  <c r="U90" i="11"/>
  <c r="T90" i="11"/>
  <c r="S90" i="11"/>
  <c r="R90" i="11"/>
  <c r="N90" i="11"/>
  <c r="M90" i="11"/>
  <c r="L90" i="11"/>
  <c r="X89" i="11"/>
  <c r="W89" i="11"/>
  <c r="V89" i="11"/>
  <c r="U89" i="11"/>
  <c r="T89" i="11"/>
  <c r="S89" i="11"/>
  <c r="R89" i="11"/>
  <c r="N89" i="11"/>
  <c r="M89" i="11"/>
  <c r="L89" i="11"/>
  <c r="X88" i="11"/>
  <c r="W88" i="11"/>
  <c r="V88" i="11"/>
  <c r="U88" i="11"/>
  <c r="T88" i="11"/>
  <c r="S88" i="11"/>
  <c r="R88" i="11"/>
  <c r="N88" i="11"/>
  <c r="M88" i="11"/>
  <c r="L88" i="11"/>
  <c r="X87" i="11"/>
  <c r="W87" i="11"/>
  <c r="V87" i="11"/>
  <c r="U87" i="11"/>
  <c r="T87" i="11"/>
  <c r="S87" i="11"/>
  <c r="R87" i="11"/>
  <c r="N87" i="11"/>
  <c r="M87" i="11"/>
  <c r="L87" i="11"/>
  <c r="X86" i="11"/>
  <c r="W86" i="11"/>
  <c r="V86" i="11"/>
  <c r="U86" i="11"/>
  <c r="T86" i="11"/>
  <c r="S86" i="11"/>
  <c r="R86" i="11"/>
  <c r="N86" i="11"/>
  <c r="M86" i="11"/>
  <c r="L86" i="11"/>
  <c r="X85" i="11"/>
  <c r="W85" i="11"/>
  <c r="V85" i="11"/>
  <c r="U85" i="11"/>
  <c r="T85" i="11"/>
  <c r="S85" i="11"/>
  <c r="R85" i="11"/>
  <c r="N85" i="11"/>
  <c r="M85" i="11"/>
  <c r="L85" i="11"/>
  <c r="X84" i="11"/>
  <c r="W84" i="11"/>
  <c r="V84" i="11"/>
  <c r="U84" i="11"/>
  <c r="T84" i="11"/>
  <c r="S84" i="11"/>
  <c r="R84" i="11"/>
  <c r="N84" i="11"/>
  <c r="M84" i="11"/>
  <c r="L84" i="11"/>
  <c r="X83" i="11"/>
  <c r="W83" i="11"/>
  <c r="V83" i="11"/>
  <c r="U83" i="11"/>
  <c r="T83" i="11"/>
  <c r="S83" i="11"/>
  <c r="R83" i="11"/>
  <c r="N83" i="11"/>
  <c r="M83" i="11"/>
  <c r="L83" i="11"/>
  <c r="X82" i="11"/>
  <c r="W82" i="11"/>
  <c r="V82" i="11"/>
  <c r="U82" i="11"/>
  <c r="T82" i="11"/>
  <c r="S82" i="11"/>
  <c r="R82" i="11"/>
  <c r="N82" i="11"/>
  <c r="M82" i="11"/>
  <c r="L82" i="11"/>
  <c r="X81" i="11"/>
  <c r="W81" i="11"/>
  <c r="V81" i="11"/>
  <c r="U81" i="11"/>
  <c r="T81" i="11"/>
  <c r="S81" i="11"/>
  <c r="R81" i="11"/>
  <c r="N81" i="11"/>
  <c r="M81" i="11"/>
  <c r="L81" i="11"/>
  <c r="X80" i="11"/>
  <c r="W80" i="11"/>
  <c r="V80" i="11"/>
  <c r="U80" i="11"/>
  <c r="T80" i="11"/>
  <c r="S80" i="11"/>
  <c r="R80" i="11"/>
  <c r="N80" i="11"/>
  <c r="M80" i="11"/>
  <c r="L80" i="11"/>
  <c r="X79" i="11"/>
  <c r="W79" i="11"/>
  <c r="V79" i="11"/>
  <c r="U79" i="11"/>
  <c r="T79" i="11"/>
  <c r="S79" i="11"/>
  <c r="R79" i="11"/>
  <c r="N79" i="11"/>
  <c r="M79" i="11"/>
  <c r="L79" i="11"/>
  <c r="X78" i="11"/>
  <c r="W78" i="11"/>
  <c r="V78" i="11"/>
  <c r="U78" i="11"/>
  <c r="T78" i="11"/>
  <c r="S78" i="11"/>
  <c r="R78" i="11"/>
  <c r="N78" i="11"/>
  <c r="M78" i="11"/>
  <c r="L78" i="11"/>
  <c r="X77" i="11"/>
  <c r="W77" i="11"/>
  <c r="V77" i="11"/>
  <c r="U77" i="11"/>
  <c r="T77" i="11"/>
  <c r="S77" i="11"/>
  <c r="R77" i="11"/>
  <c r="N77" i="11"/>
  <c r="M77" i="11"/>
  <c r="L77" i="11"/>
  <c r="X76" i="11"/>
  <c r="W76" i="11"/>
  <c r="V76" i="11"/>
  <c r="U76" i="11"/>
  <c r="T76" i="11"/>
  <c r="S76" i="11"/>
  <c r="R76" i="11"/>
  <c r="N76" i="11"/>
  <c r="M76" i="11"/>
  <c r="L76" i="11"/>
  <c r="X75" i="11"/>
  <c r="W75" i="11"/>
  <c r="V75" i="11"/>
  <c r="U75" i="11"/>
  <c r="T75" i="11"/>
  <c r="S75" i="11"/>
  <c r="R75" i="11"/>
  <c r="N75" i="11"/>
  <c r="M75" i="11"/>
  <c r="L75" i="11"/>
  <c r="X74" i="11"/>
  <c r="W74" i="11"/>
  <c r="V74" i="11"/>
  <c r="U74" i="11"/>
  <c r="T74" i="11"/>
  <c r="S74" i="11"/>
  <c r="R74" i="11"/>
  <c r="N74" i="11"/>
  <c r="M74" i="11"/>
  <c r="L74" i="11"/>
  <c r="X73" i="11"/>
  <c r="W73" i="11"/>
  <c r="V73" i="11"/>
  <c r="U73" i="11"/>
  <c r="T73" i="11"/>
  <c r="S73" i="11"/>
  <c r="R73" i="11"/>
  <c r="N73" i="11"/>
  <c r="M73" i="11"/>
  <c r="L73" i="11"/>
  <c r="X72" i="11"/>
  <c r="W72" i="11"/>
  <c r="V72" i="11"/>
  <c r="U72" i="11"/>
  <c r="T72" i="11"/>
  <c r="S72" i="11"/>
  <c r="R72" i="11"/>
  <c r="N72" i="11"/>
  <c r="M72" i="11"/>
  <c r="L72" i="11"/>
  <c r="X71" i="11"/>
  <c r="W71" i="11"/>
  <c r="V71" i="11"/>
  <c r="U71" i="11"/>
  <c r="T71" i="11"/>
  <c r="S71" i="11"/>
  <c r="R71" i="11"/>
  <c r="N71" i="11"/>
  <c r="M71" i="11"/>
  <c r="L71" i="11"/>
  <c r="X70" i="11"/>
  <c r="W70" i="11"/>
  <c r="V70" i="11"/>
  <c r="U70" i="11"/>
  <c r="T70" i="11"/>
  <c r="S70" i="11"/>
  <c r="R70" i="11"/>
  <c r="N70" i="11"/>
  <c r="M70" i="11"/>
  <c r="L70" i="11"/>
  <c r="X69" i="11"/>
  <c r="W69" i="11"/>
  <c r="V69" i="11"/>
  <c r="U69" i="11"/>
  <c r="T69" i="11"/>
  <c r="S69" i="11"/>
  <c r="R69" i="11"/>
  <c r="N69" i="11"/>
  <c r="M69" i="11"/>
  <c r="L69" i="11"/>
  <c r="X68" i="11"/>
  <c r="W68" i="11"/>
  <c r="V68" i="11"/>
  <c r="U68" i="11"/>
  <c r="T68" i="11"/>
  <c r="S68" i="11"/>
  <c r="R68" i="11"/>
  <c r="N68" i="11"/>
  <c r="M68" i="11"/>
  <c r="L68" i="11"/>
  <c r="X67" i="11"/>
  <c r="W67" i="11"/>
  <c r="V67" i="11"/>
  <c r="U67" i="11"/>
  <c r="T67" i="11"/>
  <c r="S67" i="11"/>
  <c r="R67" i="11"/>
  <c r="N67" i="11"/>
  <c r="M67" i="11"/>
  <c r="L67" i="11"/>
  <c r="X66" i="11"/>
  <c r="W66" i="11"/>
  <c r="V66" i="11"/>
  <c r="U66" i="11"/>
  <c r="T66" i="11"/>
  <c r="S66" i="11"/>
  <c r="R66" i="11"/>
  <c r="N66" i="11"/>
  <c r="M66" i="11"/>
  <c r="L66" i="11"/>
  <c r="X65" i="11"/>
  <c r="W65" i="11"/>
  <c r="V65" i="11"/>
  <c r="U65" i="11"/>
  <c r="T65" i="11"/>
  <c r="S65" i="11"/>
  <c r="R65" i="11"/>
  <c r="N65" i="11"/>
  <c r="M65" i="11"/>
  <c r="L65" i="11"/>
  <c r="X64" i="11"/>
  <c r="W64" i="11"/>
  <c r="V64" i="11"/>
  <c r="U64" i="11"/>
  <c r="T64" i="11"/>
  <c r="S64" i="11"/>
  <c r="R64" i="11"/>
  <c r="N64" i="11"/>
  <c r="M64" i="11"/>
  <c r="L64" i="11"/>
  <c r="X63" i="11"/>
  <c r="W63" i="11"/>
  <c r="V63" i="11"/>
  <c r="U63" i="11"/>
  <c r="T63" i="11"/>
  <c r="S63" i="11"/>
  <c r="R63" i="11"/>
  <c r="N63" i="11"/>
  <c r="M63" i="11"/>
  <c r="L63" i="11"/>
  <c r="X62" i="11"/>
  <c r="W62" i="11"/>
  <c r="V62" i="11"/>
  <c r="U62" i="11"/>
  <c r="T62" i="11"/>
  <c r="S62" i="11"/>
  <c r="R62" i="11"/>
  <c r="N62" i="11"/>
  <c r="M62" i="11"/>
  <c r="L62" i="11"/>
  <c r="X61" i="11"/>
  <c r="W61" i="11"/>
  <c r="V61" i="11"/>
  <c r="U61" i="11"/>
  <c r="T61" i="11"/>
  <c r="S61" i="11"/>
  <c r="R61" i="11"/>
  <c r="N61" i="11"/>
  <c r="M61" i="11"/>
  <c r="L61" i="11"/>
  <c r="X60" i="11"/>
  <c r="W60" i="11"/>
  <c r="V60" i="11"/>
  <c r="R60" i="11"/>
  <c r="N60" i="11"/>
  <c r="M60" i="11"/>
  <c r="L60" i="11"/>
  <c r="X59" i="11"/>
  <c r="W59" i="11"/>
  <c r="V59" i="11"/>
  <c r="U59" i="11"/>
  <c r="T59" i="11"/>
  <c r="S59" i="11"/>
  <c r="R59" i="11"/>
  <c r="N59" i="11"/>
  <c r="M59" i="11"/>
  <c r="L59" i="11"/>
  <c r="X58" i="11"/>
  <c r="W58" i="11"/>
  <c r="V58" i="11"/>
  <c r="U58" i="11"/>
  <c r="T58" i="11"/>
  <c r="S58" i="11"/>
  <c r="R58" i="11"/>
  <c r="N58" i="11"/>
  <c r="M58" i="11"/>
  <c r="L58" i="11"/>
  <c r="X57" i="11"/>
  <c r="W57" i="11"/>
  <c r="V57" i="11"/>
  <c r="U57" i="11"/>
  <c r="T57" i="11"/>
  <c r="S57" i="11"/>
  <c r="R57" i="11"/>
  <c r="N57" i="11"/>
  <c r="M57" i="11"/>
  <c r="L57" i="11"/>
  <c r="X56" i="11"/>
  <c r="W56" i="11"/>
  <c r="V56" i="11"/>
  <c r="U56" i="11"/>
  <c r="T56" i="11"/>
  <c r="S56" i="11"/>
  <c r="R56" i="11"/>
  <c r="N56" i="11"/>
  <c r="M56" i="11"/>
  <c r="L56" i="11"/>
  <c r="X55" i="11"/>
  <c r="W55" i="11"/>
  <c r="V55" i="11"/>
  <c r="R55" i="11"/>
  <c r="N55" i="11"/>
  <c r="M55" i="11"/>
  <c r="L55" i="11"/>
  <c r="X54" i="11"/>
  <c r="W54" i="11"/>
  <c r="V54" i="11"/>
  <c r="U54" i="11"/>
  <c r="T54" i="11"/>
  <c r="S54" i="11"/>
  <c r="R54" i="11"/>
  <c r="N54" i="11"/>
  <c r="M54" i="11"/>
  <c r="L54" i="11"/>
  <c r="X53" i="11"/>
  <c r="W53" i="11"/>
  <c r="V53" i="11"/>
  <c r="U53" i="11"/>
  <c r="T53" i="11"/>
  <c r="S53" i="11"/>
  <c r="R53" i="11"/>
  <c r="N53" i="11"/>
  <c r="M53" i="11"/>
  <c r="L53" i="11"/>
  <c r="X52" i="11"/>
  <c r="W52" i="11"/>
  <c r="V52" i="11"/>
  <c r="U52" i="11"/>
  <c r="T52" i="11"/>
  <c r="S52" i="11"/>
  <c r="R52" i="11"/>
  <c r="N52" i="11"/>
  <c r="M52" i="11"/>
  <c r="L52" i="11"/>
  <c r="X51" i="11"/>
  <c r="W51" i="11"/>
  <c r="V51" i="11"/>
  <c r="U51" i="11"/>
  <c r="T51" i="11"/>
  <c r="S51" i="11"/>
  <c r="R51" i="11"/>
  <c r="N51" i="11"/>
  <c r="M51" i="11"/>
  <c r="L51" i="11"/>
  <c r="X50" i="11"/>
  <c r="W50" i="11"/>
  <c r="V50" i="11"/>
  <c r="U50" i="11"/>
  <c r="T50" i="11"/>
  <c r="S50" i="11"/>
  <c r="R50" i="11"/>
  <c r="N50" i="11"/>
  <c r="M50" i="11"/>
  <c r="L50" i="11"/>
  <c r="X49" i="11"/>
  <c r="W49" i="11"/>
  <c r="V49" i="11"/>
  <c r="U49" i="11"/>
  <c r="T49" i="11"/>
  <c r="S49" i="11"/>
  <c r="R49" i="11"/>
  <c r="N49" i="11"/>
  <c r="M49" i="11"/>
  <c r="L49" i="11"/>
  <c r="X48" i="11"/>
  <c r="W48" i="11"/>
  <c r="V48" i="11"/>
  <c r="U48" i="11"/>
  <c r="T48" i="11"/>
  <c r="S48" i="11"/>
  <c r="R48" i="11"/>
  <c r="N48" i="11"/>
  <c r="M48" i="11"/>
  <c r="L48" i="11"/>
  <c r="X47" i="11"/>
  <c r="W47" i="11"/>
  <c r="V47" i="11"/>
  <c r="U47" i="11"/>
  <c r="T47" i="11"/>
  <c r="S47" i="11"/>
  <c r="R47" i="11"/>
  <c r="N47" i="11"/>
  <c r="M47" i="11"/>
  <c r="L47" i="11"/>
  <c r="X46" i="11"/>
  <c r="W46" i="11"/>
  <c r="V46" i="11"/>
  <c r="U46" i="11"/>
  <c r="T46" i="11"/>
  <c r="S46" i="11"/>
  <c r="R46" i="11"/>
  <c r="N46" i="11"/>
  <c r="M46" i="11"/>
  <c r="L46" i="11"/>
  <c r="X45" i="11"/>
  <c r="W45" i="11"/>
  <c r="V45" i="11"/>
  <c r="U45" i="11"/>
  <c r="T45" i="11"/>
  <c r="S45" i="11"/>
  <c r="R45" i="11"/>
  <c r="N45" i="11"/>
  <c r="M45" i="11"/>
  <c r="L45" i="11"/>
  <c r="X44" i="11"/>
  <c r="W44" i="11"/>
  <c r="V44" i="11"/>
  <c r="U44" i="11"/>
  <c r="T44" i="11"/>
  <c r="S44" i="11"/>
  <c r="R44" i="11"/>
  <c r="N44" i="11"/>
  <c r="M44" i="11"/>
  <c r="L44" i="11"/>
  <c r="X43" i="11"/>
  <c r="W43" i="11"/>
  <c r="V43" i="11"/>
  <c r="U43" i="11"/>
  <c r="T43" i="11"/>
  <c r="S43" i="11"/>
  <c r="R43" i="11"/>
  <c r="N43" i="11"/>
  <c r="M43" i="11"/>
  <c r="L43" i="11"/>
  <c r="X42" i="11"/>
  <c r="W42" i="11"/>
  <c r="V42" i="11"/>
  <c r="U42" i="11"/>
  <c r="T42" i="11"/>
  <c r="S42" i="11"/>
  <c r="R42" i="11"/>
  <c r="N42" i="11"/>
  <c r="M42" i="11"/>
  <c r="L42" i="11"/>
  <c r="U41" i="11"/>
  <c r="T41" i="11"/>
  <c r="S41" i="11"/>
  <c r="R41" i="11"/>
  <c r="N41" i="11"/>
  <c r="Q41" i="11" s="1"/>
  <c r="M41" i="11"/>
  <c r="P53" i="11" s="1"/>
  <c r="L41" i="11"/>
  <c r="O54" i="11" s="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R16" i="11"/>
  <c r="N16" i="11"/>
  <c r="M16" i="11"/>
  <c r="L16" i="11"/>
  <c r="K16" i="11"/>
  <c r="W7" i="11"/>
  <c r="Y2" i="11"/>
  <c r="X153" i="9"/>
  <c r="W153" i="9"/>
  <c r="V153" i="9"/>
  <c r="U153" i="9"/>
  <c r="T153" i="9"/>
  <c r="S153" i="9"/>
  <c r="R153" i="9"/>
  <c r="N153" i="9"/>
  <c r="M153" i="9"/>
  <c r="L153" i="9"/>
  <c r="X152" i="9"/>
  <c r="W152" i="9"/>
  <c r="V152" i="9"/>
  <c r="U152" i="9"/>
  <c r="T152" i="9"/>
  <c r="S152" i="9"/>
  <c r="R152" i="9"/>
  <c r="N152" i="9"/>
  <c r="M152" i="9"/>
  <c r="L152" i="9"/>
  <c r="X151" i="9"/>
  <c r="W151" i="9"/>
  <c r="V151" i="9"/>
  <c r="U151" i="9"/>
  <c r="T151" i="9"/>
  <c r="S151" i="9"/>
  <c r="R151" i="9"/>
  <c r="N151" i="9"/>
  <c r="M151" i="9"/>
  <c r="L151" i="9"/>
  <c r="X150" i="9"/>
  <c r="W150" i="9"/>
  <c r="V150" i="9"/>
  <c r="U150" i="9"/>
  <c r="T150" i="9"/>
  <c r="S150" i="9"/>
  <c r="R150" i="9"/>
  <c r="N150" i="9"/>
  <c r="M150" i="9"/>
  <c r="L150" i="9"/>
  <c r="X149" i="9"/>
  <c r="W149" i="9"/>
  <c r="V149" i="9"/>
  <c r="U149" i="9"/>
  <c r="T149" i="9"/>
  <c r="S149" i="9"/>
  <c r="R149" i="9"/>
  <c r="N149" i="9"/>
  <c r="M149" i="9"/>
  <c r="L149" i="9"/>
  <c r="X148" i="9"/>
  <c r="W148" i="9"/>
  <c r="V148" i="9"/>
  <c r="U148" i="9"/>
  <c r="T148" i="9"/>
  <c r="S148" i="9"/>
  <c r="R148" i="9"/>
  <c r="N148" i="9"/>
  <c r="M148" i="9"/>
  <c r="L148" i="9"/>
  <c r="X147" i="9"/>
  <c r="W147" i="9"/>
  <c r="V147" i="9"/>
  <c r="U147" i="9"/>
  <c r="T147" i="9"/>
  <c r="S147" i="9"/>
  <c r="R147" i="9"/>
  <c r="N147" i="9"/>
  <c r="M147" i="9"/>
  <c r="L147" i="9"/>
  <c r="X146" i="9"/>
  <c r="W146" i="9"/>
  <c r="V146" i="9"/>
  <c r="U146" i="9"/>
  <c r="T146" i="9"/>
  <c r="S146" i="9"/>
  <c r="R146" i="9"/>
  <c r="N146" i="9"/>
  <c r="M146" i="9"/>
  <c r="L146" i="9"/>
  <c r="X145" i="9"/>
  <c r="W145" i="9"/>
  <c r="V145" i="9"/>
  <c r="U145" i="9"/>
  <c r="T145" i="9"/>
  <c r="S145" i="9"/>
  <c r="R145" i="9"/>
  <c r="N145" i="9"/>
  <c r="M145" i="9"/>
  <c r="L145" i="9"/>
  <c r="X144" i="9"/>
  <c r="W144" i="9"/>
  <c r="V144" i="9"/>
  <c r="U144" i="9"/>
  <c r="T144" i="9"/>
  <c r="S144" i="9"/>
  <c r="R144" i="9"/>
  <c r="N144" i="9"/>
  <c r="M144" i="9"/>
  <c r="L144" i="9"/>
  <c r="X143" i="9"/>
  <c r="W143" i="9"/>
  <c r="V143" i="9"/>
  <c r="U143" i="9"/>
  <c r="T143" i="9"/>
  <c r="S143" i="9"/>
  <c r="R143" i="9"/>
  <c r="N143" i="9"/>
  <c r="M143" i="9"/>
  <c r="L143" i="9"/>
  <c r="X142" i="9"/>
  <c r="W142" i="9"/>
  <c r="V142" i="9"/>
  <c r="U142" i="9"/>
  <c r="T142" i="9"/>
  <c r="S142" i="9"/>
  <c r="R142" i="9"/>
  <c r="N142" i="9"/>
  <c r="M142" i="9"/>
  <c r="L142" i="9"/>
  <c r="X141" i="9"/>
  <c r="W141" i="9"/>
  <c r="V141" i="9"/>
  <c r="U141" i="9"/>
  <c r="T141" i="9"/>
  <c r="S141" i="9"/>
  <c r="R141" i="9"/>
  <c r="N141" i="9"/>
  <c r="M141" i="9"/>
  <c r="L141" i="9"/>
  <c r="X140" i="9"/>
  <c r="W140" i="9"/>
  <c r="V140" i="9"/>
  <c r="U140" i="9"/>
  <c r="T140" i="9"/>
  <c r="S140" i="9"/>
  <c r="R140" i="9"/>
  <c r="N140" i="9"/>
  <c r="M140" i="9"/>
  <c r="L140" i="9"/>
  <c r="X139" i="9"/>
  <c r="W139" i="9"/>
  <c r="V139" i="9"/>
  <c r="U139" i="9"/>
  <c r="T139" i="9"/>
  <c r="S139" i="9"/>
  <c r="R139" i="9"/>
  <c r="N139" i="9"/>
  <c r="M139" i="9"/>
  <c r="L139" i="9"/>
  <c r="X138" i="9"/>
  <c r="W138" i="9"/>
  <c r="V138" i="9"/>
  <c r="U138" i="9"/>
  <c r="T138" i="9"/>
  <c r="S138" i="9"/>
  <c r="R138" i="9"/>
  <c r="N138" i="9"/>
  <c r="M138" i="9"/>
  <c r="L138" i="9"/>
  <c r="X137" i="9"/>
  <c r="W137" i="9"/>
  <c r="V137" i="9"/>
  <c r="U137" i="9"/>
  <c r="T137" i="9"/>
  <c r="S137" i="9"/>
  <c r="R137" i="9"/>
  <c r="N137" i="9"/>
  <c r="M137" i="9"/>
  <c r="L137" i="9"/>
  <c r="X136" i="9"/>
  <c r="W136" i="9"/>
  <c r="V136" i="9"/>
  <c r="U136" i="9"/>
  <c r="T136" i="9"/>
  <c r="S136" i="9"/>
  <c r="R136" i="9"/>
  <c r="N136" i="9"/>
  <c r="M136" i="9"/>
  <c r="L136" i="9"/>
  <c r="X135" i="9"/>
  <c r="W135" i="9"/>
  <c r="V135" i="9"/>
  <c r="U135" i="9"/>
  <c r="T135" i="9"/>
  <c r="S135" i="9"/>
  <c r="R135" i="9"/>
  <c r="N135" i="9"/>
  <c r="M135" i="9"/>
  <c r="L135" i="9"/>
  <c r="X134" i="9"/>
  <c r="W134" i="9"/>
  <c r="V134" i="9"/>
  <c r="U134" i="9"/>
  <c r="T134" i="9"/>
  <c r="S134" i="9"/>
  <c r="R134" i="9"/>
  <c r="N134" i="9"/>
  <c r="M134" i="9"/>
  <c r="L134" i="9"/>
  <c r="X133" i="9"/>
  <c r="W133" i="9"/>
  <c r="V133" i="9"/>
  <c r="U133" i="9"/>
  <c r="T133" i="9"/>
  <c r="S133" i="9"/>
  <c r="R133" i="9"/>
  <c r="N133" i="9"/>
  <c r="M133" i="9"/>
  <c r="L133" i="9"/>
  <c r="X132" i="9"/>
  <c r="W132" i="9"/>
  <c r="V132" i="9"/>
  <c r="U132" i="9"/>
  <c r="T132" i="9"/>
  <c r="S132" i="9"/>
  <c r="R132" i="9"/>
  <c r="N132" i="9"/>
  <c r="M132" i="9"/>
  <c r="L132" i="9"/>
  <c r="X131" i="9"/>
  <c r="W131" i="9"/>
  <c r="V131" i="9"/>
  <c r="U131" i="9"/>
  <c r="T131" i="9"/>
  <c r="S131" i="9"/>
  <c r="R131" i="9"/>
  <c r="N131" i="9"/>
  <c r="M131" i="9"/>
  <c r="L131" i="9"/>
  <c r="X130" i="9"/>
  <c r="W130" i="9"/>
  <c r="V130" i="9"/>
  <c r="U130" i="9"/>
  <c r="T130" i="9"/>
  <c r="S130" i="9"/>
  <c r="R130" i="9"/>
  <c r="N130" i="9"/>
  <c r="M130" i="9"/>
  <c r="L130" i="9"/>
  <c r="X129" i="9"/>
  <c r="W129" i="9"/>
  <c r="V129" i="9"/>
  <c r="U129" i="9"/>
  <c r="T129" i="9"/>
  <c r="S129" i="9"/>
  <c r="R129" i="9"/>
  <c r="N129" i="9"/>
  <c r="M129" i="9"/>
  <c r="L129" i="9"/>
  <c r="X128" i="9"/>
  <c r="W128" i="9"/>
  <c r="V128" i="9"/>
  <c r="U128" i="9"/>
  <c r="T128" i="9"/>
  <c r="S128" i="9"/>
  <c r="R128" i="9"/>
  <c r="N128" i="9"/>
  <c r="M128" i="9"/>
  <c r="L128" i="9"/>
  <c r="X127" i="9"/>
  <c r="W127" i="9"/>
  <c r="V127" i="9"/>
  <c r="U127" i="9"/>
  <c r="T127" i="9"/>
  <c r="S127" i="9"/>
  <c r="R127" i="9"/>
  <c r="N127" i="9"/>
  <c r="M127" i="9"/>
  <c r="L127" i="9"/>
  <c r="X126" i="9"/>
  <c r="W126" i="9"/>
  <c r="V126" i="9"/>
  <c r="U126" i="9"/>
  <c r="T126" i="9"/>
  <c r="S126" i="9"/>
  <c r="R126" i="9"/>
  <c r="N126" i="9"/>
  <c r="M126" i="9"/>
  <c r="L126" i="9"/>
  <c r="X125" i="9"/>
  <c r="W125" i="9"/>
  <c r="V125" i="9"/>
  <c r="U125" i="9"/>
  <c r="T125" i="9"/>
  <c r="S125" i="9"/>
  <c r="R125" i="9"/>
  <c r="N125" i="9"/>
  <c r="M125" i="9"/>
  <c r="L125" i="9"/>
  <c r="X124" i="9"/>
  <c r="W124" i="9"/>
  <c r="V124" i="9"/>
  <c r="U124" i="9"/>
  <c r="T124" i="9"/>
  <c r="S124" i="9"/>
  <c r="R124" i="9"/>
  <c r="N124" i="9"/>
  <c r="M124" i="9"/>
  <c r="L124" i="9"/>
  <c r="X123" i="9"/>
  <c r="W123" i="9"/>
  <c r="V123" i="9"/>
  <c r="U123" i="9"/>
  <c r="T123" i="9"/>
  <c r="S123" i="9"/>
  <c r="R123" i="9"/>
  <c r="N123" i="9"/>
  <c r="M123" i="9"/>
  <c r="L123" i="9"/>
  <c r="X122" i="9"/>
  <c r="W122" i="9"/>
  <c r="V122" i="9"/>
  <c r="U122" i="9"/>
  <c r="T122" i="9"/>
  <c r="S122" i="9"/>
  <c r="R122" i="9"/>
  <c r="N122" i="9"/>
  <c r="M122" i="9"/>
  <c r="L122" i="9"/>
  <c r="X121" i="9"/>
  <c r="W121" i="9"/>
  <c r="V121" i="9"/>
  <c r="U121" i="9"/>
  <c r="T121" i="9"/>
  <c r="S121" i="9"/>
  <c r="R121" i="9"/>
  <c r="N121" i="9"/>
  <c r="M121" i="9"/>
  <c r="L121" i="9"/>
  <c r="X120" i="9"/>
  <c r="W120" i="9"/>
  <c r="V120" i="9"/>
  <c r="U120" i="9"/>
  <c r="T120" i="9"/>
  <c r="S120" i="9"/>
  <c r="R120" i="9"/>
  <c r="N120" i="9"/>
  <c r="M120" i="9"/>
  <c r="L120" i="9"/>
  <c r="X119" i="9"/>
  <c r="W119" i="9"/>
  <c r="V119" i="9"/>
  <c r="U119" i="9"/>
  <c r="T119" i="9"/>
  <c r="S119" i="9"/>
  <c r="R119" i="9"/>
  <c r="N119" i="9"/>
  <c r="M119" i="9"/>
  <c r="L119" i="9"/>
  <c r="X118" i="9"/>
  <c r="W118" i="9"/>
  <c r="V118" i="9"/>
  <c r="U118" i="9"/>
  <c r="T118" i="9"/>
  <c r="S118" i="9"/>
  <c r="R118" i="9"/>
  <c r="N118" i="9"/>
  <c r="M118" i="9"/>
  <c r="L118" i="9"/>
  <c r="X117" i="9"/>
  <c r="W117" i="9"/>
  <c r="V117" i="9"/>
  <c r="U117" i="9"/>
  <c r="T117" i="9"/>
  <c r="S117" i="9"/>
  <c r="R117" i="9"/>
  <c r="N117" i="9"/>
  <c r="M117" i="9"/>
  <c r="L117" i="9"/>
  <c r="X116" i="9"/>
  <c r="W116" i="9"/>
  <c r="V116" i="9"/>
  <c r="U116" i="9"/>
  <c r="T116" i="9"/>
  <c r="S116" i="9"/>
  <c r="R116" i="9"/>
  <c r="N116" i="9"/>
  <c r="M116" i="9"/>
  <c r="L116" i="9"/>
  <c r="X115" i="9"/>
  <c r="W115" i="9"/>
  <c r="V115" i="9"/>
  <c r="U115" i="9"/>
  <c r="T115" i="9"/>
  <c r="S115" i="9"/>
  <c r="R115" i="9"/>
  <c r="N115" i="9"/>
  <c r="M115" i="9"/>
  <c r="L115" i="9"/>
  <c r="X114" i="9"/>
  <c r="W114" i="9"/>
  <c r="V114" i="9"/>
  <c r="U114" i="9"/>
  <c r="T114" i="9"/>
  <c r="S114" i="9"/>
  <c r="R114" i="9"/>
  <c r="N114" i="9"/>
  <c r="M114" i="9"/>
  <c r="L114" i="9"/>
  <c r="X113" i="9"/>
  <c r="W113" i="9"/>
  <c r="V113" i="9"/>
  <c r="U113" i="9"/>
  <c r="T113" i="9"/>
  <c r="S113" i="9"/>
  <c r="R113" i="9"/>
  <c r="N113" i="9"/>
  <c r="M113" i="9"/>
  <c r="L113" i="9"/>
  <c r="X112" i="9"/>
  <c r="W112" i="9"/>
  <c r="V112" i="9"/>
  <c r="U112" i="9"/>
  <c r="T112" i="9"/>
  <c r="S112" i="9"/>
  <c r="R112" i="9"/>
  <c r="N112" i="9"/>
  <c r="M112" i="9"/>
  <c r="L112" i="9"/>
  <c r="X111" i="9"/>
  <c r="W111" i="9"/>
  <c r="V111" i="9"/>
  <c r="U111" i="9"/>
  <c r="T111" i="9"/>
  <c r="S111" i="9"/>
  <c r="R111" i="9"/>
  <c r="N111" i="9"/>
  <c r="M111" i="9"/>
  <c r="L111" i="9"/>
  <c r="X110" i="9"/>
  <c r="W110" i="9"/>
  <c r="V110" i="9"/>
  <c r="U110" i="9"/>
  <c r="T110" i="9"/>
  <c r="S110" i="9"/>
  <c r="R110" i="9"/>
  <c r="N110" i="9"/>
  <c r="M110" i="9"/>
  <c r="L110" i="9"/>
  <c r="X109" i="9"/>
  <c r="W109" i="9"/>
  <c r="V109" i="9"/>
  <c r="U109" i="9"/>
  <c r="T109" i="9"/>
  <c r="S109" i="9"/>
  <c r="R109" i="9"/>
  <c r="N109" i="9"/>
  <c r="M109" i="9"/>
  <c r="L109" i="9"/>
  <c r="X108" i="9"/>
  <c r="W108" i="9"/>
  <c r="V108" i="9"/>
  <c r="U108" i="9"/>
  <c r="T108" i="9"/>
  <c r="S108" i="9"/>
  <c r="R108" i="9"/>
  <c r="N108" i="9"/>
  <c r="M108" i="9"/>
  <c r="L108" i="9"/>
  <c r="X107" i="9"/>
  <c r="W107" i="9"/>
  <c r="V107" i="9"/>
  <c r="U107" i="9"/>
  <c r="T107" i="9"/>
  <c r="S107" i="9"/>
  <c r="R107" i="9"/>
  <c r="N107" i="9"/>
  <c r="M107" i="9"/>
  <c r="L107" i="9"/>
  <c r="X106" i="9"/>
  <c r="W106" i="9"/>
  <c r="V106" i="9"/>
  <c r="U106" i="9"/>
  <c r="T106" i="9"/>
  <c r="S106" i="9"/>
  <c r="R106" i="9"/>
  <c r="N106" i="9"/>
  <c r="M106" i="9"/>
  <c r="L106" i="9"/>
  <c r="X105" i="9"/>
  <c r="W105" i="9"/>
  <c r="V105" i="9"/>
  <c r="U105" i="9"/>
  <c r="T105" i="9"/>
  <c r="S105" i="9"/>
  <c r="R105" i="9"/>
  <c r="N105" i="9"/>
  <c r="M105" i="9"/>
  <c r="L105" i="9"/>
  <c r="X104" i="9"/>
  <c r="W104" i="9"/>
  <c r="V104" i="9"/>
  <c r="U104" i="9"/>
  <c r="T104" i="9"/>
  <c r="S104" i="9"/>
  <c r="R104" i="9"/>
  <c r="N104" i="9"/>
  <c r="M104" i="9"/>
  <c r="L104" i="9"/>
  <c r="X103" i="9"/>
  <c r="W103" i="9"/>
  <c r="V103" i="9"/>
  <c r="U103" i="9"/>
  <c r="T103" i="9"/>
  <c r="S103" i="9"/>
  <c r="R103" i="9"/>
  <c r="N103" i="9"/>
  <c r="M103" i="9"/>
  <c r="L103" i="9"/>
  <c r="X102" i="9"/>
  <c r="W102" i="9"/>
  <c r="V102" i="9"/>
  <c r="U102" i="9"/>
  <c r="T102" i="9"/>
  <c r="S102" i="9"/>
  <c r="R102" i="9"/>
  <c r="N102" i="9"/>
  <c r="M102" i="9"/>
  <c r="L102" i="9"/>
  <c r="X101" i="9"/>
  <c r="W101" i="9"/>
  <c r="V101" i="9"/>
  <c r="U101" i="9"/>
  <c r="T101" i="9"/>
  <c r="S101" i="9"/>
  <c r="R101" i="9"/>
  <c r="N101" i="9"/>
  <c r="M101" i="9"/>
  <c r="L101" i="9"/>
  <c r="X100" i="9"/>
  <c r="W100" i="9"/>
  <c r="V100" i="9"/>
  <c r="U100" i="9"/>
  <c r="T100" i="9"/>
  <c r="S100" i="9"/>
  <c r="R100" i="9"/>
  <c r="N100" i="9"/>
  <c r="M100" i="9"/>
  <c r="L100" i="9"/>
  <c r="X99" i="9"/>
  <c r="W99" i="9"/>
  <c r="V99" i="9"/>
  <c r="U99" i="9"/>
  <c r="T99" i="9"/>
  <c r="S99" i="9"/>
  <c r="R99" i="9"/>
  <c r="N99" i="9"/>
  <c r="M99" i="9"/>
  <c r="L99" i="9"/>
  <c r="X98" i="9"/>
  <c r="W98" i="9"/>
  <c r="V98" i="9"/>
  <c r="U98" i="9"/>
  <c r="T98" i="9"/>
  <c r="S98" i="9"/>
  <c r="R98" i="9"/>
  <c r="N98" i="9"/>
  <c r="M98" i="9"/>
  <c r="L98" i="9"/>
  <c r="X97" i="9"/>
  <c r="W97" i="9"/>
  <c r="V97" i="9"/>
  <c r="U97" i="9"/>
  <c r="T97" i="9"/>
  <c r="S97" i="9"/>
  <c r="R97" i="9"/>
  <c r="N97" i="9"/>
  <c r="M97" i="9"/>
  <c r="L97" i="9"/>
  <c r="X96" i="9"/>
  <c r="W96" i="9"/>
  <c r="V96" i="9"/>
  <c r="U96" i="9"/>
  <c r="T96" i="9"/>
  <c r="S96" i="9"/>
  <c r="R96" i="9"/>
  <c r="N96" i="9"/>
  <c r="M96" i="9"/>
  <c r="L96" i="9"/>
  <c r="X95" i="9"/>
  <c r="W95" i="9"/>
  <c r="V95" i="9"/>
  <c r="U95" i="9"/>
  <c r="T95" i="9"/>
  <c r="S95" i="9"/>
  <c r="R95" i="9"/>
  <c r="N95" i="9"/>
  <c r="M95" i="9"/>
  <c r="L95" i="9"/>
  <c r="X94" i="9"/>
  <c r="W94" i="9"/>
  <c r="V94" i="9"/>
  <c r="U94" i="9"/>
  <c r="T94" i="9"/>
  <c r="S94" i="9"/>
  <c r="R94" i="9"/>
  <c r="N94" i="9"/>
  <c r="M94" i="9"/>
  <c r="L94" i="9"/>
  <c r="X93" i="9"/>
  <c r="W93" i="9"/>
  <c r="V93" i="9"/>
  <c r="U93" i="9"/>
  <c r="T93" i="9"/>
  <c r="S93" i="9"/>
  <c r="R93" i="9"/>
  <c r="N93" i="9"/>
  <c r="M93" i="9"/>
  <c r="L93" i="9"/>
  <c r="X92" i="9"/>
  <c r="W92" i="9"/>
  <c r="V92" i="9"/>
  <c r="U92" i="9"/>
  <c r="T92" i="9"/>
  <c r="S92" i="9"/>
  <c r="R92" i="9"/>
  <c r="N92" i="9"/>
  <c r="M92" i="9"/>
  <c r="L92" i="9"/>
  <c r="X91" i="9"/>
  <c r="W91" i="9"/>
  <c r="V91" i="9"/>
  <c r="U91" i="9"/>
  <c r="T91" i="9"/>
  <c r="S91" i="9"/>
  <c r="R91" i="9"/>
  <c r="N91" i="9"/>
  <c r="M91" i="9"/>
  <c r="L91" i="9"/>
  <c r="X90" i="9"/>
  <c r="W90" i="9"/>
  <c r="V90" i="9"/>
  <c r="U90" i="9"/>
  <c r="T90" i="9"/>
  <c r="S90" i="9"/>
  <c r="R90" i="9"/>
  <c r="N90" i="9"/>
  <c r="M90" i="9"/>
  <c r="L90" i="9"/>
  <c r="X89" i="9"/>
  <c r="W89" i="9"/>
  <c r="V89" i="9"/>
  <c r="U89" i="9"/>
  <c r="T89" i="9"/>
  <c r="S89" i="9"/>
  <c r="R89" i="9"/>
  <c r="N89" i="9"/>
  <c r="M89" i="9"/>
  <c r="L89" i="9"/>
  <c r="X88" i="9"/>
  <c r="W88" i="9"/>
  <c r="V88" i="9"/>
  <c r="U88" i="9"/>
  <c r="T88" i="9"/>
  <c r="S88" i="9"/>
  <c r="R88" i="9"/>
  <c r="N88" i="9"/>
  <c r="M88" i="9"/>
  <c r="L88" i="9"/>
  <c r="X87" i="9"/>
  <c r="W87" i="9"/>
  <c r="V87" i="9"/>
  <c r="U87" i="9"/>
  <c r="T87" i="9"/>
  <c r="S87" i="9"/>
  <c r="R87" i="9"/>
  <c r="N87" i="9"/>
  <c r="M87" i="9"/>
  <c r="L87" i="9"/>
  <c r="X86" i="9"/>
  <c r="W86" i="9"/>
  <c r="V86" i="9"/>
  <c r="U86" i="9"/>
  <c r="T86" i="9"/>
  <c r="S86" i="9"/>
  <c r="R86" i="9"/>
  <c r="N86" i="9"/>
  <c r="M86" i="9"/>
  <c r="L86" i="9"/>
  <c r="X85" i="9"/>
  <c r="W85" i="9"/>
  <c r="V85" i="9"/>
  <c r="U85" i="9"/>
  <c r="T85" i="9"/>
  <c r="S85" i="9"/>
  <c r="R85" i="9"/>
  <c r="N85" i="9"/>
  <c r="M85" i="9"/>
  <c r="L85" i="9"/>
  <c r="X84" i="9"/>
  <c r="W84" i="9"/>
  <c r="V84" i="9"/>
  <c r="U84" i="9"/>
  <c r="T84" i="9"/>
  <c r="S84" i="9"/>
  <c r="R84" i="9"/>
  <c r="N84" i="9"/>
  <c r="M84" i="9"/>
  <c r="L84" i="9"/>
  <c r="X83" i="9"/>
  <c r="W83" i="9"/>
  <c r="V83" i="9"/>
  <c r="U83" i="9"/>
  <c r="T83" i="9"/>
  <c r="S83" i="9"/>
  <c r="R83" i="9"/>
  <c r="N83" i="9"/>
  <c r="M83" i="9"/>
  <c r="L83" i="9"/>
  <c r="X82" i="9"/>
  <c r="W82" i="9"/>
  <c r="V82" i="9"/>
  <c r="U82" i="9"/>
  <c r="T82" i="9"/>
  <c r="S82" i="9"/>
  <c r="R82" i="9"/>
  <c r="N82" i="9"/>
  <c r="M82" i="9"/>
  <c r="L82" i="9"/>
  <c r="X81" i="9"/>
  <c r="W81" i="9"/>
  <c r="V81" i="9"/>
  <c r="U81" i="9"/>
  <c r="T81" i="9"/>
  <c r="S81" i="9"/>
  <c r="R81" i="9"/>
  <c r="N81" i="9"/>
  <c r="M81" i="9"/>
  <c r="L81" i="9"/>
  <c r="X80" i="9"/>
  <c r="W80" i="9"/>
  <c r="V80" i="9"/>
  <c r="U80" i="9"/>
  <c r="T80" i="9"/>
  <c r="S80" i="9"/>
  <c r="R80" i="9"/>
  <c r="N80" i="9"/>
  <c r="M80" i="9"/>
  <c r="L80" i="9"/>
  <c r="X79" i="9"/>
  <c r="W79" i="9"/>
  <c r="V79" i="9"/>
  <c r="U79" i="9"/>
  <c r="T79" i="9"/>
  <c r="S79" i="9"/>
  <c r="R79" i="9"/>
  <c r="N79" i="9"/>
  <c r="M79" i="9"/>
  <c r="L79" i="9"/>
  <c r="X78" i="9"/>
  <c r="W78" i="9"/>
  <c r="V78" i="9"/>
  <c r="U78" i="9"/>
  <c r="T78" i="9"/>
  <c r="S78" i="9"/>
  <c r="R78" i="9"/>
  <c r="N78" i="9"/>
  <c r="M78" i="9"/>
  <c r="L78" i="9"/>
  <c r="X77" i="9"/>
  <c r="W77" i="9"/>
  <c r="V77" i="9"/>
  <c r="U77" i="9"/>
  <c r="T77" i="9"/>
  <c r="S77" i="9"/>
  <c r="R77" i="9"/>
  <c r="N77" i="9"/>
  <c r="M77" i="9"/>
  <c r="L77" i="9"/>
  <c r="X76" i="9"/>
  <c r="W76" i="9"/>
  <c r="V76" i="9"/>
  <c r="U76" i="9"/>
  <c r="T76" i="9"/>
  <c r="S76" i="9"/>
  <c r="R76" i="9"/>
  <c r="N76" i="9"/>
  <c r="M76" i="9"/>
  <c r="L76" i="9"/>
  <c r="X75" i="9"/>
  <c r="W75" i="9"/>
  <c r="V75" i="9"/>
  <c r="U75" i="9"/>
  <c r="T75" i="9"/>
  <c r="S75" i="9"/>
  <c r="R75" i="9"/>
  <c r="N75" i="9"/>
  <c r="M75" i="9"/>
  <c r="L75" i="9"/>
  <c r="X74" i="9"/>
  <c r="W74" i="9"/>
  <c r="V74" i="9"/>
  <c r="U74" i="9"/>
  <c r="T74" i="9"/>
  <c r="S74" i="9"/>
  <c r="R74" i="9"/>
  <c r="N74" i="9"/>
  <c r="M74" i="9"/>
  <c r="L74" i="9"/>
  <c r="X73" i="9"/>
  <c r="W73" i="9"/>
  <c r="V73" i="9"/>
  <c r="U73" i="9"/>
  <c r="T73" i="9"/>
  <c r="S73" i="9"/>
  <c r="R73" i="9"/>
  <c r="N73" i="9"/>
  <c r="M73" i="9"/>
  <c r="L73" i="9"/>
  <c r="X72" i="9"/>
  <c r="W72" i="9"/>
  <c r="V72" i="9"/>
  <c r="U72" i="9"/>
  <c r="T72" i="9"/>
  <c r="S72" i="9"/>
  <c r="R72" i="9"/>
  <c r="N72" i="9"/>
  <c r="M72" i="9"/>
  <c r="L72" i="9"/>
  <c r="X71" i="9"/>
  <c r="W71" i="9"/>
  <c r="V71" i="9"/>
  <c r="U71" i="9"/>
  <c r="T71" i="9"/>
  <c r="S71" i="9"/>
  <c r="R71" i="9"/>
  <c r="N71" i="9"/>
  <c r="M71" i="9"/>
  <c r="L71" i="9"/>
  <c r="X70" i="9"/>
  <c r="W70" i="9"/>
  <c r="V70" i="9"/>
  <c r="U70" i="9"/>
  <c r="T70" i="9"/>
  <c r="S70" i="9"/>
  <c r="R70" i="9"/>
  <c r="N70" i="9"/>
  <c r="M70" i="9"/>
  <c r="L70" i="9"/>
  <c r="X69" i="9"/>
  <c r="W69" i="9"/>
  <c r="V69" i="9"/>
  <c r="U69" i="9"/>
  <c r="T69" i="9"/>
  <c r="S69" i="9"/>
  <c r="L69" i="9"/>
  <c r="X68" i="9"/>
  <c r="W68" i="9"/>
  <c r="V68" i="9"/>
  <c r="L68" i="9"/>
  <c r="X67" i="9"/>
  <c r="W67" i="9"/>
  <c r="V67" i="9"/>
  <c r="U67" i="9"/>
  <c r="T67" i="9"/>
  <c r="S67" i="9"/>
  <c r="N67" i="9"/>
  <c r="M67" i="9"/>
  <c r="L67" i="9"/>
  <c r="X66" i="9"/>
  <c r="W66" i="9"/>
  <c r="V66" i="9"/>
  <c r="U66" i="9"/>
  <c r="T66" i="9"/>
  <c r="S66" i="9"/>
  <c r="N66" i="9"/>
  <c r="M66" i="9"/>
  <c r="L66" i="9"/>
  <c r="X65" i="9"/>
  <c r="W65" i="9"/>
  <c r="V65" i="9"/>
  <c r="U65" i="9"/>
  <c r="T65" i="9"/>
  <c r="S65" i="9"/>
  <c r="N65" i="9"/>
  <c r="M65" i="9"/>
  <c r="L65" i="9"/>
  <c r="X64" i="9"/>
  <c r="W64" i="9"/>
  <c r="V64" i="9"/>
  <c r="U64" i="9"/>
  <c r="T64" i="9"/>
  <c r="S64" i="9"/>
  <c r="N64" i="9"/>
  <c r="M64" i="9"/>
  <c r="L64" i="9"/>
  <c r="X63" i="9"/>
  <c r="W63" i="9"/>
  <c r="V63" i="9"/>
  <c r="L63" i="9"/>
  <c r="X62" i="9"/>
  <c r="W62" i="9"/>
  <c r="V62" i="9"/>
  <c r="U62" i="9"/>
  <c r="T62" i="9"/>
  <c r="S62" i="9"/>
  <c r="N62" i="9"/>
  <c r="M62" i="9"/>
  <c r="L62" i="9"/>
  <c r="X61" i="9"/>
  <c r="W61" i="9"/>
  <c r="V61" i="9"/>
  <c r="U61" i="9"/>
  <c r="T61" i="9"/>
  <c r="S61" i="9"/>
  <c r="N61" i="9"/>
  <c r="M61" i="9"/>
  <c r="L61" i="9"/>
  <c r="X60" i="9"/>
  <c r="W60" i="9"/>
  <c r="V60" i="9"/>
  <c r="U60" i="9"/>
  <c r="T60" i="9"/>
  <c r="S60" i="9"/>
  <c r="N60" i="9"/>
  <c r="M60" i="9"/>
  <c r="L60" i="9"/>
  <c r="X59" i="9"/>
  <c r="W59" i="9"/>
  <c r="V59" i="9"/>
  <c r="U59" i="9"/>
  <c r="T59" i="9"/>
  <c r="S59" i="9"/>
  <c r="N59" i="9"/>
  <c r="M59" i="9"/>
  <c r="L59" i="9"/>
  <c r="X58" i="9"/>
  <c r="W58" i="9"/>
  <c r="V58" i="9"/>
  <c r="U58" i="9"/>
  <c r="T58" i="9"/>
  <c r="S58" i="9"/>
  <c r="N58" i="9"/>
  <c r="M58" i="9"/>
  <c r="L58" i="9"/>
  <c r="X57" i="9"/>
  <c r="W57" i="9"/>
  <c r="V57" i="9"/>
  <c r="U57" i="9"/>
  <c r="T57" i="9"/>
  <c r="S57" i="9"/>
  <c r="N57" i="9"/>
  <c r="M57" i="9"/>
  <c r="L57" i="9"/>
  <c r="X56" i="9"/>
  <c r="W56" i="9"/>
  <c r="V56" i="9"/>
  <c r="U56" i="9"/>
  <c r="T56" i="9"/>
  <c r="S56" i="9"/>
  <c r="N56" i="9"/>
  <c r="M56" i="9"/>
  <c r="L56" i="9"/>
  <c r="X55" i="9"/>
  <c r="W55" i="9"/>
  <c r="V55" i="9"/>
  <c r="U55" i="9"/>
  <c r="T55" i="9"/>
  <c r="S55" i="9"/>
  <c r="N55" i="9"/>
  <c r="M55" i="9"/>
  <c r="L55" i="9"/>
  <c r="X54" i="9"/>
  <c r="W54" i="9"/>
  <c r="V54" i="9"/>
  <c r="U54" i="9"/>
  <c r="T54" i="9"/>
  <c r="S54" i="9"/>
  <c r="N54" i="9"/>
  <c r="M54" i="9"/>
  <c r="L54" i="9"/>
  <c r="X53" i="9"/>
  <c r="W53" i="9"/>
  <c r="V53" i="9"/>
  <c r="U53" i="9"/>
  <c r="T53" i="9"/>
  <c r="S53" i="9"/>
  <c r="L53" i="9"/>
  <c r="X52" i="9"/>
  <c r="W52" i="9"/>
  <c r="V52" i="9"/>
  <c r="U52" i="9"/>
  <c r="T52" i="9"/>
  <c r="S52" i="9"/>
  <c r="L52" i="9"/>
  <c r="X51" i="9"/>
  <c r="W51" i="9"/>
  <c r="V51" i="9"/>
  <c r="U51" i="9"/>
  <c r="T51" i="9"/>
  <c r="S51" i="9"/>
  <c r="L51" i="9"/>
  <c r="X50" i="9"/>
  <c r="W50" i="9"/>
  <c r="V50" i="9"/>
  <c r="U50" i="9"/>
  <c r="T50" i="9"/>
  <c r="S50" i="9"/>
  <c r="L50" i="9"/>
  <c r="U49" i="9"/>
  <c r="T49" i="9"/>
  <c r="S49" i="9"/>
  <c r="L49" i="9"/>
  <c r="O51" i="9" s="1"/>
  <c r="X48" i="9"/>
  <c r="W48" i="9"/>
  <c r="V48" i="9"/>
  <c r="U48" i="9"/>
  <c r="T48" i="9"/>
  <c r="S48" i="9"/>
  <c r="Q48" i="9"/>
  <c r="P48" i="9"/>
  <c r="O48" i="9"/>
  <c r="L48" i="9"/>
  <c r="X47" i="9"/>
  <c r="W47" i="9"/>
  <c r="V47" i="9"/>
  <c r="U47" i="9"/>
  <c r="T47" i="9"/>
  <c r="S47" i="9"/>
  <c r="Q47" i="9"/>
  <c r="P47" i="9"/>
  <c r="O47" i="9"/>
  <c r="L47" i="9"/>
  <c r="X46" i="9"/>
  <c r="W46" i="9"/>
  <c r="V46" i="9"/>
  <c r="U46" i="9"/>
  <c r="T46" i="9"/>
  <c r="S46" i="9"/>
  <c r="Q46" i="9"/>
  <c r="P46" i="9"/>
  <c r="O46" i="9"/>
  <c r="L46" i="9"/>
  <c r="X45" i="9"/>
  <c r="W45" i="9"/>
  <c r="V45" i="9"/>
  <c r="U45" i="9"/>
  <c r="T45" i="9"/>
  <c r="S45" i="9"/>
  <c r="Q45" i="9"/>
  <c r="P45" i="9"/>
  <c r="O45" i="9"/>
  <c r="L45" i="9"/>
  <c r="X44" i="9"/>
  <c r="W44" i="9"/>
  <c r="V44" i="9"/>
  <c r="U44" i="9"/>
  <c r="T44" i="9"/>
  <c r="S44" i="9"/>
  <c r="Q44" i="9"/>
  <c r="P44" i="9"/>
  <c r="O44" i="9"/>
  <c r="L44" i="9"/>
  <c r="X43" i="9"/>
  <c r="W43" i="9"/>
  <c r="V43" i="9"/>
  <c r="U43" i="9"/>
  <c r="T43" i="9"/>
  <c r="S43" i="9"/>
  <c r="Q43" i="9"/>
  <c r="P43" i="9"/>
  <c r="O43" i="9"/>
  <c r="L43" i="9"/>
  <c r="X42" i="9"/>
  <c r="W42" i="9"/>
  <c r="V42" i="9"/>
  <c r="U42" i="9"/>
  <c r="T42" i="9"/>
  <c r="S42" i="9"/>
  <c r="Q42" i="9"/>
  <c r="P42" i="9"/>
  <c r="O42" i="9"/>
  <c r="L42" i="9"/>
  <c r="K42" i="9"/>
  <c r="X41" i="9"/>
  <c r="W41" i="9"/>
  <c r="V41" i="9"/>
  <c r="U41" i="9"/>
  <c r="T41" i="9"/>
  <c r="S41" i="9"/>
  <c r="Q41" i="9"/>
  <c r="P41" i="9"/>
  <c r="O41" i="9"/>
  <c r="L41" i="9"/>
  <c r="K41" i="9"/>
  <c r="X40" i="9"/>
  <c r="W40" i="9"/>
  <c r="V40" i="9"/>
  <c r="U40" i="9"/>
  <c r="T40" i="9"/>
  <c r="S40" i="9"/>
  <c r="Q40" i="9"/>
  <c r="P40" i="9"/>
  <c r="O40" i="9"/>
  <c r="L40" i="9"/>
  <c r="K40" i="9"/>
  <c r="X39" i="9"/>
  <c r="W39" i="9"/>
  <c r="V39" i="9"/>
  <c r="U39" i="9"/>
  <c r="T39" i="9"/>
  <c r="S39" i="9"/>
  <c r="Q39" i="9"/>
  <c r="P39" i="9"/>
  <c r="O39" i="9"/>
  <c r="L39" i="9"/>
  <c r="K39" i="9"/>
  <c r="X38" i="9"/>
  <c r="W38" i="9"/>
  <c r="V38" i="9"/>
  <c r="U38" i="9"/>
  <c r="T38" i="9"/>
  <c r="S38" i="9"/>
  <c r="Q38" i="9"/>
  <c r="P38" i="9"/>
  <c r="O38" i="9"/>
  <c r="L38" i="9"/>
  <c r="K38" i="9"/>
  <c r="X37" i="9"/>
  <c r="W37" i="9"/>
  <c r="V37" i="9"/>
  <c r="U37" i="9"/>
  <c r="T37" i="9"/>
  <c r="S37" i="9"/>
  <c r="Q37" i="9"/>
  <c r="P37" i="9"/>
  <c r="O37" i="9"/>
  <c r="L37" i="9"/>
  <c r="K37" i="9"/>
  <c r="X36" i="9"/>
  <c r="W36" i="9"/>
  <c r="V36" i="9"/>
  <c r="U36" i="9"/>
  <c r="T36" i="9"/>
  <c r="S36" i="9"/>
  <c r="Q36" i="9"/>
  <c r="P36" i="9"/>
  <c r="O36" i="9"/>
  <c r="L36" i="9"/>
  <c r="K36" i="9"/>
  <c r="X35" i="9"/>
  <c r="W35" i="9"/>
  <c r="V35" i="9"/>
  <c r="U35" i="9"/>
  <c r="T35" i="9"/>
  <c r="S35" i="9"/>
  <c r="Q35" i="9"/>
  <c r="P35" i="9"/>
  <c r="O35" i="9"/>
  <c r="L35" i="9"/>
  <c r="K35" i="9"/>
  <c r="X34" i="9"/>
  <c r="W34" i="9"/>
  <c r="V34" i="9"/>
  <c r="U34" i="9"/>
  <c r="T34" i="9"/>
  <c r="S34" i="9"/>
  <c r="Q34" i="9"/>
  <c r="P34" i="9"/>
  <c r="O34" i="9"/>
  <c r="L34" i="9"/>
  <c r="K34" i="9"/>
  <c r="X33" i="9"/>
  <c r="W33" i="9"/>
  <c r="V33" i="9"/>
  <c r="U33" i="9"/>
  <c r="T33" i="9"/>
  <c r="S33" i="9"/>
  <c r="Q33" i="9"/>
  <c r="P33" i="9"/>
  <c r="O33" i="9"/>
  <c r="L33" i="9"/>
  <c r="K33" i="9"/>
  <c r="X32" i="9"/>
  <c r="W32" i="9"/>
  <c r="V32" i="9"/>
  <c r="U32" i="9"/>
  <c r="T32" i="9"/>
  <c r="S32" i="9"/>
  <c r="Q32" i="9"/>
  <c r="P32" i="9"/>
  <c r="O32" i="9"/>
  <c r="L32" i="9"/>
  <c r="K32" i="9"/>
  <c r="X31" i="9"/>
  <c r="W31" i="9"/>
  <c r="V31" i="9"/>
  <c r="U31" i="9"/>
  <c r="T31" i="9"/>
  <c r="S31" i="9"/>
  <c r="Q31" i="9"/>
  <c r="P31" i="9"/>
  <c r="O31" i="9"/>
  <c r="L31" i="9"/>
  <c r="K31" i="9"/>
  <c r="X30" i="9"/>
  <c r="W30" i="9"/>
  <c r="V30" i="9"/>
  <c r="U30" i="9"/>
  <c r="T30" i="9"/>
  <c r="S30" i="9"/>
  <c r="Q30" i="9"/>
  <c r="P30" i="9"/>
  <c r="O30" i="9"/>
  <c r="L30" i="9"/>
  <c r="K30" i="9"/>
  <c r="X29" i="9"/>
  <c r="W29" i="9"/>
  <c r="V29" i="9"/>
  <c r="U29" i="9"/>
  <c r="T29" i="9"/>
  <c r="S29" i="9"/>
  <c r="Q29" i="9"/>
  <c r="P29" i="9"/>
  <c r="O29" i="9"/>
  <c r="L29" i="9"/>
  <c r="K29" i="9"/>
  <c r="X28" i="9"/>
  <c r="W28" i="9"/>
  <c r="V28" i="9"/>
  <c r="U28" i="9"/>
  <c r="T28" i="9"/>
  <c r="S28" i="9"/>
  <c r="Q28" i="9"/>
  <c r="P28" i="9"/>
  <c r="O28" i="9"/>
  <c r="L28" i="9"/>
  <c r="K28" i="9"/>
  <c r="X27" i="9"/>
  <c r="W27" i="9"/>
  <c r="V27" i="9"/>
  <c r="U27" i="9"/>
  <c r="T27" i="9"/>
  <c r="S27" i="9"/>
  <c r="R27" i="9"/>
  <c r="R55" i="9" s="1"/>
  <c r="Q27" i="9"/>
  <c r="P27" i="9"/>
  <c r="O27" i="9"/>
  <c r="N27" i="9"/>
  <c r="N68" i="9" s="1"/>
  <c r="M27" i="9"/>
  <c r="M38" i="9" s="1"/>
  <c r="L27" i="9"/>
  <c r="K27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R16" i="9"/>
  <c r="N16" i="9"/>
  <c r="M16" i="9"/>
  <c r="L16" i="9"/>
  <c r="K16" i="9"/>
  <c r="W7" i="9"/>
  <c r="Y2" i="9"/>
  <c r="X153" i="7"/>
  <c r="W153" i="7"/>
  <c r="V153" i="7"/>
  <c r="U153" i="7"/>
  <c r="T153" i="7"/>
  <c r="S153" i="7"/>
  <c r="R153" i="7"/>
  <c r="N153" i="7"/>
  <c r="M153" i="7"/>
  <c r="L153" i="7"/>
  <c r="X152" i="7"/>
  <c r="W152" i="7"/>
  <c r="V152" i="7"/>
  <c r="U152" i="7"/>
  <c r="T152" i="7"/>
  <c r="S152" i="7"/>
  <c r="R152" i="7"/>
  <c r="N152" i="7"/>
  <c r="M152" i="7"/>
  <c r="L152" i="7"/>
  <c r="X151" i="7"/>
  <c r="W151" i="7"/>
  <c r="V151" i="7"/>
  <c r="U151" i="7"/>
  <c r="T151" i="7"/>
  <c r="S151" i="7"/>
  <c r="R151" i="7"/>
  <c r="N151" i="7"/>
  <c r="M151" i="7"/>
  <c r="L151" i="7"/>
  <c r="X150" i="7"/>
  <c r="W150" i="7"/>
  <c r="V150" i="7"/>
  <c r="U150" i="7"/>
  <c r="T150" i="7"/>
  <c r="S150" i="7"/>
  <c r="R150" i="7"/>
  <c r="N150" i="7"/>
  <c r="M150" i="7"/>
  <c r="L150" i="7"/>
  <c r="X149" i="7"/>
  <c r="W149" i="7"/>
  <c r="V149" i="7"/>
  <c r="U149" i="7"/>
  <c r="T149" i="7"/>
  <c r="S149" i="7"/>
  <c r="R149" i="7"/>
  <c r="N149" i="7"/>
  <c r="M149" i="7"/>
  <c r="L149" i="7"/>
  <c r="X148" i="7"/>
  <c r="W148" i="7"/>
  <c r="V148" i="7"/>
  <c r="U148" i="7"/>
  <c r="T148" i="7"/>
  <c r="S148" i="7"/>
  <c r="R148" i="7"/>
  <c r="N148" i="7"/>
  <c r="M148" i="7"/>
  <c r="L148" i="7"/>
  <c r="X147" i="7"/>
  <c r="W147" i="7"/>
  <c r="V147" i="7"/>
  <c r="U147" i="7"/>
  <c r="T147" i="7"/>
  <c r="S147" i="7"/>
  <c r="R147" i="7"/>
  <c r="N147" i="7"/>
  <c r="M147" i="7"/>
  <c r="L147" i="7"/>
  <c r="X146" i="7"/>
  <c r="W146" i="7"/>
  <c r="V146" i="7"/>
  <c r="U146" i="7"/>
  <c r="T146" i="7"/>
  <c r="S146" i="7"/>
  <c r="R146" i="7"/>
  <c r="N146" i="7"/>
  <c r="M146" i="7"/>
  <c r="L146" i="7"/>
  <c r="X145" i="7"/>
  <c r="W145" i="7"/>
  <c r="V145" i="7"/>
  <c r="U145" i="7"/>
  <c r="T145" i="7"/>
  <c r="S145" i="7"/>
  <c r="R145" i="7"/>
  <c r="N145" i="7"/>
  <c r="M145" i="7"/>
  <c r="L145" i="7"/>
  <c r="X144" i="7"/>
  <c r="W144" i="7"/>
  <c r="V144" i="7"/>
  <c r="U144" i="7"/>
  <c r="T144" i="7"/>
  <c r="S144" i="7"/>
  <c r="R144" i="7"/>
  <c r="N144" i="7"/>
  <c r="M144" i="7"/>
  <c r="L144" i="7"/>
  <c r="X143" i="7"/>
  <c r="W143" i="7"/>
  <c r="V143" i="7"/>
  <c r="U143" i="7"/>
  <c r="T143" i="7"/>
  <c r="S143" i="7"/>
  <c r="R143" i="7"/>
  <c r="N143" i="7"/>
  <c r="M143" i="7"/>
  <c r="L143" i="7"/>
  <c r="X142" i="7"/>
  <c r="W142" i="7"/>
  <c r="V142" i="7"/>
  <c r="U142" i="7"/>
  <c r="T142" i="7"/>
  <c r="S142" i="7"/>
  <c r="R142" i="7"/>
  <c r="N142" i="7"/>
  <c r="M142" i="7"/>
  <c r="L142" i="7"/>
  <c r="X141" i="7"/>
  <c r="W141" i="7"/>
  <c r="V141" i="7"/>
  <c r="U141" i="7"/>
  <c r="T141" i="7"/>
  <c r="S141" i="7"/>
  <c r="R141" i="7"/>
  <c r="N141" i="7"/>
  <c r="M141" i="7"/>
  <c r="L141" i="7"/>
  <c r="X140" i="7"/>
  <c r="W140" i="7"/>
  <c r="V140" i="7"/>
  <c r="U140" i="7"/>
  <c r="T140" i="7"/>
  <c r="S140" i="7"/>
  <c r="R140" i="7"/>
  <c r="N140" i="7"/>
  <c r="M140" i="7"/>
  <c r="L140" i="7"/>
  <c r="X139" i="7"/>
  <c r="W139" i="7"/>
  <c r="V139" i="7"/>
  <c r="U139" i="7"/>
  <c r="T139" i="7"/>
  <c r="S139" i="7"/>
  <c r="R139" i="7"/>
  <c r="N139" i="7"/>
  <c r="M139" i="7"/>
  <c r="L139" i="7"/>
  <c r="X138" i="7"/>
  <c r="W138" i="7"/>
  <c r="V138" i="7"/>
  <c r="U138" i="7"/>
  <c r="T138" i="7"/>
  <c r="S138" i="7"/>
  <c r="R138" i="7"/>
  <c r="N138" i="7"/>
  <c r="M138" i="7"/>
  <c r="L138" i="7"/>
  <c r="X137" i="7"/>
  <c r="W137" i="7"/>
  <c r="V137" i="7"/>
  <c r="U137" i="7"/>
  <c r="T137" i="7"/>
  <c r="S137" i="7"/>
  <c r="R137" i="7"/>
  <c r="N137" i="7"/>
  <c r="M137" i="7"/>
  <c r="L137" i="7"/>
  <c r="X136" i="7"/>
  <c r="W136" i="7"/>
  <c r="V136" i="7"/>
  <c r="U136" i="7"/>
  <c r="T136" i="7"/>
  <c r="S136" i="7"/>
  <c r="R136" i="7"/>
  <c r="N136" i="7"/>
  <c r="M136" i="7"/>
  <c r="L136" i="7"/>
  <c r="X135" i="7"/>
  <c r="W135" i="7"/>
  <c r="V135" i="7"/>
  <c r="U135" i="7"/>
  <c r="T135" i="7"/>
  <c r="S135" i="7"/>
  <c r="R135" i="7"/>
  <c r="N135" i="7"/>
  <c r="M135" i="7"/>
  <c r="L135" i="7"/>
  <c r="X134" i="7"/>
  <c r="W134" i="7"/>
  <c r="V134" i="7"/>
  <c r="U134" i="7"/>
  <c r="T134" i="7"/>
  <c r="S134" i="7"/>
  <c r="R134" i="7"/>
  <c r="N134" i="7"/>
  <c r="M134" i="7"/>
  <c r="L134" i="7"/>
  <c r="X133" i="7"/>
  <c r="W133" i="7"/>
  <c r="V133" i="7"/>
  <c r="U133" i="7"/>
  <c r="T133" i="7"/>
  <c r="S133" i="7"/>
  <c r="R133" i="7"/>
  <c r="N133" i="7"/>
  <c r="M133" i="7"/>
  <c r="L133" i="7"/>
  <c r="X132" i="7"/>
  <c r="W132" i="7"/>
  <c r="V132" i="7"/>
  <c r="U132" i="7"/>
  <c r="T132" i="7"/>
  <c r="S132" i="7"/>
  <c r="R132" i="7"/>
  <c r="N132" i="7"/>
  <c r="M132" i="7"/>
  <c r="L132" i="7"/>
  <c r="X131" i="7"/>
  <c r="W131" i="7"/>
  <c r="V131" i="7"/>
  <c r="U131" i="7"/>
  <c r="T131" i="7"/>
  <c r="S131" i="7"/>
  <c r="R131" i="7"/>
  <c r="N131" i="7"/>
  <c r="M131" i="7"/>
  <c r="L131" i="7"/>
  <c r="X130" i="7"/>
  <c r="W130" i="7"/>
  <c r="V130" i="7"/>
  <c r="U130" i="7"/>
  <c r="T130" i="7"/>
  <c r="S130" i="7"/>
  <c r="R130" i="7"/>
  <c r="N130" i="7"/>
  <c r="M130" i="7"/>
  <c r="L130" i="7"/>
  <c r="X129" i="7"/>
  <c r="W129" i="7"/>
  <c r="V129" i="7"/>
  <c r="U129" i="7"/>
  <c r="T129" i="7"/>
  <c r="S129" i="7"/>
  <c r="R129" i="7"/>
  <c r="N129" i="7"/>
  <c r="M129" i="7"/>
  <c r="L129" i="7"/>
  <c r="X128" i="7"/>
  <c r="W128" i="7"/>
  <c r="V128" i="7"/>
  <c r="U128" i="7"/>
  <c r="T128" i="7"/>
  <c r="S128" i="7"/>
  <c r="R128" i="7"/>
  <c r="N128" i="7"/>
  <c r="M128" i="7"/>
  <c r="L128" i="7"/>
  <c r="X127" i="7"/>
  <c r="W127" i="7"/>
  <c r="V127" i="7"/>
  <c r="U127" i="7"/>
  <c r="T127" i="7"/>
  <c r="S127" i="7"/>
  <c r="R127" i="7"/>
  <c r="N127" i="7"/>
  <c r="M127" i="7"/>
  <c r="L127" i="7"/>
  <c r="X126" i="7"/>
  <c r="W126" i="7"/>
  <c r="V126" i="7"/>
  <c r="U126" i="7"/>
  <c r="T126" i="7"/>
  <c r="S126" i="7"/>
  <c r="R126" i="7"/>
  <c r="N126" i="7"/>
  <c r="M126" i="7"/>
  <c r="L126" i="7"/>
  <c r="X125" i="7"/>
  <c r="W125" i="7"/>
  <c r="V125" i="7"/>
  <c r="U125" i="7"/>
  <c r="T125" i="7"/>
  <c r="S125" i="7"/>
  <c r="R125" i="7"/>
  <c r="N125" i="7"/>
  <c r="M125" i="7"/>
  <c r="L125" i="7"/>
  <c r="X124" i="7"/>
  <c r="W124" i="7"/>
  <c r="V124" i="7"/>
  <c r="U124" i="7"/>
  <c r="T124" i="7"/>
  <c r="S124" i="7"/>
  <c r="R124" i="7"/>
  <c r="N124" i="7"/>
  <c r="M124" i="7"/>
  <c r="L124" i="7"/>
  <c r="X123" i="7"/>
  <c r="W123" i="7"/>
  <c r="V123" i="7"/>
  <c r="U123" i="7"/>
  <c r="T123" i="7"/>
  <c r="S123" i="7"/>
  <c r="R123" i="7"/>
  <c r="N123" i="7"/>
  <c r="M123" i="7"/>
  <c r="L123" i="7"/>
  <c r="X122" i="7"/>
  <c r="W122" i="7"/>
  <c r="V122" i="7"/>
  <c r="U122" i="7"/>
  <c r="T122" i="7"/>
  <c r="S122" i="7"/>
  <c r="R122" i="7"/>
  <c r="N122" i="7"/>
  <c r="M122" i="7"/>
  <c r="L122" i="7"/>
  <c r="X121" i="7"/>
  <c r="W121" i="7"/>
  <c r="V121" i="7"/>
  <c r="U121" i="7"/>
  <c r="T121" i="7"/>
  <c r="S121" i="7"/>
  <c r="R121" i="7"/>
  <c r="N121" i="7"/>
  <c r="M121" i="7"/>
  <c r="L121" i="7"/>
  <c r="X120" i="7"/>
  <c r="W120" i="7"/>
  <c r="V120" i="7"/>
  <c r="U120" i="7"/>
  <c r="T120" i="7"/>
  <c r="S120" i="7"/>
  <c r="R120" i="7"/>
  <c r="N120" i="7"/>
  <c r="M120" i="7"/>
  <c r="L120" i="7"/>
  <c r="X119" i="7"/>
  <c r="W119" i="7"/>
  <c r="V119" i="7"/>
  <c r="U119" i="7"/>
  <c r="T119" i="7"/>
  <c r="S119" i="7"/>
  <c r="R119" i="7"/>
  <c r="N119" i="7"/>
  <c r="M119" i="7"/>
  <c r="L119" i="7"/>
  <c r="X118" i="7"/>
  <c r="W118" i="7"/>
  <c r="V118" i="7"/>
  <c r="U118" i="7"/>
  <c r="T118" i="7"/>
  <c r="S118" i="7"/>
  <c r="R118" i="7"/>
  <c r="N118" i="7"/>
  <c r="M118" i="7"/>
  <c r="L118" i="7"/>
  <c r="X117" i="7"/>
  <c r="W117" i="7"/>
  <c r="V117" i="7"/>
  <c r="U117" i="7"/>
  <c r="T117" i="7"/>
  <c r="S117" i="7"/>
  <c r="R117" i="7"/>
  <c r="N117" i="7"/>
  <c r="M117" i="7"/>
  <c r="L117" i="7"/>
  <c r="X116" i="7"/>
  <c r="W116" i="7"/>
  <c r="V116" i="7"/>
  <c r="U116" i="7"/>
  <c r="T116" i="7"/>
  <c r="S116" i="7"/>
  <c r="R116" i="7"/>
  <c r="N116" i="7"/>
  <c r="M116" i="7"/>
  <c r="L116" i="7"/>
  <c r="X115" i="7"/>
  <c r="W115" i="7"/>
  <c r="V115" i="7"/>
  <c r="U115" i="7"/>
  <c r="T115" i="7"/>
  <c r="S115" i="7"/>
  <c r="R115" i="7"/>
  <c r="N115" i="7"/>
  <c r="M115" i="7"/>
  <c r="L115" i="7"/>
  <c r="X114" i="7"/>
  <c r="W114" i="7"/>
  <c r="V114" i="7"/>
  <c r="U114" i="7"/>
  <c r="T114" i="7"/>
  <c r="S114" i="7"/>
  <c r="R114" i="7"/>
  <c r="N114" i="7"/>
  <c r="M114" i="7"/>
  <c r="L114" i="7"/>
  <c r="X113" i="7"/>
  <c r="W113" i="7"/>
  <c r="V113" i="7"/>
  <c r="U113" i="7"/>
  <c r="T113" i="7"/>
  <c r="S113" i="7"/>
  <c r="R113" i="7"/>
  <c r="N113" i="7"/>
  <c r="M113" i="7"/>
  <c r="L113" i="7"/>
  <c r="X112" i="7"/>
  <c r="W112" i="7"/>
  <c r="V112" i="7"/>
  <c r="U112" i="7"/>
  <c r="T112" i="7"/>
  <c r="S112" i="7"/>
  <c r="R112" i="7"/>
  <c r="N112" i="7"/>
  <c r="M112" i="7"/>
  <c r="L112" i="7"/>
  <c r="X111" i="7"/>
  <c r="W111" i="7"/>
  <c r="V111" i="7"/>
  <c r="U111" i="7"/>
  <c r="T111" i="7"/>
  <c r="S111" i="7"/>
  <c r="R111" i="7"/>
  <c r="N111" i="7"/>
  <c r="M111" i="7"/>
  <c r="L111" i="7"/>
  <c r="X110" i="7"/>
  <c r="W110" i="7"/>
  <c r="V110" i="7"/>
  <c r="U110" i="7"/>
  <c r="T110" i="7"/>
  <c r="S110" i="7"/>
  <c r="R110" i="7"/>
  <c r="N110" i="7"/>
  <c r="M110" i="7"/>
  <c r="L110" i="7"/>
  <c r="X109" i="7"/>
  <c r="W109" i="7"/>
  <c r="V109" i="7"/>
  <c r="U109" i="7"/>
  <c r="T109" i="7"/>
  <c r="S109" i="7"/>
  <c r="R109" i="7"/>
  <c r="N109" i="7"/>
  <c r="M109" i="7"/>
  <c r="L109" i="7"/>
  <c r="X108" i="7"/>
  <c r="W108" i="7"/>
  <c r="V108" i="7"/>
  <c r="U108" i="7"/>
  <c r="T108" i="7"/>
  <c r="S108" i="7"/>
  <c r="R108" i="7"/>
  <c r="N108" i="7"/>
  <c r="M108" i="7"/>
  <c r="L108" i="7"/>
  <c r="X107" i="7"/>
  <c r="W107" i="7"/>
  <c r="V107" i="7"/>
  <c r="U107" i="7"/>
  <c r="T107" i="7"/>
  <c r="S107" i="7"/>
  <c r="R107" i="7"/>
  <c r="N107" i="7"/>
  <c r="M107" i="7"/>
  <c r="L107" i="7"/>
  <c r="X106" i="7"/>
  <c r="W106" i="7"/>
  <c r="V106" i="7"/>
  <c r="U106" i="7"/>
  <c r="T106" i="7"/>
  <c r="S106" i="7"/>
  <c r="R106" i="7"/>
  <c r="N106" i="7"/>
  <c r="M106" i="7"/>
  <c r="L106" i="7"/>
  <c r="X105" i="7"/>
  <c r="W105" i="7"/>
  <c r="V105" i="7"/>
  <c r="U105" i="7"/>
  <c r="T105" i="7"/>
  <c r="S105" i="7"/>
  <c r="R105" i="7"/>
  <c r="N105" i="7"/>
  <c r="M105" i="7"/>
  <c r="L105" i="7"/>
  <c r="X104" i="7"/>
  <c r="W104" i="7"/>
  <c r="V104" i="7"/>
  <c r="U104" i="7"/>
  <c r="T104" i="7"/>
  <c r="S104" i="7"/>
  <c r="R104" i="7"/>
  <c r="N104" i="7"/>
  <c r="M104" i="7"/>
  <c r="L104" i="7"/>
  <c r="X103" i="7"/>
  <c r="W103" i="7"/>
  <c r="V103" i="7"/>
  <c r="U103" i="7"/>
  <c r="T103" i="7"/>
  <c r="S103" i="7"/>
  <c r="R103" i="7"/>
  <c r="N103" i="7"/>
  <c r="M103" i="7"/>
  <c r="L103" i="7"/>
  <c r="X102" i="7"/>
  <c r="W102" i="7"/>
  <c r="V102" i="7"/>
  <c r="U102" i="7"/>
  <c r="T102" i="7"/>
  <c r="S102" i="7"/>
  <c r="R102" i="7"/>
  <c r="N102" i="7"/>
  <c r="M102" i="7"/>
  <c r="L102" i="7"/>
  <c r="X101" i="7"/>
  <c r="W101" i="7"/>
  <c r="V101" i="7"/>
  <c r="U101" i="7"/>
  <c r="T101" i="7"/>
  <c r="S101" i="7"/>
  <c r="R101" i="7"/>
  <c r="N101" i="7"/>
  <c r="M101" i="7"/>
  <c r="L101" i="7"/>
  <c r="X100" i="7"/>
  <c r="W100" i="7"/>
  <c r="V100" i="7"/>
  <c r="U100" i="7"/>
  <c r="T100" i="7"/>
  <c r="S100" i="7"/>
  <c r="R100" i="7"/>
  <c r="N100" i="7"/>
  <c r="M100" i="7"/>
  <c r="L100" i="7"/>
  <c r="X99" i="7"/>
  <c r="W99" i="7"/>
  <c r="V99" i="7"/>
  <c r="U99" i="7"/>
  <c r="T99" i="7"/>
  <c r="S99" i="7"/>
  <c r="R99" i="7"/>
  <c r="N99" i="7"/>
  <c r="M99" i="7"/>
  <c r="L99" i="7"/>
  <c r="X98" i="7"/>
  <c r="W98" i="7"/>
  <c r="V98" i="7"/>
  <c r="U98" i="7"/>
  <c r="T98" i="7"/>
  <c r="S98" i="7"/>
  <c r="R98" i="7"/>
  <c r="N98" i="7"/>
  <c r="M98" i="7"/>
  <c r="L98" i="7"/>
  <c r="X97" i="7"/>
  <c r="W97" i="7"/>
  <c r="V97" i="7"/>
  <c r="U97" i="7"/>
  <c r="T97" i="7"/>
  <c r="S97" i="7"/>
  <c r="R97" i="7"/>
  <c r="N97" i="7"/>
  <c r="M97" i="7"/>
  <c r="L97" i="7"/>
  <c r="X96" i="7"/>
  <c r="W96" i="7"/>
  <c r="V96" i="7"/>
  <c r="U96" i="7"/>
  <c r="T96" i="7"/>
  <c r="S96" i="7"/>
  <c r="R96" i="7"/>
  <c r="N96" i="7"/>
  <c r="M96" i="7"/>
  <c r="L96" i="7"/>
  <c r="X95" i="7"/>
  <c r="W95" i="7"/>
  <c r="V95" i="7"/>
  <c r="U95" i="7"/>
  <c r="T95" i="7"/>
  <c r="S95" i="7"/>
  <c r="R95" i="7"/>
  <c r="N95" i="7"/>
  <c r="M95" i="7"/>
  <c r="L95" i="7"/>
  <c r="X94" i="7"/>
  <c r="W94" i="7"/>
  <c r="V94" i="7"/>
  <c r="U94" i="7"/>
  <c r="T94" i="7"/>
  <c r="S94" i="7"/>
  <c r="R94" i="7"/>
  <c r="N94" i="7"/>
  <c r="M94" i="7"/>
  <c r="L94" i="7"/>
  <c r="X93" i="7"/>
  <c r="W93" i="7"/>
  <c r="V93" i="7"/>
  <c r="U93" i="7"/>
  <c r="T93" i="7"/>
  <c r="S93" i="7"/>
  <c r="R93" i="7"/>
  <c r="N93" i="7"/>
  <c r="M93" i="7"/>
  <c r="L93" i="7"/>
  <c r="X92" i="7"/>
  <c r="W92" i="7"/>
  <c r="V92" i="7"/>
  <c r="U92" i="7"/>
  <c r="T92" i="7"/>
  <c r="S92" i="7"/>
  <c r="R92" i="7"/>
  <c r="N92" i="7"/>
  <c r="M92" i="7"/>
  <c r="L92" i="7"/>
  <c r="X91" i="7"/>
  <c r="W91" i="7"/>
  <c r="V91" i="7"/>
  <c r="U91" i="7"/>
  <c r="T91" i="7"/>
  <c r="S91" i="7"/>
  <c r="R91" i="7"/>
  <c r="N91" i="7"/>
  <c r="M91" i="7"/>
  <c r="L91" i="7"/>
  <c r="X90" i="7"/>
  <c r="W90" i="7"/>
  <c r="V90" i="7"/>
  <c r="U90" i="7"/>
  <c r="T90" i="7"/>
  <c r="S90" i="7"/>
  <c r="R90" i="7"/>
  <c r="N90" i="7"/>
  <c r="M90" i="7"/>
  <c r="L90" i="7"/>
  <c r="X89" i="7"/>
  <c r="W89" i="7"/>
  <c r="V89" i="7"/>
  <c r="U89" i="7"/>
  <c r="T89" i="7"/>
  <c r="S89" i="7"/>
  <c r="R89" i="7"/>
  <c r="N89" i="7"/>
  <c r="M89" i="7"/>
  <c r="L89" i="7"/>
  <c r="X88" i="7"/>
  <c r="W88" i="7"/>
  <c r="V88" i="7"/>
  <c r="U88" i="7"/>
  <c r="T88" i="7"/>
  <c r="S88" i="7"/>
  <c r="R88" i="7"/>
  <c r="N88" i="7"/>
  <c r="M88" i="7"/>
  <c r="L88" i="7"/>
  <c r="X87" i="7"/>
  <c r="W87" i="7"/>
  <c r="V87" i="7"/>
  <c r="U87" i="7"/>
  <c r="T87" i="7"/>
  <c r="S87" i="7"/>
  <c r="R87" i="7"/>
  <c r="N87" i="7"/>
  <c r="M87" i="7"/>
  <c r="L87" i="7"/>
  <c r="X86" i="7"/>
  <c r="W86" i="7"/>
  <c r="V86" i="7"/>
  <c r="U86" i="7"/>
  <c r="T86" i="7"/>
  <c r="S86" i="7"/>
  <c r="R86" i="7"/>
  <c r="N86" i="7"/>
  <c r="M86" i="7"/>
  <c r="L86" i="7"/>
  <c r="X85" i="7"/>
  <c r="W85" i="7"/>
  <c r="V85" i="7"/>
  <c r="U85" i="7"/>
  <c r="T85" i="7"/>
  <c r="S85" i="7"/>
  <c r="R85" i="7"/>
  <c r="N85" i="7"/>
  <c r="M85" i="7"/>
  <c r="L85" i="7"/>
  <c r="X84" i="7"/>
  <c r="W84" i="7"/>
  <c r="V84" i="7"/>
  <c r="U84" i="7"/>
  <c r="T84" i="7"/>
  <c r="S84" i="7"/>
  <c r="R84" i="7"/>
  <c r="N84" i="7"/>
  <c r="M84" i="7"/>
  <c r="L84" i="7"/>
  <c r="X83" i="7"/>
  <c r="W83" i="7"/>
  <c r="V83" i="7"/>
  <c r="U83" i="7"/>
  <c r="T83" i="7"/>
  <c r="S83" i="7"/>
  <c r="R83" i="7"/>
  <c r="N83" i="7"/>
  <c r="M83" i="7"/>
  <c r="L83" i="7"/>
  <c r="X82" i="7"/>
  <c r="W82" i="7"/>
  <c r="V82" i="7"/>
  <c r="U82" i="7"/>
  <c r="T82" i="7"/>
  <c r="S82" i="7"/>
  <c r="R82" i="7"/>
  <c r="N82" i="7"/>
  <c r="M82" i="7"/>
  <c r="L82" i="7"/>
  <c r="X81" i="7"/>
  <c r="W81" i="7"/>
  <c r="V81" i="7"/>
  <c r="U81" i="7"/>
  <c r="T81" i="7"/>
  <c r="S81" i="7"/>
  <c r="R81" i="7"/>
  <c r="N81" i="7"/>
  <c r="M81" i="7"/>
  <c r="L81" i="7"/>
  <c r="X80" i="7"/>
  <c r="W80" i="7"/>
  <c r="V80" i="7"/>
  <c r="U80" i="7"/>
  <c r="T80" i="7"/>
  <c r="S80" i="7"/>
  <c r="R80" i="7"/>
  <c r="N80" i="7"/>
  <c r="M80" i="7"/>
  <c r="L80" i="7"/>
  <c r="X79" i="7"/>
  <c r="W79" i="7"/>
  <c r="V79" i="7"/>
  <c r="U79" i="7"/>
  <c r="T79" i="7"/>
  <c r="S79" i="7"/>
  <c r="R79" i="7"/>
  <c r="N79" i="7"/>
  <c r="M79" i="7"/>
  <c r="L79" i="7"/>
  <c r="X78" i="7"/>
  <c r="W78" i="7"/>
  <c r="V78" i="7"/>
  <c r="U78" i="7"/>
  <c r="T78" i="7"/>
  <c r="S78" i="7"/>
  <c r="R78" i="7"/>
  <c r="N78" i="7"/>
  <c r="M78" i="7"/>
  <c r="L78" i="7"/>
  <c r="X77" i="7"/>
  <c r="W77" i="7"/>
  <c r="V77" i="7"/>
  <c r="U77" i="7"/>
  <c r="T77" i="7"/>
  <c r="S77" i="7"/>
  <c r="R77" i="7"/>
  <c r="N77" i="7"/>
  <c r="M77" i="7"/>
  <c r="L77" i="7"/>
  <c r="X76" i="7"/>
  <c r="W76" i="7"/>
  <c r="V76" i="7"/>
  <c r="U76" i="7"/>
  <c r="T76" i="7"/>
  <c r="S76" i="7"/>
  <c r="R76" i="7"/>
  <c r="N76" i="7"/>
  <c r="M76" i="7"/>
  <c r="L76" i="7"/>
  <c r="X75" i="7"/>
  <c r="W75" i="7"/>
  <c r="V75" i="7"/>
  <c r="U75" i="7"/>
  <c r="T75" i="7"/>
  <c r="S75" i="7"/>
  <c r="R75" i="7"/>
  <c r="N75" i="7"/>
  <c r="M75" i="7"/>
  <c r="L75" i="7"/>
  <c r="X74" i="7"/>
  <c r="W74" i="7"/>
  <c r="V74" i="7"/>
  <c r="U74" i="7"/>
  <c r="T74" i="7"/>
  <c r="S74" i="7"/>
  <c r="R74" i="7"/>
  <c r="N74" i="7"/>
  <c r="M74" i="7"/>
  <c r="L74" i="7"/>
  <c r="X73" i="7"/>
  <c r="W73" i="7"/>
  <c r="V73" i="7"/>
  <c r="U73" i="7"/>
  <c r="T73" i="7"/>
  <c r="S73" i="7"/>
  <c r="R73" i="7"/>
  <c r="N73" i="7"/>
  <c r="M73" i="7"/>
  <c r="L73" i="7"/>
  <c r="X72" i="7"/>
  <c r="W72" i="7"/>
  <c r="V72" i="7"/>
  <c r="U72" i="7"/>
  <c r="T72" i="7"/>
  <c r="S72" i="7"/>
  <c r="R72" i="7"/>
  <c r="N72" i="7"/>
  <c r="M72" i="7"/>
  <c r="L72" i="7"/>
  <c r="X71" i="7"/>
  <c r="W71" i="7"/>
  <c r="V71" i="7"/>
  <c r="U71" i="7"/>
  <c r="T71" i="7"/>
  <c r="S71" i="7"/>
  <c r="R71" i="7"/>
  <c r="N71" i="7"/>
  <c r="M71" i="7"/>
  <c r="L71" i="7"/>
  <c r="X70" i="7"/>
  <c r="W70" i="7"/>
  <c r="V70" i="7"/>
  <c r="U70" i="7"/>
  <c r="T70" i="7"/>
  <c r="S70" i="7"/>
  <c r="R70" i="7"/>
  <c r="N70" i="7"/>
  <c r="M70" i="7"/>
  <c r="L70" i="7"/>
  <c r="X69" i="7"/>
  <c r="W69" i="7"/>
  <c r="V69" i="7"/>
  <c r="U69" i="7"/>
  <c r="T69" i="7"/>
  <c r="S69" i="7"/>
  <c r="R69" i="7"/>
  <c r="N69" i="7"/>
  <c r="M69" i="7"/>
  <c r="L69" i="7"/>
  <c r="X68" i="7"/>
  <c r="W68" i="7"/>
  <c r="V68" i="7"/>
  <c r="U68" i="7"/>
  <c r="T68" i="7"/>
  <c r="S68" i="7"/>
  <c r="R68" i="7"/>
  <c r="N68" i="7"/>
  <c r="M68" i="7"/>
  <c r="L68" i="7"/>
  <c r="X67" i="7"/>
  <c r="W67" i="7"/>
  <c r="V67" i="7"/>
  <c r="U67" i="7"/>
  <c r="T67" i="7"/>
  <c r="S67" i="7"/>
  <c r="R67" i="7"/>
  <c r="N67" i="7"/>
  <c r="M67" i="7"/>
  <c r="L67" i="7"/>
  <c r="X66" i="7"/>
  <c r="W66" i="7"/>
  <c r="V66" i="7"/>
  <c r="U66" i="7"/>
  <c r="T66" i="7"/>
  <c r="S66" i="7"/>
  <c r="R66" i="7"/>
  <c r="N66" i="7"/>
  <c r="M66" i="7"/>
  <c r="L66" i="7"/>
  <c r="X65" i="7"/>
  <c r="W65" i="7"/>
  <c r="V65" i="7"/>
  <c r="U65" i="7"/>
  <c r="T65" i="7"/>
  <c r="S65" i="7"/>
  <c r="R65" i="7"/>
  <c r="N65" i="7"/>
  <c r="M65" i="7"/>
  <c r="L65" i="7"/>
  <c r="X64" i="7"/>
  <c r="W64" i="7"/>
  <c r="V64" i="7"/>
  <c r="U64" i="7"/>
  <c r="T64" i="7"/>
  <c r="S64" i="7"/>
  <c r="R64" i="7"/>
  <c r="N64" i="7"/>
  <c r="M64" i="7"/>
  <c r="L64" i="7"/>
  <c r="X63" i="7"/>
  <c r="W63" i="7"/>
  <c r="V63" i="7"/>
  <c r="U63" i="7"/>
  <c r="T63" i="7"/>
  <c r="S63" i="7"/>
  <c r="R63" i="7"/>
  <c r="N63" i="7"/>
  <c r="M63" i="7"/>
  <c r="L63" i="7"/>
  <c r="X62" i="7"/>
  <c r="W62" i="7"/>
  <c r="V62" i="7"/>
  <c r="U62" i="7"/>
  <c r="T62" i="7"/>
  <c r="S62" i="7"/>
  <c r="R62" i="7"/>
  <c r="N62" i="7"/>
  <c r="M62" i="7"/>
  <c r="L62" i="7"/>
  <c r="X61" i="7"/>
  <c r="W61" i="7"/>
  <c r="V61" i="7"/>
  <c r="U61" i="7"/>
  <c r="T61" i="7"/>
  <c r="S61" i="7"/>
  <c r="R61" i="7"/>
  <c r="N61" i="7"/>
  <c r="M61" i="7"/>
  <c r="L61" i="7"/>
  <c r="X60" i="7"/>
  <c r="W60" i="7"/>
  <c r="V60" i="7"/>
  <c r="U60" i="7"/>
  <c r="T60" i="7"/>
  <c r="S60" i="7"/>
  <c r="R60" i="7"/>
  <c r="N60" i="7"/>
  <c r="M60" i="7"/>
  <c r="L60" i="7"/>
  <c r="X59" i="7"/>
  <c r="W59" i="7"/>
  <c r="V59" i="7"/>
  <c r="U59" i="7"/>
  <c r="T59" i="7"/>
  <c r="S59" i="7"/>
  <c r="R59" i="7"/>
  <c r="N59" i="7"/>
  <c r="M59" i="7"/>
  <c r="L59" i="7"/>
  <c r="X58" i="7"/>
  <c r="W58" i="7"/>
  <c r="V58" i="7"/>
  <c r="U58" i="7"/>
  <c r="T58" i="7"/>
  <c r="S58" i="7"/>
  <c r="R58" i="7"/>
  <c r="N58" i="7"/>
  <c r="M58" i="7"/>
  <c r="L58" i="7"/>
  <c r="X57" i="7"/>
  <c r="W57" i="7"/>
  <c r="V57" i="7"/>
  <c r="U57" i="7"/>
  <c r="T57" i="7"/>
  <c r="S57" i="7"/>
  <c r="R57" i="7"/>
  <c r="N57" i="7"/>
  <c r="M57" i="7"/>
  <c r="L57" i="7"/>
  <c r="X56" i="7"/>
  <c r="W56" i="7"/>
  <c r="V56" i="7"/>
  <c r="U56" i="7"/>
  <c r="T56" i="7"/>
  <c r="S56" i="7"/>
  <c r="R56" i="7"/>
  <c r="N56" i="7"/>
  <c r="M56" i="7"/>
  <c r="L56" i="7"/>
  <c r="X55" i="7"/>
  <c r="W55" i="7"/>
  <c r="V55" i="7"/>
  <c r="U55" i="7"/>
  <c r="T55" i="7"/>
  <c r="S55" i="7"/>
  <c r="R55" i="7"/>
  <c r="N55" i="7"/>
  <c r="M55" i="7"/>
  <c r="L55" i="7"/>
  <c r="X54" i="7"/>
  <c r="W54" i="7"/>
  <c r="V54" i="7"/>
  <c r="U54" i="7"/>
  <c r="T54" i="7"/>
  <c r="S54" i="7"/>
  <c r="R54" i="7"/>
  <c r="N54" i="7"/>
  <c r="M54" i="7"/>
  <c r="L54" i="7"/>
  <c r="X53" i="7"/>
  <c r="W53" i="7"/>
  <c r="V53" i="7"/>
  <c r="U53" i="7"/>
  <c r="T53" i="7"/>
  <c r="S53" i="7"/>
  <c r="R53" i="7"/>
  <c r="N53" i="7"/>
  <c r="M53" i="7"/>
  <c r="L53" i="7"/>
  <c r="X52" i="7"/>
  <c r="W52" i="7"/>
  <c r="V52" i="7"/>
  <c r="U52" i="7"/>
  <c r="T52" i="7"/>
  <c r="S52" i="7"/>
  <c r="R52" i="7"/>
  <c r="N52" i="7"/>
  <c r="M52" i="7"/>
  <c r="L52" i="7"/>
  <c r="X51" i="7"/>
  <c r="W51" i="7"/>
  <c r="V51" i="7"/>
  <c r="U51" i="7"/>
  <c r="T51" i="7"/>
  <c r="S51" i="7"/>
  <c r="R51" i="7"/>
  <c r="N51" i="7"/>
  <c r="M51" i="7"/>
  <c r="L51" i="7"/>
  <c r="X50" i="7"/>
  <c r="W50" i="7"/>
  <c r="V50" i="7"/>
  <c r="U50" i="7"/>
  <c r="T50" i="7"/>
  <c r="S50" i="7"/>
  <c r="R50" i="7"/>
  <c r="N50" i="7"/>
  <c r="M50" i="7"/>
  <c r="L50" i="7"/>
  <c r="X49" i="7"/>
  <c r="W49" i="7"/>
  <c r="V49" i="7"/>
  <c r="U49" i="7"/>
  <c r="T49" i="7"/>
  <c r="S49" i="7"/>
  <c r="R49" i="7"/>
  <c r="N49" i="7"/>
  <c r="M49" i="7"/>
  <c r="L49" i="7"/>
  <c r="X48" i="7"/>
  <c r="W48" i="7"/>
  <c r="V48" i="7"/>
  <c r="R48" i="7"/>
  <c r="N48" i="7"/>
  <c r="M48" i="7"/>
  <c r="L48" i="7"/>
  <c r="X47" i="7"/>
  <c r="W47" i="7"/>
  <c r="V47" i="7"/>
  <c r="U47" i="7"/>
  <c r="T47" i="7"/>
  <c r="S47" i="7"/>
  <c r="R47" i="7"/>
  <c r="N47" i="7"/>
  <c r="M47" i="7"/>
  <c r="L47" i="7"/>
  <c r="X46" i="7"/>
  <c r="W46" i="7"/>
  <c r="V46" i="7"/>
  <c r="U46" i="7"/>
  <c r="T46" i="7"/>
  <c r="S46" i="7"/>
  <c r="R46" i="7"/>
  <c r="N46" i="7"/>
  <c r="M46" i="7"/>
  <c r="L46" i="7"/>
  <c r="X45" i="7"/>
  <c r="W45" i="7"/>
  <c r="V45" i="7"/>
  <c r="U45" i="7"/>
  <c r="T45" i="7"/>
  <c r="S45" i="7"/>
  <c r="R45" i="7"/>
  <c r="N45" i="7"/>
  <c r="M45" i="7"/>
  <c r="L45" i="7"/>
  <c r="X44" i="7"/>
  <c r="W44" i="7"/>
  <c r="V44" i="7"/>
  <c r="U44" i="7"/>
  <c r="T44" i="7"/>
  <c r="S44" i="7"/>
  <c r="R44" i="7"/>
  <c r="N44" i="7"/>
  <c r="M44" i="7"/>
  <c r="L44" i="7"/>
  <c r="X43" i="7"/>
  <c r="W43" i="7"/>
  <c r="V43" i="7"/>
  <c r="R43" i="7"/>
  <c r="N43" i="7"/>
  <c r="M43" i="7"/>
  <c r="L43" i="7"/>
  <c r="X42" i="7"/>
  <c r="W42" i="7"/>
  <c r="V42" i="7"/>
  <c r="U42" i="7"/>
  <c r="T42" i="7"/>
  <c r="S42" i="7"/>
  <c r="R42" i="7"/>
  <c r="N42" i="7"/>
  <c r="M42" i="7"/>
  <c r="L42" i="7"/>
  <c r="X41" i="7"/>
  <c r="W41" i="7"/>
  <c r="V41" i="7"/>
  <c r="U41" i="7"/>
  <c r="T41" i="7"/>
  <c r="S41" i="7"/>
  <c r="R41" i="7"/>
  <c r="N41" i="7"/>
  <c r="M41" i="7"/>
  <c r="L41" i="7"/>
  <c r="X40" i="7"/>
  <c r="W40" i="7"/>
  <c r="V40" i="7"/>
  <c r="U40" i="7"/>
  <c r="T40" i="7"/>
  <c r="S40" i="7"/>
  <c r="R40" i="7"/>
  <c r="N40" i="7"/>
  <c r="M40" i="7"/>
  <c r="L40" i="7"/>
  <c r="X39" i="7"/>
  <c r="W39" i="7"/>
  <c r="V39" i="7"/>
  <c r="U39" i="7"/>
  <c r="T39" i="7"/>
  <c r="S39" i="7"/>
  <c r="R39" i="7"/>
  <c r="N39" i="7"/>
  <c r="M39" i="7"/>
  <c r="L39" i="7"/>
  <c r="X38" i="7"/>
  <c r="W38" i="7"/>
  <c r="V38" i="7"/>
  <c r="U38" i="7"/>
  <c r="T38" i="7"/>
  <c r="S38" i="7"/>
  <c r="R38" i="7"/>
  <c r="N38" i="7"/>
  <c r="M38" i="7"/>
  <c r="L38" i="7"/>
  <c r="X37" i="7"/>
  <c r="W37" i="7"/>
  <c r="V37" i="7"/>
  <c r="U37" i="7"/>
  <c r="T37" i="7"/>
  <c r="S37" i="7"/>
  <c r="R37" i="7"/>
  <c r="N37" i="7"/>
  <c r="M37" i="7"/>
  <c r="L37" i="7"/>
  <c r="X36" i="7"/>
  <c r="W36" i="7"/>
  <c r="V36" i="7"/>
  <c r="U36" i="7"/>
  <c r="T36" i="7"/>
  <c r="S36" i="7"/>
  <c r="R36" i="7"/>
  <c r="N36" i="7"/>
  <c r="M36" i="7"/>
  <c r="L36" i="7"/>
  <c r="X35" i="7"/>
  <c r="W35" i="7"/>
  <c r="V35" i="7"/>
  <c r="U35" i="7"/>
  <c r="T35" i="7"/>
  <c r="S35" i="7"/>
  <c r="R35" i="7"/>
  <c r="N35" i="7"/>
  <c r="M35" i="7"/>
  <c r="L35" i="7"/>
  <c r="U34" i="7"/>
  <c r="T34" i="7"/>
  <c r="S34" i="7"/>
  <c r="R34" i="7"/>
  <c r="N34" i="7"/>
  <c r="Q48" i="7" s="1"/>
  <c r="M34" i="7"/>
  <c r="P35" i="7" s="1"/>
  <c r="L34" i="7"/>
  <c r="O42" i="7" s="1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X32" i="7"/>
  <c r="W32" i="7"/>
  <c r="V32" i="7"/>
  <c r="U32" i="7"/>
  <c r="T32" i="7"/>
  <c r="S32" i="7"/>
  <c r="Q32" i="7"/>
  <c r="P32" i="7"/>
  <c r="O32" i="7"/>
  <c r="N32" i="7"/>
  <c r="M32" i="7"/>
  <c r="L32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R16" i="7"/>
  <c r="N16" i="7"/>
  <c r="M16" i="7"/>
  <c r="L16" i="7"/>
  <c r="K16" i="7"/>
  <c r="W7" i="7"/>
  <c r="Y2" i="7"/>
  <c r="O51" i="16"/>
  <c r="O44" i="16"/>
  <c r="P36" i="22"/>
  <c r="P40" i="16"/>
  <c r="O33" i="22"/>
  <c r="Q50" i="22"/>
  <c r="O28" i="31"/>
  <c r="O34" i="31"/>
  <c r="O32" i="31"/>
  <c r="O30" i="31"/>
  <c r="P35" i="33"/>
  <c r="O34" i="33"/>
  <c r="P32" i="35"/>
  <c r="O33" i="31"/>
  <c r="O31" i="31"/>
  <c r="P33" i="33"/>
  <c r="O33" i="33"/>
  <c r="O37" i="33"/>
  <c r="O36" i="33"/>
  <c r="O32" i="33"/>
  <c r="Q38" i="37"/>
  <c r="Q23" i="37"/>
  <c r="O34" i="22"/>
  <c r="O35" i="31"/>
  <c r="O36" i="31"/>
  <c r="O57" i="11"/>
  <c r="P33" i="37" l="1"/>
  <c r="P28" i="37"/>
  <c r="P34" i="37"/>
  <c r="P29" i="37"/>
  <c r="O58" i="9"/>
  <c r="O55" i="11"/>
  <c r="O45" i="18"/>
  <c r="O35" i="33"/>
  <c r="R61" i="9"/>
  <c r="P34" i="35"/>
  <c r="R46" i="9"/>
  <c r="R66" i="9"/>
  <c r="O61" i="9"/>
  <c r="O50" i="9"/>
  <c r="Q32" i="33"/>
  <c r="O52" i="9"/>
  <c r="R29" i="9"/>
  <c r="P26" i="35"/>
  <c r="O38" i="22"/>
  <c r="R52" i="9"/>
  <c r="R65" i="9"/>
  <c r="Q47" i="24"/>
  <c r="R50" i="9"/>
  <c r="Q44" i="24"/>
  <c r="N31" i="35"/>
  <c r="P30" i="28"/>
  <c r="P26" i="28"/>
  <c r="Q51" i="20"/>
  <c r="Q50" i="24"/>
  <c r="P24" i="28"/>
  <c r="Q47" i="20"/>
  <c r="Q43" i="20"/>
  <c r="O40" i="20"/>
  <c r="Q48" i="20"/>
  <c r="Q56" i="20"/>
  <c r="P27" i="35"/>
  <c r="P29" i="35"/>
  <c r="Q41" i="24"/>
  <c r="P22" i="28"/>
  <c r="N33" i="35"/>
  <c r="Q39" i="20"/>
  <c r="R58" i="9"/>
  <c r="Q30" i="28"/>
  <c r="R43" i="9"/>
  <c r="N50" i="9"/>
  <c r="Q28" i="28"/>
  <c r="N30" i="35"/>
  <c r="Q44" i="20"/>
  <c r="Q49" i="24"/>
  <c r="R40" i="9"/>
  <c r="N41" i="9"/>
  <c r="M23" i="28"/>
  <c r="R57" i="9"/>
  <c r="N37" i="9"/>
  <c r="P28" i="35"/>
  <c r="P45" i="16"/>
  <c r="Q46" i="11"/>
  <c r="Q57" i="20"/>
  <c r="R35" i="9"/>
  <c r="N35" i="9"/>
  <c r="P30" i="35"/>
  <c r="P42" i="16"/>
  <c r="N31" i="9"/>
  <c r="Q42" i="11"/>
  <c r="N27" i="35"/>
  <c r="Q43" i="11"/>
  <c r="Q23" i="28"/>
  <c r="N45" i="18"/>
  <c r="Q30" i="31"/>
  <c r="P33" i="28"/>
  <c r="N27" i="18"/>
  <c r="R41" i="9"/>
  <c r="N52" i="9"/>
  <c r="Q46" i="24"/>
  <c r="Q45" i="11"/>
  <c r="Q49" i="11"/>
  <c r="Q29" i="28"/>
  <c r="M27" i="28"/>
  <c r="Q64" i="20"/>
  <c r="N47" i="9"/>
  <c r="M25" i="28"/>
  <c r="R49" i="9"/>
  <c r="N43" i="9"/>
  <c r="P44" i="11"/>
  <c r="P32" i="28"/>
  <c r="N30" i="18"/>
  <c r="R34" i="9"/>
  <c r="N48" i="9"/>
  <c r="P41" i="11"/>
  <c r="N25" i="18"/>
  <c r="R64" i="9"/>
  <c r="O39" i="16"/>
  <c r="P31" i="35"/>
  <c r="Q34" i="31"/>
  <c r="Q43" i="24"/>
  <c r="N44" i="9"/>
  <c r="Q48" i="24"/>
  <c r="O42" i="11"/>
  <c r="R60" i="9"/>
  <c r="O53" i="16"/>
  <c r="P33" i="35"/>
  <c r="Q28" i="31"/>
  <c r="N38" i="9"/>
  <c r="Q26" i="28"/>
  <c r="Q24" i="28"/>
  <c r="N29" i="35"/>
  <c r="N33" i="9"/>
  <c r="M29" i="28"/>
  <c r="Q48" i="11"/>
  <c r="Q31" i="28"/>
  <c r="P47" i="11"/>
  <c r="N29" i="9"/>
  <c r="R48" i="9"/>
  <c r="N34" i="9"/>
  <c r="Q45" i="24"/>
  <c r="Q51" i="24"/>
  <c r="R39" i="9"/>
  <c r="N28" i="9"/>
  <c r="P43" i="11"/>
  <c r="N34" i="35"/>
  <c r="N32" i="35"/>
  <c r="R51" i="9"/>
  <c r="O54" i="16"/>
  <c r="R59" i="9"/>
  <c r="M44" i="9"/>
  <c r="R54" i="9"/>
  <c r="R36" i="9"/>
  <c r="Q56" i="11"/>
  <c r="R27" i="18"/>
  <c r="R53" i="9"/>
  <c r="N49" i="9"/>
  <c r="Q59" i="9" s="1"/>
  <c r="M26" i="28"/>
  <c r="Q54" i="20"/>
  <c r="N26" i="35"/>
  <c r="Q26" i="35" s="1"/>
  <c r="R44" i="9"/>
  <c r="R31" i="9"/>
  <c r="N36" i="9"/>
  <c r="N30" i="9"/>
  <c r="R62" i="9"/>
  <c r="Q52" i="11"/>
  <c r="Q53" i="11"/>
  <c r="M34" i="9"/>
  <c r="R47" i="9"/>
  <c r="R30" i="18"/>
  <c r="N45" i="9"/>
  <c r="M29" i="9"/>
  <c r="R42" i="9"/>
  <c r="R28" i="9"/>
  <c r="M33" i="33"/>
  <c r="P27" i="28"/>
  <c r="N28" i="35"/>
  <c r="Q27" i="28"/>
  <c r="Q25" i="28"/>
  <c r="Q31" i="31"/>
  <c r="Q33" i="31"/>
  <c r="P29" i="28"/>
  <c r="R33" i="9"/>
  <c r="R63" i="9"/>
  <c r="N30" i="31"/>
  <c r="P25" i="28"/>
  <c r="Q22" i="28"/>
  <c r="O40" i="22"/>
  <c r="O51" i="22" s="1"/>
  <c r="Q34" i="37"/>
  <c r="R26" i="18"/>
  <c r="Q31" i="37"/>
  <c r="P43" i="24"/>
  <c r="O44" i="7"/>
  <c r="O35" i="22"/>
  <c r="Q25" i="37"/>
  <c r="R25" i="18"/>
  <c r="Q24" i="37"/>
  <c r="R33" i="18"/>
  <c r="Q30" i="37"/>
  <c r="M31" i="18"/>
  <c r="Q37" i="37"/>
  <c r="O32" i="35"/>
  <c r="R37" i="9"/>
  <c r="R38" i="9"/>
  <c r="R56" i="9"/>
  <c r="N46" i="9"/>
  <c r="N53" i="9"/>
  <c r="R35" i="18"/>
  <c r="Q32" i="37"/>
  <c r="N51" i="9"/>
  <c r="R68" i="9"/>
  <c r="Q27" i="37"/>
  <c r="R37" i="18"/>
  <c r="M53" i="9"/>
  <c r="R30" i="9"/>
  <c r="R32" i="9"/>
  <c r="R45" i="9"/>
  <c r="N39" i="9"/>
  <c r="Q35" i="37"/>
  <c r="R39" i="18"/>
  <c r="N42" i="9"/>
  <c r="M33" i="9"/>
  <c r="P51" i="24"/>
  <c r="Q28" i="37"/>
  <c r="R41" i="18"/>
  <c r="O29" i="35"/>
  <c r="O39" i="7"/>
  <c r="Q36" i="37"/>
  <c r="R31" i="18"/>
  <c r="R43" i="18"/>
  <c r="O36" i="22"/>
  <c r="Q33" i="37"/>
  <c r="R32" i="18"/>
  <c r="O39" i="22"/>
  <c r="Q26" i="37"/>
  <c r="R34" i="18"/>
  <c r="Q29" i="37"/>
  <c r="Q33" i="33"/>
  <c r="O42" i="22"/>
  <c r="O59" i="20"/>
  <c r="Q37" i="33"/>
  <c r="Q34" i="33"/>
  <c r="P49" i="24"/>
  <c r="M33" i="18"/>
  <c r="Q36" i="22"/>
  <c r="M35" i="18"/>
  <c r="N31" i="31"/>
  <c r="O49" i="24"/>
  <c r="P47" i="24"/>
  <c r="M25" i="18"/>
  <c r="Q34" i="22"/>
  <c r="M32" i="18"/>
  <c r="Q43" i="22"/>
  <c r="Q55" i="22"/>
  <c r="P42" i="24"/>
  <c r="Q36" i="33"/>
  <c r="M32" i="31"/>
  <c r="Q52" i="22"/>
  <c r="P45" i="24"/>
  <c r="M27" i="18"/>
  <c r="Q37" i="22"/>
  <c r="P50" i="24"/>
  <c r="O60" i="20"/>
  <c r="Q41" i="22"/>
  <c r="Q44" i="22"/>
  <c r="P41" i="24"/>
  <c r="P48" i="20"/>
  <c r="O42" i="20"/>
  <c r="Q56" i="16"/>
  <c r="P33" i="31"/>
  <c r="P34" i="31"/>
  <c r="Q49" i="22"/>
  <c r="Q42" i="22"/>
  <c r="P48" i="24"/>
  <c r="Q42" i="16"/>
  <c r="O40" i="14"/>
  <c r="O43" i="7"/>
  <c r="P29" i="31"/>
  <c r="P32" i="31"/>
  <c r="O55" i="20"/>
  <c r="Q47" i="22"/>
  <c r="P46" i="24"/>
  <c r="Q49" i="16"/>
  <c r="O35" i="7"/>
  <c r="O41" i="7"/>
  <c r="O26" i="37"/>
  <c r="P30" i="31"/>
  <c r="P44" i="24"/>
  <c r="M30" i="31"/>
  <c r="O40" i="7"/>
  <c r="O34" i="7"/>
  <c r="O37" i="37"/>
  <c r="O56" i="20"/>
  <c r="O38" i="14"/>
  <c r="Q31" i="33"/>
  <c r="O45" i="7"/>
  <c r="O30" i="37"/>
  <c r="Q35" i="33"/>
  <c r="O47" i="20"/>
  <c r="P28" i="31"/>
  <c r="O41" i="14"/>
  <c r="P37" i="22"/>
  <c r="P33" i="22"/>
  <c r="P34" i="22"/>
  <c r="P40" i="22"/>
  <c r="P48" i="22" s="1"/>
  <c r="O35" i="28"/>
  <c r="O23" i="28"/>
  <c r="L28" i="28"/>
  <c r="L25" i="28"/>
  <c r="L23" i="28"/>
  <c r="O22" i="28"/>
  <c r="O25" i="28"/>
  <c r="O29" i="28"/>
  <c r="O26" i="28"/>
  <c r="L29" i="28"/>
  <c r="O49" i="18"/>
  <c r="O34" i="18"/>
  <c r="O39" i="18"/>
  <c r="O47" i="18"/>
  <c r="O42" i="18"/>
  <c r="O44" i="18"/>
  <c r="O50" i="18"/>
  <c r="O37" i="18"/>
  <c r="O40" i="18"/>
  <c r="O30" i="28"/>
  <c r="O46" i="11"/>
  <c r="O56" i="11"/>
  <c r="O41" i="11"/>
  <c r="O50" i="11"/>
  <c r="O52" i="11"/>
  <c r="O44" i="11"/>
  <c r="O47" i="11"/>
  <c r="O45" i="11"/>
  <c r="O51" i="11"/>
  <c r="O60" i="16"/>
  <c r="O45" i="16"/>
  <c r="O46" i="16"/>
  <c r="O43" i="16"/>
  <c r="O47" i="16"/>
  <c r="O49" i="16"/>
  <c r="O42" i="16"/>
  <c r="O48" i="16"/>
  <c r="O52" i="16"/>
  <c r="O41" i="16"/>
  <c r="N34" i="18"/>
  <c r="Q40" i="18" s="1"/>
  <c r="O53" i="11"/>
  <c r="O43" i="11"/>
  <c r="O31" i="37"/>
  <c r="O55" i="16"/>
  <c r="O46" i="18"/>
  <c r="P39" i="22"/>
  <c r="O24" i="28"/>
  <c r="O27" i="28"/>
  <c r="L27" i="28"/>
  <c r="O36" i="18"/>
  <c r="P60" i="11"/>
  <c r="P46" i="11"/>
  <c r="P52" i="11"/>
  <c r="P51" i="11"/>
  <c r="P42" i="11"/>
  <c r="P54" i="11"/>
  <c r="P56" i="11"/>
  <c r="P55" i="11"/>
  <c r="P57" i="16"/>
  <c r="P44" i="16"/>
  <c r="P53" i="16"/>
  <c r="P41" i="16"/>
  <c r="O50" i="24"/>
  <c r="O43" i="24"/>
  <c r="O46" i="24"/>
  <c r="O47" i="24"/>
  <c r="O48" i="24"/>
  <c r="Q49" i="14"/>
  <c r="Q39" i="14"/>
  <c r="Q44" i="14"/>
  <c r="N33" i="18"/>
  <c r="N26" i="18"/>
  <c r="N31" i="18"/>
  <c r="N46" i="18"/>
  <c r="N35" i="18"/>
  <c r="N28" i="18"/>
  <c r="N29" i="18"/>
  <c r="P45" i="20"/>
  <c r="P40" i="20"/>
  <c r="P59" i="20"/>
  <c r="P54" i="20"/>
  <c r="L34" i="35"/>
  <c r="L32" i="35"/>
  <c r="L29" i="35"/>
  <c r="L28" i="35"/>
  <c r="O36" i="37"/>
  <c r="O23" i="37"/>
  <c r="O34" i="37"/>
  <c r="O33" i="37"/>
  <c r="O32" i="37"/>
  <c r="O28" i="37"/>
  <c r="O27" i="37"/>
  <c r="O35" i="37"/>
  <c r="O24" i="37"/>
  <c r="O36" i="28"/>
  <c r="O56" i="16"/>
  <c r="N32" i="18"/>
  <c r="O48" i="11"/>
  <c r="O49" i="11"/>
  <c r="O38" i="37"/>
  <c r="O29" i="37"/>
  <c r="O50" i="16"/>
  <c r="P38" i="22"/>
  <c r="O40" i="16"/>
  <c r="L26" i="28"/>
  <c r="O33" i="28"/>
  <c r="L31" i="35"/>
  <c r="L30" i="35"/>
  <c r="O35" i="18"/>
  <c r="O42" i="24"/>
  <c r="O43" i="18"/>
  <c r="O31" i="28"/>
  <c r="O38" i="18"/>
  <c r="P35" i="22"/>
  <c r="L32" i="31"/>
  <c r="L30" i="31"/>
  <c r="P37" i="33"/>
  <c r="P34" i="33"/>
  <c r="P38" i="33"/>
  <c r="P31" i="33"/>
  <c r="P32" i="33"/>
  <c r="O28" i="35"/>
  <c r="O31" i="35"/>
  <c r="O27" i="35"/>
  <c r="O34" i="35"/>
  <c r="O26" i="35"/>
  <c r="O30" i="35"/>
  <c r="M63" i="9"/>
  <c r="O37" i="7"/>
  <c r="Q52" i="20"/>
  <c r="Q45" i="20"/>
  <c r="Q53" i="20"/>
  <c r="Q46" i="20"/>
  <c r="O36" i="7"/>
  <c r="Q53" i="16"/>
  <c r="Q61" i="20"/>
  <c r="Q47" i="11"/>
  <c r="Q62" i="20"/>
  <c r="M32" i="9"/>
  <c r="N69" i="9"/>
  <c r="Q42" i="7"/>
  <c r="P59" i="16"/>
  <c r="Q55" i="16"/>
  <c r="Q47" i="16"/>
  <c r="M45" i="9"/>
  <c r="M51" i="9"/>
  <c r="P54" i="16"/>
  <c r="P39" i="16"/>
  <c r="Q35" i="14"/>
  <c r="R67" i="9"/>
  <c r="M68" i="9"/>
  <c r="R69" i="9"/>
  <c r="R46" i="18"/>
  <c r="P58" i="16"/>
  <c r="M42" i="9"/>
  <c r="Q40" i="7"/>
  <c r="Q39" i="16"/>
  <c r="M46" i="9"/>
  <c r="M36" i="9"/>
  <c r="M39" i="9"/>
  <c r="Q54" i="16"/>
  <c r="P38" i="16"/>
  <c r="Q51" i="14"/>
  <c r="O58" i="16"/>
  <c r="O29" i="31"/>
  <c r="L37" i="35"/>
  <c r="Q42" i="37"/>
  <c r="Q36" i="14"/>
  <c r="P52" i="16"/>
  <c r="R42" i="18"/>
  <c r="Q50" i="14"/>
  <c r="O57" i="16"/>
  <c r="P55" i="24"/>
  <c r="Q41" i="33"/>
  <c r="P39" i="35"/>
  <c r="O40" i="37"/>
  <c r="Q41" i="14"/>
  <c r="M28" i="9"/>
  <c r="Q45" i="7"/>
  <c r="M35" i="9"/>
  <c r="Q43" i="14"/>
  <c r="M47" i="9"/>
  <c r="P51" i="16"/>
  <c r="M48" i="9"/>
  <c r="Q44" i="7"/>
  <c r="Q51" i="16"/>
  <c r="M31" i="9"/>
  <c r="Q45" i="14"/>
  <c r="P49" i="16"/>
  <c r="P48" i="16"/>
  <c r="M52" i="9"/>
  <c r="Q38" i="16"/>
  <c r="P55" i="16"/>
  <c r="R51" i="18"/>
  <c r="Q52" i="24"/>
  <c r="P39" i="31"/>
  <c r="P40" i="33"/>
  <c r="O38" i="35"/>
  <c r="Q36" i="7"/>
  <c r="M37" i="9"/>
  <c r="Q46" i="16"/>
  <c r="P50" i="16"/>
  <c r="M30" i="9"/>
  <c r="M49" i="9"/>
  <c r="P61" i="9" s="1"/>
  <c r="M40" i="9"/>
  <c r="Q43" i="16"/>
  <c r="Q37" i="14"/>
  <c r="M43" i="9"/>
  <c r="P47" i="16"/>
  <c r="P46" i="16"/>
  <c r="Q42" i="14"/>
  <c r="P56" i="16"/>
  <c r="R50" i="18"/>
  <c r="O47" i="7"/>
  <c r="O38" i="31"/>
  <c r="O46" i="7"/>
  <c r="P61" i="11"/>
  <c r="P58" i="11"/>
  <c r="Q34" i="28"/>
  <c r="P46" i="7"/>
  <c r="P49" i="7"/>
  <c r="P36" i="7"/>
  <c r="P37" i="7"/>
  <c r="P42" i="7"/>
  <c r="O53" i="20"/>
  <c r="O65" i="9"/>
  <c r="O45" i="20"/>
  <c r="P31" i="37"/>
  <c r="O56" i="9"/>
  <c r="O35" i="14"/>
  <c r="O57" i="20"/>
  <c r="O41" i="20"/>
  <c r="O59" i="9"/>
  <c r="O63" i="9"/>
  <c r="O57" i="9"/>
  <c r="P45" i="7"/>
  <c r="O52" i="20"/>
  <c r="O51" i="20"/>
  <c r="O58" i="20"/>
  <c r="O48" i="20"/>
  <c r="P26" i="37"/>
  <c r="P32" i="37"/>
  <c r="O60" i="9"/>
  <c r="O34" i="14"/>
  <c r="P38" i="7"/>
  <c r="P41" i="7"/>
  <c r="M41" i="9"/>
  <c r="M69" i="9"/>
  <c r="M50" i="9"/>
  <c r="Q61" i="11"/>
  <c r="Q60" i="11"/>
  <c r="Q44" i="11"/>
  <c r="Q51" i="11"/>
  <c r="Q59" i="11"/>
  <c r="Q58" i="16"/>
  <c r="Q57" i="16"/>
  <c r="Q45" i="16"/>
  <c r="Q44" i="16"/>
  <c r="Q60" i="16"/>
  <c r="R29" i="18"/>
  <c r="R44" i="18"/>
  <c r="R45" i="18"/>
  <c r="O68" i="9"/>
  <c r="Q58" i="11"/>
  <c r="Q59" i="16"/>
  <c r="O47" i="14"/>
  <c r="O51" i="14"/>
  <c r="O50" i="14"/>
  <c r="O37" i="14"/>
  <c r="O45" i="14"/>
  <c r="O49" i="14"/>
  <c r="P48" i="7"/>
  <c r="P40" i="37"/>
  <c r="P39" i="37"/>
  <c r="P27" i="37"/>
  <c r="P36" i="37"/>
  <c r="P30" i="37"/>
  <c r="P42" i="37"/>
  <c r="O44" i="22"/>
  <c r="O63" i="20"/>
  <c r="O50" i="20"/>
  <c r="O49" i="9"/>
  <c r="O55" i="9"/>
  <c r="Q49" i="20"/>
  <c r="Q60" i="20"/>
  <c r="Q42" i="20"/>
  <c r="Q63" i="20"/>
  <c r="O39" i="20"/>
  <c r="Q41" i="20"/>
  <c r="O43" i="20"/>
  <c r="O46" i="20"/>
  <c r="O61" i="20"/>
  <c r="P23" i="37"/>
  <c r="P35" i="37"/>
  <c r="Q55" i="20"/>
  <c r="Q50" i="20"/>
  <c r="O43" i="14"/>
  <c r="O42" i="14"/>
  <c r="O39" i="14"/>
  <c r="P34" i="7"/>
  <c r="P39" i="7"/>
  <c r="Q39" i="7"/>
  <c r="Q47" i="7"/>
  <c r="Q46" i="7"/>
  <c r="Q35" i="7"/>
  <c r="Q34" i="7"/>
  <c r="O59" i="11"/>
  <c r="O58" i="11"/>
  <c r="O61" i="11"/>
  <c r="P38" i="14"/>
  <c r="P48" i="14"/>
  <c r="P51" i="14"/>
  <c r="P42" i="14"/>
  <c r="P39" i="14"/>
  <c r="P50" i="14"/>
  <c r="M46" i="18"/>
  <c r="M50" i="18"/>
  <c r="M29" i="18"/>
  <c r="P68" i="20"/>
  <c r="P67" i="20"/>
  <c r="P47" i="20"/>
  <c r="P66" i="20"/>
  <c r="P47" i="7"/>
  <c r="P49" i="14"/>
  <c r="P41" i="37"/>
  <c r="O62" i="9"/>
  <c r="O67" i="9"/>
  <c r="O66" i="9"/>
  <c r="O53" i="9"/>
  <c r="O69" i="9"/>
  <c r="O67" i="20"/>
  <c r="O66" i="20"/>
  <c r="O65" i="20"/>
  <c r="O68" i="20"/>
  <c r="O49" i="20"/>
  <c r="O54" i="9"/>
  <c r="O64" i="9"/>
  <c r="O46" i="14"/>
  <c r="O64" i="20"/>
  <c r="O44" i="20"/>
  <c r="P43" i="7"/>
  <c r="O54" i="20"/>
  <c r="P40" i="7"/>
  <c r="P44" i="7"/>
  <c r="Q65" i="20"/>
  <c r="Q68" i="20"/>
  <c r="Q40" i="20"/>
  <c r="Q58" i="20"/>
  <c r="Q59" i="20"/>
  <c r="Q67" i="20"/>
  <c r="Q56" i="22"/>
  <c r="Q57" i="22"/>
  <c r="Q35" i="22"/>
  <c r="Q38" i="22"/>
  <c r="Q51" i="22"/>
  <c r="Q46" i="22"/>
  <c r="Q53" i="22"/>
  <c r="Q58" i="22"/>
  <c r="O51" i="24"/>
  <c r="O53" i="24"/>
  <c r="O52" i="24"/>
  <c r="O45" i="24"/>
  <c r="O44" i="24"/>
  <c r="O55" i="24"/>
  <c r="Q49" i="7"/>
  <c r="O60" i="11"/>
  <c r="O48" i="14"/>
  <c r="P36" i="28"/>
  <c r="P35" i="28"/>
  <c r="M24" i="28"/>
  <c r="M28" i="28"/>
  <c r="P28" i="28"/>
  <c r="P23" i="28"/>
  <c r="P31" i="28"/>
  <c r="P34" i="28"/>
  <c r="R49" i="18"/>
  <c r="R36" i="18"/>
  <c r="P65" i="20"/>
  <c r="Q39" i="31"/>
  <c r="Q38" i="31"/>
  <c r="Q37" i="31"/>
  <c r="O42" i="33"/>
  <c r="O41" i="33"/>
  <c r="O40" i="33"/>
  <c r="O54" i="24"/>
  <c r="O51" i="18"/>
  <c r="Q53" i="24"/>
  <c r="P52" i="24"/>
  <c r="O37" i="28"/>
  <c r="Q35" i="28"/>
  <c r="P40" i="31"/>
  <c r="O39" i="31"/>
  <c r="Q42" i="33"/>
  <c r="P41" i="33"/>
  <c r="O39" i="35"/>
  <c r="P36" i="35"/>
  <c r="O41" i="37"/>
  <c r="Q39" i="37"/>
  <c r="O48" i="7"/>
  <c r="P59" i="11"/>
  <c r="Q48" i="14"/>
  <c r="P60" i="16"/>
  <c r="O59" i="16"/>
  <c r="O48" i="18"/>
  <c r="P35" i="35"/>
  <c r="L33" i="35"/>
  <c r="Q54" i="24"/>
  <c r="P53" i="24"/>
  <c r="Q36" i="28"/>
  <c r="O34" i="28"/>
  <c r="O40" i="31"/>
  <c r="P37" i="31"/>
  <c r="P42" i="33"/>
  <c r="Q39" i="33"/>
  <c r="P37" i="35"/>
  <c r="O36" i="35"/>
  <c r="P42" i="41"/>
  <c r="P44" i="41"/>
  <c r="P43" i="41"/>
  <c r="O42" i="37"/>
  <c r="Q40" i="37"/>
  <c r="O49" i="7"/>
  <c r="Q55" i="24"/>
  <c r="Q37" i="28"/>
  <c r="Q40" i="33"/>
  <c r="P39" i="33"/>
  <c r="O37" i="35"/>
  <c r="O39" i="37"/>
  <c r="P47" i="14"/>
  <c r="P45" i="14"/>
  <c r="P37" i="14"/>
  <c r="P63" i="20"/>
  <c r="P43" i="20"/>
  <c r="P42" i="20"/>
  <c r="P39" i="20"/>
  <c r="P61" i="20"/>
  <c r="P55" i="20"/>
  <c r="P51" i="20"/>
  <c r="P62" i="20"/>
  <c r="P56" i="20"/>
  <c r="P52" i="20"/>
  <c r="P49" i="20"/>
  <c r="P41" i="20"/>
  <c r="P44" i="20"/>
  <c r="P53" i="20"/>
  <c r="P58" i="20"/>
  <c r="P50" i="20"/>
  <c r="P46" i="14"/>
  <c r="P36" i="14"/>
  <c r="P35" i="14"/>
  <c r="P43" i="14"/>
  <c r="P41" i="14"/>
  <c r="P40" i="14"/>
  <c r="O38" i="7"/>
  <c r="P57" i="20"/>
  <c r="P44" i="14"/>
  <c r="P46" i="20"/>
  <c r="Q54" i="11"/>
  <c r="Q57" i="11"/>
  <c r="Q50" i="11"/>
  <c r="Q55" i="11"/>
  <c r="O38" i="33"/>
  <c r="O31" i="33"/>
  <c r="Q37" i="7"/>
  <c r="Q43" i="7"/>
  <c r="Q41" i="16"/>
  <c r="Q40" i="16"/>
  <c r="Q50" i="16"/>
  <c r="Q52" i="16"/>
  <c r="R40" i="18"/>
  <c r="R47" i="18"/>
  <c r="R38" i="18"/>
  <c r="R28" i="18"/>
  <c r="Q38" i="7"/>
  <c r="Q41" i="7"/>
  <c r="Q47" i="14"/>
  <c r="Q34" i="14"/>
  <c r="Q38" i="14"/>
  <c r="Q40" i="14"/>
  <c r="P35" i="31"/>
  <c r="P31" i="31"/>
  <c r="P38" i="37"/>
  <c r="P24" i="37"/>
  <c r="N63" i="9"/>
  <c r="N32" i="9"/>
  <c r="N40" i="9"/>
  <c r="P57" i="11"/>
  <c r="P45" i="11"/>
  <c r="P50" i="11"/>
  <c r="P48" i="11"/>
  <c r="Q39" i="22"/>
  <c r="Q33" i="22"/>
  <c r="Q40" i="22"/>
  <c r="Q48" i="22"/>
  <c r="Q45" i="22"/>
  <c r="Q54" i="22"/>
  <c r="L24" i="28"/>
  <c r="O28" i="28"/>
  <c r="Q36" i="31"/>
  <c r="Q32" i="31"/>
  <c r="O35" i="35"/>
  <c r="L38" i="41"/>
  <c r="L35" i="41"/>
  <c r="L39" i="41"/>
  <c r="L37" i="41"/>
  <c r="L41" i="41"/>
  <c r="L34" i="41"/>
  <c r="L36" i="41"/>
  <c r="L40" i="41"/>
  <c r="P37" i="41"/>
  <c r="P41" i="41"/>
  <c r="P36" i="41"/>
  <c r="P40" i="41"/>
  <c r="P39" i="41"/>
  <c r="P38" i="41"/>
  <c r="P34" i="41"/>
  <c r="P35" i="41"/>
  <c r="M28" i="18"/>
  <c r="P49" i="11"/>
  <c r="O44" i="14"/>
  <c r="P34" i="14"/>
  <c r="M30" i="18"/>
  <c r="M45" i="18"/>
  <c r="M34" i="18"/>
  <c r="P64" i="20"/>
  <c r="Q32" i="28"/>
  <c r="P36" i="31"/>
  <c r="Q29" i="31"/>
  <c r="P37" i="37"/>
  <c r="Q35" i="31"/>
  <c r="P54" i="9" l="1"/>
  <c r="P65" i="9"/>
  <c r="P60" i="9"/>
  <c r="P62" i="9"/>
  <c r="P50" i="9"/>
  <c r="O47" i="22"/>
  <c r="P64" i="9"/>
  <c r="O45" i="22"/>
  <c r="O50" i="22"/>
  <c r="Q52" i="9"/>
  <c r="Q63" i="9"/>
  <c r="Q56" i="9"/>
  <c r="O58" i="22"/>
  <c r="O56" i="22"/>
  <c r="Q29" i="35"/>
  <c r="Q58" i="9"/>
  <c r="Q50" i="9"/>
  <c r="P57" i="22"/>
  <c r="P44" i="22"/>
  <c r="Q49" i="9"/>
  <c r="Q65" i="9"/>
  <c r="Q28" i="35"/>
  <c r="Q60" i="9"/>
  <c r="Q38" i="35"/>
  <c r="Q53" i="9"/>
  <c r="Q30" i="35"/>
  <c r="Q66" i="9"/>
  <c r="Q34" i="35"/>
  <c r="Q61" i="9"/>
  <c r="Q62" i="9"/>
  <c r="Q36" i="35"/>
  <c r="Q67" i="9"/>
  <c r="Q39" i="35"/>
  <c r="Q33" i="35"/>
  <c r="Q35" i="35"/>
  <c r="Q31" i="35"/>
  <c r="Q57" i="9"/>
  <c r="Q51" i="9"/>
  <c r="Q54" i="9"/>
  <c r="Q68" i="9"/>
  <c r="Q69" i="9"/>
  <c r="Q32" i="35"/>
  <c r="Q64" i="9"/>
  <c r="Q37" i="35"/>
  <c r="Q55" i="9"/>
  <c r="O59" i="22"/>
  <c r="P63" i="9"/>
  <c r="P51" i="9"/>
  <c r="O53" i="22"/>
  <c r="Q36" i="18"/>
  <c r="O52" i="22"/>
  <c r="O54" i="22"/>
  <c r="Q27" i="35"/>
  <c r="Q51" i="18"/>
  <c r="P59" i="9"/>
  <c r="O57" i="22"/>
  <c r="O55" i="22"/>
  <c r="O49" i="22"/>
  <c r="O48" i="22"/>
  <c r="O46" i="22"/>
  <c r="O41" i="22"/>
  <c r="O43" i="22"/>
  <c r="P58" i="9"/>
  <c r="P49" i="9"/>
  <c r="P57" i="9"/>
  <c r="P55" i="9"/>
  <c r="P53" i="9"/>
  <c r="P69" i="9"/>
  <c r="P52" i="9"/>
  <c r="Q48" i="18"/>
  <c r="Q44" i="18"/>
  <c r="Q38" i="18"/>
  <c r="Q35" i="18"/>
  <c r="Q39" i="18"/>
  <c r="Q42" i="18"/>
  <c r="Q43" i="18"/>
  <c r="Q37" i="18"/>
  <c r="Q47" i="18"/>
  <c r="P50" i="22"/>
  <c r="P46" i="22"/>
  <c r="P47" i="22"/>
  <c r="P55" i="22"/>
  <c r="Q34" i="18"/>
  <c r="P41" i="22"/>
  <c r="P49" i="22"/>
  <c r="P58" i="22"/>
  <c r="P51" i="22"/>
  <c r="Q46" i="18"/>
  <c r="P67" i="9"/>
  <c r="P43" i="22"/>
  <c r="Q45" i="18"/>
  <c r="P54" i="22"/>
  <c r="P53" i="22"/>
  <c r="P56" i="22"/>
  <c r="Q49" i="18"/>
  <c r="P68" i="9"/>
  <c r="P52" i="22"/>
  <c r="Q41" i="18"/>
  <c r="P42" i="22"/>
  <c r="P45" i="22"/>
  <c r="P59" i="22"/>
  <c r="Q50" i="18"/>
  <c r="P56" i="9"/>
  <c r="P66" i="9"/>
  <c r="P50" i="18"/>
  <c r="P49" i="18"/>
  <c r="P48" i="18"/>
  <c r="P51" i="18"/>
  <c r="O42" i="41"/>
  <c r="O44" i="41"/>
  <c r="O43" i="41"/>
  <c r="O36" i="41"/>
  <c r="O40" i="41"/>
  <c r="O34" i="41"/>
  <c r="O35" i="41"/>
  <c r="O39" i="41"/>
  <c r="O37" i="41"/>
  <c r="O41" i="41"/>
  <c r="O38" i="41"/>
  <c r="P47" i="18"/>
  <c r="P46" i="18"/>
  <c r="P36" i="18"/>
  <c r="P35" i="18"/>
  <c r="P34" i="18"/>
  <c r="P43" i="18"/>
  <c r="P37" i="18"/>
  <c r="P38" i="18"/>
  <c r="P42" i="18"/>
  <c r="P44" i="18"/>
  <c r="P40" i="18"/>
  <c r="P39" i="18"/>
  <c r="P41" i="18"/>
  <c r="P45" i="18"/>
</calcChain>
</file>

<file path=xl/sharedStrings.xml><?xml version="1.0" encoding="utf-8"?>
<sst xmlns="http://schemas.openxmlformats.org/spreadsheetml/2006/main" count="1412" uniqueCount="88">
  <si>
    <t xml:space="preserve">PROYECTO CONSTRUCTIVO DE PLATAFORMA. NUEVA RED FERROVIARIA EN EL PAIS VASCO.                                                                          TERRITORIO HISTÓRICO DE GIPUZKOA. </t>
  </si>
  <si>
    <t>SEGUIMIENTO DE CONVERGENCIAS TOPOGRÁFICAS</t>
  </si>
  <si>
    <t>TRAMO: ZIZURKIL – ANDOAIN</t>
  </si>
  <si>
    <t>TÚNEL ADUNA. BOCA ZIZURKIL</t>
  </si>
  <si>
    <t>LITOLOGÍA :</t>
  </si>
  <si>
    <t>Calizas dolomíticas con niveles brechoides rellenos de arcilla.</t>
  </si>
  <si>
    <t>FECHA EXCAVACIÓN:</t>
  </si>
  <si>
    <t>RMR :</t>
  </si>
  <si>
    <t>FECHA COLOCACIÓN:</t>
  </si>
  <si>
    <t>MONTERA :</t>
  </si>
  <si>
    <t>DISTANCIA A BOCA:</t>
  </si>
  <si>
    <t>P.K. :</t>
  </si>
  <si>
    <t>SOSTENIMIENTO:</t>
  </si>
  <si>
    <t>ST-III (3)</t>
  </si>
  <si>
    <t>GRÁFICO CONVERGENCIA Y NIVELACIÓN DE CLAVE (mm) - TIEMPO (días)</t>
  </si>
  <si>
    <t>GRÁFICO CONVERGENCIA Y NIVELACIÓN DE CLAVE (mm) - DISTANCIA AL FRENTE DE EXCAVACIÓN (m)</t>
  </si>
  <si>
    <t>GRÁFICO VELOCIDAD DE CONVERGENCIA (mm/día) - TIEMPO (días)</t>
  </si>
  <si>
    <t>FECHA</t>
  </si>
  <si>
    <t>LECTURAS DE CAMPO</t>
  </si>
  <si>
    <t>DIFERENCIAS A ORIGEN (mm)</t>
  </si>
  <si>
    <t>VELOCIDAD DE CONVERGENCIA (mm/día)</t>
  </si>
  <si>
    <t>Observaciones</t>
  </si>
  <si>
    <t>AVANCE</t>
  </si>
  <si>
    <t>DESTROZA</t>
  </si>
  <si>
    <t>NIVELACIÓN CLAVE</t>
  </si>
  <si>
    <t>FRENTE</t>
  </si>
  <si>
    <t>H-1</t>
  </si>
  <si>
    <t>D-1</t>
  </si>
  <si>
    <t>D-2</t>
  </si>
  <si>
    <t>H-2</t>
  </si>
  <si>
    <t>D-3</t>
  </si>
  <si>
    <t>D-4</t>
  </si>
  <si>
    <t>PK</t>
  </si>
  <si>
    <t>DIST.</t>
  </si>
  <si>
    <t>NIVELACIÓN</t>
  </si>
  <si>
    <t>Para la destroza y se reanuda el avance</t>
  </si>
  <si>
    <t>Diana de clave gunitada.</t>
  </si>
  <si>
    <t>Calizas dolomíticas con juntas rellenas de arcilla.</t>
  </si>
  <si>
    <t>Alternancia de calizas dolomíticas y margas.</t>
  </si>
  <si>
    <t>Alternancia calizas y margas.</t>
  </si>
  <si>
    <t>58 - 63</t>
  </si>
  <si>
    <t>ST-II (1)</t>
  </si>
  <si>
    <t>Rota y repuesta convergencia de clave.</t>
  </si>
  <si>
    <t>Margocalizas.</t>
  </si>
  <si>
    <t>Reanudación destroza</t>
  </si>
  <si>
    <t>Margocalizas</t>
  </si>
  <si>
    <t>ST-I (2)</t>
  </si>
  <si>
    <t>Reanudación destroza.</t>
  </si>
  <si>
    <t>Convergencia D2 rota y repuesta.</t>
  </si>
  <si>
    <t>Convergencia D2 rota porque esta en el entronque.</t>
  </si>
  <si>
    <t>ST-IV (30cm gunita, sin bulones)</t>
  </si>
  <si>
    <t>Sección convergencias en Pk 0+533 rota y trasladada a Pk 0+538</t>
  </si>
  <si>
    <t>Margocalizas con alguna junta karstizicada rellena de arcillas.</t>
  </si>
  <si>
    <t>Golpe</t>
  </si>
  <si>
    <t>Margocalizas masivas (J3)</t>
  </si>
  <si>
    <t>ST-I (3)</t>
  </si>
  <si>
    <t>Golpe?</t>
  </si>
  <si>
    <t>Convergencias nuevas.</t>
  </si>
  <si>
    <t>Alternancia de limolitas, lutitas y areniscas.</t>
  </si>
  <si>
    <t>327 m</t>
  </si>
  <si>
    <t>ST- III (3)</t>
  </si>
  <si>
    <t>Covergencias horizontales rotas y repuestas.</t>
  </si>
  <si>
    <t>Diana D1 nueva</t>
  </si>
  <si>
    <t>Convergencias gunitadas</t>
  </si>
  <si>
    <t>324m</t>
  </si>
  <si>
    <t>Alternancia de limolitas, lutitas y areniscas (Su1-2)</t>
  </si>
  <si>
    <t>ST- III (2)</t>
  </si>
  <si>
    <t>Paralización avance.</t>
  </si>
  <si>
    <t>COTA</t>
  </si>
  <si>
    <t>EX17C</t>
  </si>
  <si>
    <t>EX17L</t>
  </si>
  <si>
    <t>EX17M</t>
  </si>
  <si>
    <t>EX15C</t>
  </si>
  <si>
    <t>EX15L</t>
  </si>
  <si>
    <t>EX15M</t>
  </si>
  <si>
    <t>EX16C</t>
  </si>
  <si>
    <t>EX16L</t>
  </si>
  <si>
    <t>EX16M</t>
  </si>
  <si>
    <t>EXTENSOMETRO</t>
  </si>
  <si>
    <t>EX1C</t>
  </si>
  <si>
    <t>EX1L</t>
  </si>
  <si>
    <t>EX1M</t>
  </si>
  <si>
    <t>EX2C</t>
  </si>
  <si>
    <t>EX2L</t>
  </si>
  <si>
    <t>EX2M</t>
  </si>
  <si>
    <t>EX3M</t>
  </si>
  <si>
    <t>EX3L</t>
  </si>
  <si>
    <t>EX3C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</si>
</sst>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\-yy;@"/>
    <numFmt numFmtId="165" formatCode="0.0\ &quot;m&quot;"/>
    <numFmt numFmtId="166" formatCode="0\+000.00"/>
    <numFmt numFmtId="167" formatCode="0.000"/>
    <numFmt numFmtId="168" formatCode="0.0"/>
    <numFmt numFmtId="169" formatCode="0.00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b/>
      <sz val="20"/>
      <color indexed="48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b/>
      <i/>
      <sz val="12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60"/>
      <name val="Arial"/>
      <family val="2"/>
    </font>
    <font>
      <sz val="10"/>
      <color indexed="10"/>
      <name val="Arial"/>
      <family val="2"/>
    </font>
    <font>
      <sz val="14"/>
      <color indexed="8"/>
      <name val="Calibri"/>
      <family val="2"/>
    </font>
    <font>
      <sz val="10"/>
      <color indexed="29"/>
      <name val="Arial"/>
      <family val="2"/>
    </font>
    <font>
      <sz val="8"/>
      <name val="Calibri"/>
      <family val="2"/>
    </font>
    <font>
      <sz val="12"/>
      <color indexed="8"/>
      <name val="Arial"/>
      <family val="2"/>
    </font>
    <font>
      <sz val="10"/>
      <color rgb="FFC00000"/>
      <name val="Arial"/>
      <family val="2"/>
    </font>
    <font>
      <sz val="10"/>
      <color theme="5" tint="0.59999389629810485"/>
      <name val="Arial"/>
      <family val="2"/>
    </font>
    <font>
      <sz val="10"/>
      <color theme="5" tint="0.39997558519241921"/>
      <name val="Arial"/>
      <family val="2"/>
    </font>
    <font>
      <sz val="10"/>
      <color theme="5" tint="0.79998168889431442"/>
      <name val="Arial"/>
      <family val="2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89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4" xfId="1" applyFont="1" applyBorder="1" applyAlignment="1">
      <alignment wrapText="1"/>
    </xf>
    <xf numFmtId="0" fontId="3" fillId="0" borderId="5" xfId="1" applyFont="1" applyBorder="1" applyAlignment="1">
      <alignment wrapText="1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4" xfId="0" applyNumberFormat="1" applyFont="1" applyBorder="1" applyAlignment="1">
      <alignment horizontal="center"/>
    </xf>
    <xf numFmtId="2" fontId="14" fillId="0" borderId="15" xfId="0" applyNumberFormat="1" applyFont="1" applyBorder="1" applyAlignment="1">
      <alignment horizontal="center" vertical="center"/>
    </xf>
    <xf numFmtId="168" fontId="2" fillId="3" borderId="16" xfId="0" applyNumberFormat="1" applyFont="1" applyFill="1" applyBorder="1" applyAlignment="1">
      <alignment horizontal="center" vertical="center"/>
    </xf>
    <xf numFmtId="167" fontId="15" fillId="3" borderId="13" xfId="0" applyNumberFormat="1" applyFont="1" applyFill="1" applyBorder="1" applyAlignment="1">
      <alignment vertical="center"/>
    </xf>
    <xf numFmtId="168" fontId="2" fillId="3" borderId="17" xfId="0" applyNumberFormat="1" applyFont="1" applyFill="1" applyBorder="1" applyAlignment="1">
      <alignment horizontal="center" vertical="center"/>
    </xf>
    <xf numFmtId="167" fontId="15" fillId="4" borderId="18" xfId="0" applyNumberFormat="1" applyFont="1" applyFill="1" applyBorder="1" applyAlignment="1">
      <alignment vertical="center"/>
    </xf>
    <xf numFmtId="167" fontId="15" fillId="4" borderId="19" xfId="0" applyNumberFormat="1" applyFont="1" applyFill="1" applyBorder="1" applyAlignment="1">
      <alignment vertical="center"/>
    </xf>
    <xf numFmtId="0" fontId="2" fillId="0" borderId="20" xfId="1" applyBorder="1" applyAlignment="1" applyProtection="1">
      <alignment horizontal="left" vertical="center" wrapText="1"/>
      <protection locked="0"/>
    </xf>
    <xf numFmtId="167" fontId="2" fillId="0" borderId="21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168" fontId="2" fillId="4" borderId="22" xfId="0" applyNumberFormat="1" applyFont="1" applyFill="1" applyBorder="1" applyAlignment="1">
      <alignment horizontal="center" vertical="center"/>
    </xf>
    <xf numFmtId="168" fontId="2" fillId="4" borderId="14" xfId="0" applyNumberFormat="1" applyFont="1" applyFill="1" applyBorder="1" applyAlignment="1">
      <alignment horizontal="center" vertical="center"/>
    </xf>
    <xf numFmtId="168" fontId="2" fillId="4" borderId="16" xfId="0" applyNumberFormat="1" applyFont="1" applyFill="1" applyBorder="1" applyAlignment="1">
      <alignment horizontal="center" vertical="center"/>
    </xf>
    <xf numFmtId="15" fontId="2" fillId="0" borderId="20" xfId="1" applyNumberFormat="1" applyBorder="1" applyAlignment="1" applyProtection="1">
      <alignment horizontal="left" vertical="center" wrapText="1"/>
      <protection locked="0"/>
    </xf>
    <xf numFmtId="164" fontId="2" fillId="0" borderId="20" xfId="1" applyNumberFormat="1" applyBorder="1" applyAlignment="1" applyProtection="1">
      <alignment horizontal="center" vertical="center"/>
      <protection locked="0"/>
    </xf>
    <xf numFmtId="166" fontId="14" fillId="0" borderId="14" xfId="0" applyNumberFormat="1" applyFont="1" applyBorder="1" applyAlignment="1" applyProtection="1">
      <alignment horizontal="center" vertical="center"/>
      <protection locked="0"/>
    </xf>
    <xf numFmtId="167" fontId="14" fillId="0" borderId="16" xfId="0" applyNumberFormat="1" applyFont="1" applyBorder="1" applyAlignment="1" applyProtection="1">
      <alignment horizontal="center" vertical="center"/>
      <protection locked="0"/>
    </xf>
    <xf numFmtId="164" fontId="2" fillId="0" borderId="23" xfId="1" applyNumberFormat="1" applyBorder="1" applyAlignment="1" applyProtection="1">
      <alignment horizontal="center" vertical="center"/>
      <protection locked="0"/>
    </xf>
    <xf numFmtId="167" fontId="2" fillId="0" borderId="24" xfId="0" applyNumberFormat="1" applyFont="1" applyBorder="1" applyAlignment="1">
      <alignment horizontal="center" vertical="center"/>
    </xf>
    <xf numFmtId="167" fontId="2" fillId="0" borderId="25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 applyProtection="1">
      <alignment horizontal="center" vertical="center"/>
      <protection locked="0"/>
    </xf>
    <xf numFmtId="167" fontId="14" fillId="0" borderId="25" xfId="0" applyNumberFormat="1" applyFont="1" applyBorder="1" applyAlignment="1">
      <alignment horizontal="center"/>
    </xf>
    <xf numFmtId="166" fontId="14" fillId="0" borderId="25" xfId="0" applyNumberFormat="1" applyFont="1" applyBorder="1" applyAlignment="1" applyProtection="1">
      <alignment horizontal="center" vertical="center"/>
      <protection locked="0"/>
    </xf>
    <xf numFmtId="166" fontId="14" fillId="0" borderId="13" xfId="0" applyNumberFormat="1" applyFont="1" applyBorder="1" applyAlignment="1" applyProtection="1">
      <alignment horizontal="center" vertical="center"/>
      <protection locked="0"/>
    </xf>
    <xf numFmtId="167" fontId="14" fillId="0" borderId="13" xfId="0" applyNumberFormat="1" applyFont="1" applyBorder="1" applyAlignment="1">
      <alignment horizontal="center"/>
    </xf>
    <xf numFmtId="167" fontId="14" fillId="0" borderId="13" xfId="0" applyNumberFormat="1" applyFont="1" applyBorder="1" applyAlignment="1" applyProtection="1">
      <alignment horizontal="center" vertical="center"/>
      <protection locked="0"/>
    </xf>
    <xf numFmtId="164" fontId="2" fillId="0" borderId="26" xfId="1" applyNumberFormat="1" applyBorder="1" applyAlignment="1" applyProtection="1">
      <alignment horizontal="center" vertical="center"/>
      <protection locked="0"/>
    </xf>
    <xf numFmtId="167" fontId="14" fillId="0" borderId="27" xfId="0" applyNumberFormat="1" applyFont="1" applyBorder="1" applyAlignment="1">
      <alignment horizontal="center"/>
    </xf>
    <xf numFmtId="167" fontId="16" fillId="0" borderId="14" xfId="0" applyNumberFormat="1" applyFont="1" applyBorder="1" applyAlignment="1">
      <alignment horizontal="center" vertical="center"/>
    </xf>
    <xf numFmtId="167" fontId="16" fillId="0" borderId="27" xfId="0" applyNumberFormat="1" applyFont="1" applyBorder="1" applyAlignment="1">
      <alignment horizontal="center"/>
    </xf>
    <xf numFmtId="167" fontId="2" fillId="0" borderId="14" xfId="0" applyNumberFormat="1" applyFont="1" applyBorder="1" applyAlignment="1" applyProtection="1">
      <alignment horizontal="center" vertical="center"/>
      <protection locked="0"/>
    </xf>
    <xf numFmtId="167" fontId="2" fillId="0" borderId="27" xfId="0" applyNumberFormat="1" applyFont="1" applyBorder="1" applyAlignment="1">
      <alignment horizontal="center"/>
    </xf>
    <xf numFmtId="0" fontId="16" fillId="0" borderId="20" xfId="1" applyFont="1" applyBorder="1" applyAlignment="1" applyProtection="1">
      <alignment horizontal="left" vertical="center" wrapText="1"/>
      <protection locked="0"/>
    </xf>
    <xf numFmtId="0" fontId="11" fillId="2" borderId="28" xfId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167" fontId="16" fillId="0" borderId="14" xfId="0" applyNumberFormat="1" applyFont="1" applyBorder="1" applyAlignment="1">
      <alignment horizontal="center"/>
    </xf>
    <xf numFmtId="2" fontId="14" fillId="0" borderId="28" xfId="0" applyNumberFormat="1" applyFont="1" applyBorder="1" applyAlignment="1">
      <alignment horizontal="center" vertical="center"/>
    </xf>
    <xf numFmtId="167" fontId="14" fillId="0" borderId="14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167" fontId="14" fillId="0" borderId="25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/>
    </xf>
    <xf numFmtId="166" fontId="2" fillId="0" borderId="14" xfId="0" applyNumberFormat="1" applyFont="1" applyBorder="1" applyAlignment="1" applyProtection="1">
      <alignment horizontal="center" vertical="center"/>
      <protection locked="0"/>
    </xf>
    <xf numFmtId="2" fontId="2" fillId="0" borderId="15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 applyProtection="1">
      <alignment horizontal="center" vertical="center"/>
      <protection locked="0"/>
    </xf>
    <xf numFmtId="167" fontId="2" fillId="0" borderId="13" xfId="0" applyNumberFormat="1" applyFont="1" applyBorder="1" applyAlignment="1">
      <alignment horizontal="center"/>
    </xf>
    <xf numFmtId="166" fontId="2" fillId="0" borderId="13" xfId="0" applyNumberFormat="1" applyFont="1" applyBorder="1" applyAlignment="1" applyProtection="1">
      <alignment horizontal="center" vertical="center"/>
      <protection locked="0"/>
    </xf>
    <xf numFmtId="2" fontId="2" fillId="0" borderId="29" xfId="0" applyNumberFormat="1" applyFont="1" applyBorder="1" applyAlignment="1">
      <alignment horizontal="center" vertical="center"/>
    </xf>
    <xf numFmtId="167" fontId="19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>
      <alignment horizontal="center"/>
    </xf>
    <xf numFmtId="167" fontId="17" fillId="0" borderId="14" xfId="0" applyNumberFormat="1" applyFont="1" applyBorder="1" applyAlignment="1">
      <alignment horizontal="center"/>
    </xf>
    <xf numFmtId="166" fontId="2" fillId="0" borderId="25" xfId="0" applyNumberFormat="1" applyFont="1" applyBorder="1" applyAlignment="1" applyProtection="1">
      <alignment horizontal="center" vertical="center"/>
      <protection locked="0"/>
    </xf>
    <xf numFmtId="168" fontId="22" fillId="3" borderId="16" xfId="0" applyNumberFormat="1" applyFont="1" applyFill="1" applyBorder="1" applyAlignment="1">
      <alignment horizontal="center" vertical="center"/>
    </xf>
    <xf numFmtId="167" fontId="22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>
      <alignment horizontal="center"/>
    </xf>
    <xf numFmtId="167" fontId="23" fillId="0" borderId="21" xfId="0" applyNumberFormat="1" applyFont="1" applyBorder="1" applyAlignment="1">
      <alignment horizontal="center" vertical="center"/>
    </xf>
    <xf numFmtId="167" fontId="22" fillId="0" borderId="21" xfId="0" applyNumberFormat="1" applyFont="1" applyBorder="1" applyAlignment="1">
      <alignment horizontal="center" vertical="center"/>
    </xf>
    <xf numFmtId="167" fontId="24" fillId="0" borderId="14" xfId="0" applyNumberFormat="1" applyFont="1" applyBorder="1" applyAlignment="1" applyProtection="1">
      <alignment horizontal="center" vertical="center"/>
      <protection locked="0"/>
    </xf>
    <xf numFmtId="167" fontId="24" fillId="0" borderId="14" xfId="0" applyNumberFormat="1" applyFont="1" applyBorder="1" applyAlignment="1">
      <alignment horizontal="center" vertical="center"/>
    </xf>
    <xf numFmtId="167" fontId="24" fillId="0" borderId="21" xfId="0" applyNumberFormat="1" applyFont="1" applyBorder="1" applyAlignment="1">
      <alignment horizontal="center" vertical="center"/>
    </xf>
    <xf numFmtId="167" fontId="23" fillId="0" borderId="14" xfId="0" applyNumberFormat="1" applyFont="1" applyBorder="1" applyAlignment="1" applyProtection="1">
      <alignment horizontal="center" vertical="center"/>
      <protection locked="0"/>
    </xf>
    <xf numFmtId="167" fontId="25" fillId="0" borderId="14" xfId="0" applyNumberFormat="1" applyFont="1" applyBorder="1" applyAlignment="1">
      <alignment horizontal="center"/>
    </xf>
    <xf numFmtId="167" fontId="16" fillId="0" borderId="14" xfId="0" applyNumberFormat="1" applyFont="1" applyBorder="1" applyAlignment="1" applyProtection="1">
      <alignment horizontal="center" vertical="center"/>
      <protection locked="0"/>
    </xf>
    <xf numFmtId="168" fontId="16" fillId="3" borderId="16" xfId="0" applyNumberFormat="1" applyFont="1" applyFill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167" fontId="19" fillId="0" borderId="14" xfId="0" applyNumberFormat="1" applyFont="1" applyBorder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169" fontId="0" fillId="0" borderId="0" xfId="0" applyNumberFormat="1"/>
    <xf numFmtId="169" fontId="27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27" fillId="0" borderId="0" xfId="0" applyFont="1" applyAlignment="1">
      <alignment horizontal="center" vertical="center"/>
    </xf>
    <xf numFmtId="169" fontId="27" fillId="0" borderId="0" xfId="0" applyNumberFormat="1" applyFont="1" applyAlignment="1">
      <alignment horizontal="center" vertical="center"/>
    </xf>
    <xf numFmtId="0" fontId="11" fillId="2" borderId="23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 applyProtection="1">
      <alignment horizontal="center" vertical="center"/>
      <protection locked="0"/>
    </xf>
    <xf numFmtId="0" fontId="11" fillId="2" borderId="36" xfId="1" applyFont="1" applyFill="1" applyBorder="1" applyAlignment="1">
      <alignment horizontal="center" vertical="center"/>
    </xf>
    <xf numFmtId="0" fontId="11" fillId="2" borderId="40" xfId="1" applyFont="1" applyFill="1" applyBorder="1" applyAlignment="1">
      <alignment horizontal="center" vertical="center"/>
    </xf>
    <xf numFmtId="0" fontId="11" fillId="2" borderId="42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32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/>
    </xf>
    <xf numFmtId="0" fontId="12" fillId="2" borderId="38" xfId="1" applyFont="1" applyFill="1" applyBorder="1" applyAlignment="1">
      <alignment horizontal="center" vertical="center"/>
    </xf>
    <xf numFmtId="0" fontId="12" fillId="2" borderId="39" xfId="1" applyFont="1" applyFill="1" applyBorder="1" applyAlignment="1">
      <alignment horizontal="center" vertical="center"/>
    </xf>
    <xf numFmtId="0" fontId="1" fillId="4" borderId="3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" fillId="4" borderId="30" xfId="0" applyFont="1" applyFill="1" applyBorder="1" applyAlignment="1" applyProtection="1">
      <alignment horizontal="center"/>
      <protection locked="0"/>
    </xf>
    <xf numFmtId="0" fontId="1" fillId="4" borderId="4" xfId="0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center"/>
      <protection locked="0"/>
    </xf>
    <xf numFmtId="0" fontId="1" fillId="4" borderId="31" xfId="0" applyFont="1" applyFill="1" applyBorder="1" applyAlignment="1" applyProtection="1">
      <alignment horizontal="center"/>
      <protection locked="0"/>
    </xf>
    <xf numFmtId="0" fontId="13" fillId="2" borderId="23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/>
    </xf>
    <xf numFmtId="0" fontId="13" fillId="2" borderId="34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2" borderId="35" xfId="1" applyFont="1" applyFill="1" applyBorder="1" applyAlignment="1">
      <alignment horizontal="center" vertical="center"/>
    </xf>
    <xf numFmtId="0" fontId="11" fillId="2" borderId="1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 wrapText="1"/>
    </xf>
    <xf numFmtId="0" fontId="11" fillId="2" borderId="41" xfId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4" borderId="3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164" fontId="9" fillId="0" borderId="2" xfId="0" applyNumberFormat="1" applyFont="1" applyBorder="1" applyAlignment="1" applyProtection="1">
      <alignment horizontal="center" vertical="center"/>
      <protection locked="0"/>
    </xf>
    <xf numFmtId="164" fontId="9" fillId="0" borderId="32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 vertical="center"/>
    </xf>
    <xf numFmtId="166" fontId="9" fillId="0" borderId="5" xfId="0" applyNumberFormat="1" applyFont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164" fontId="9" fillId="0" borderId="30" xfId="0" applyNumberFormat="1" applyFont="1" applyBorder="1" applyAlignment="1" applyProtection="1">
      <alignment horizontal="center" vertical="center"/>
      <protection locked="0"/>
    </xf>
    <xf numFmtId="0" fontId="4" fillId="5" borderId="1" xfId="1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5" fillId="5" borderId="32" xfId="0" applyFont="1" applyFill="1" applyBorder="1"/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4" borderId="30" xfId="1" applyFont="1" applyFill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5" borderId="33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5" borderId="30" xfId="1" applyFont="1" applyFill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 applyProtection="1">
      <alignment horizontal="left" vertical="center"/>
      <protection locked="0"/>
    </xf>
    <xf numFmtId="0" fontId="1" fillId="4" borderId="0" xfId="0" applyFont="1" applyFill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1" fillId="4" borderId="4" xfId="0" applyFont="1" applyFill="1" applyBorder="1" applyAlignment="1" applyProtection="1">
      <alignment horizontal="left" vertic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0" fontId="1" fillId="4" borderId="31" xfId="0" applyFont="1" applyFill="1" applyBorder="1" applyAlignment="1" applyProtection="1">
      <alignment horizontal="left" vertical="center"/>
      <protection locked="0"/>
    </xf>
    <xf numFmtId="0" fontId="21" fillId="0" borderId="2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1" fillId="2" borderId="34" xfId="1" applyFont="1" applyFill="1" applyBorder="1" applyAlignment="1">
      <alignment horizontal="center" vertical="center"/>
    </xf>
    <xf numFmtId="0" fontId="11" fillId="2" borderId="4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32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horizontal="center" vertical="center"/>
    </xf>
    <xf numFmtId="0" fontId="7" fillId="5" borderId="3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5" borderId="31" xfId="1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650BF"/>
      <color rgb="FFC4F2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pageSetUpPr fitToPage="1"/>
  </sheetPr>
  <dimension ref="A1:AI153"/>
  <sheetViews>
    <sheetView showGridLines="0" topLeftCell="B1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TZ-6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5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41624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41625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28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40">
        <f>J8-258</f>
        <v>51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309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41625</v>
      </c>
      <c r="C16" s="35">
        <v>12.718999999999999</v>
      </c>
      <c r="D16" s="36">
        <v>7.8440000000000003</v>
      </c>
      <c r="E16" s="36">
        <v>7.8570000000000002</v>
      </c>
      <c r="F16" s="37"/>
      <c r="G16" s="37"/>
      <c r="H16" s="37"/>
      <c r="I16" s="38">
        <v>101.258</v>
      </c>
      <c r="J16" s="39">
        <v>314</v>
      </c>
      <c r="K16" s="18">
        <f t="shared" ref="K16:K29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41626</v>
      </c>
      <c r="C17" s="25">
        <v>12.715999999999999</v>
      </c>
      <c r="D17" s="26">
        <v>7.8419999999999996</v>
      </c>
      <c r="E17" s="26">
        <v>7.8570000000000002</v>
      </c>
      <c r="F17" s="16"/>
      <c r="G17" s="16"/>
      <c r="H17" s="16"/>
      <c r="I17" s="17">
        <v>101.256</v>
      </c>
      <c r="J17" s="32">
        <v>319.5</v>
      </c>
      <c r="K17" s="18">
        <f t="shared" si="0"/>
        <v>10.5</v>
      </c>
      <c r="L17" s="19">
        <f t="shared" si="1"/>
        <v>-3.0000000000001137</v>
      </c>
      <c r="M17" s="19">
        <f t="shared" si="2"/>
        <v>-2.0000000000006679</v>
      </c>
      <c r="N17" s="19">
        <f t="shared" si="3"/>
        <v>0</v>
      </c>
      <c r="O17" s="19" t="str">
        <f t="shared" ref="O17:O33" si="5">IF(ISBLANK(F17),"",(F17-F$16)*1000)</f>
        <v/>
      </c>
      <c r="P17" s="19" t="str">
        <f t="shared" ref="P17:P33" si="6">IF(ISBLANK(G17),"",(G17-G$16)*1000)</f>
        <v/>
      </c>
      <c r="Q17" s="19" t="str">
        <f t="shared" ref="Q17:Q33" si="7">IF(ISBLANK(H17),"",(H17-H$16)*1000)</f>
        <v/>
      </c>
      <c r="R17" s="19">
        <f t="shared" si="4"/>
        <v>-1.9999999999953388</v>
      </c>
      <c r="S17" s="27">
        <f t="shared" ref="S17:S47" si="8">IF(C17="","",((C17-C16)*1000)/($B17-$B16))</f>
        <v>-3.0000000000001137</v>
      </c>
      <c r="T17" s="28">
        <f t="shared" ref="T17:T47" si="9">IF(D17="","",((D17-D16)*1000)/($B17-$B16))</f>
        <v>-2.0000000000006679</v>
      </c>
      <c r="U17" s="28">
        <f t="shared" ref="U17:U47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41627</v>
      </c>
      <c r="C18" s="25">
        <v>12.715999999999999</v>
      </c>
      <c r="D18" s="26">
        <v>7.8410000000000002</v>
      </c>
      <c r="E18" s="26">
        <v>7.8550000000000004</v>
      </c>
      <c r="F18" s="16"/>
      <c r="G18" s="16"/>
      <c r="H18" s="16"/>
      <c r="I18" s="17">
        <v>101.251</v>
      </c>
      <c r="J18" s="32">
        <v>324.5</v>
      </c>
      <c r="K18" s="18">
        <f t="shared" si="0"/>
        <v>15.5</v>
      </c>
      <c r="L18" s="19">
        <f t="shared" si="1"/>
        <v>-3.0000000000001137</v>
      </c>
      <c r="M18" s="19">
        <f t="shared" si="2"/>
        <v>-3.0000000000001137</v>
      </c>
      <c r="N18" s="19">
        <f t="shared" si="3"/>
        <v>-1.9999999999997797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-6.9999999999907914</v>
      </c>
      <c r="S18" s="27">
        <f t="shared" si="8"/>
        <v>0</v>
      </c>
      <c r="T18" s="28">
        <f t="shared" si="9"/>
        <v>-0.99999999999944578</v>
      </c>
      <c r="U18" s="28">
        <f t="shared" si="10"/>
        <v>-1.9999999999997797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41628</v>
      </c>
      <c r="C19" s="25">
        <v>12.715999999999999</v>
      </c>
      <c r="D19" s="26">
        <v>7.8410000000000002</v>
      </c>
      <c r="E19" s="26">
        <v>7.8550000000000004</v>
      </c>
      <c r="F19" s="16"/>
      <c r="G19" s="16"/>
      <c r="H19" s="16"/>
      <c r="I19" s="17">
        <v>101.251</v>
      </c>
      <c r="J19" s="32">
        <v>329</v>
      </c>
      <c r="K19" s="18">
        <f t="shared" si="0"/>
        <v>20</v>
      </c>
      <c r="L19" s="19">
        <f t="shared" si="1"/>
        <v>-3.0000000000001137</v>
      </c>
      <c r="M19" s="19">
        <f t="shared" si="2"/>
        <v>-3.0000000000001137</v>
      </c>
      <c r="N19" s="19">
        <f t="shared" si="3"/>
        <v>-1.9999999999997797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-6.9999999999907914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41635</v>
      </c>
      <c r="C20" s="25">
        <v>12.715</v>
      </c>
      <c r="D20" s="26">
        <v>7.84</v>
      </c>
      <c r="E20" s="26">
        <v>7.8520000000000003</v>
      </c>
      <c r="F20" s="16"/>
      <c r="G20" s="16"/>
      <c r="H20" s="16"/>
      <c r="I20" s="17">
        <v>101.249</v>
      </c>
      <c r="J20" s="32">
        <v>332</v>
      </c>
      <c r="K20" s="18">
        <f t="shared" si="0"/>
        <v>23</v>
      </c>
      <c r="L20" s="19">
        <f t="shared" si="1"/>
        <v>-3.9999999999995595</v>
      </c>
      <c r="M20" s="19">
        <f t="shared" si="2"/>
        <v>-4.0000000000004476</v>
      </c>
      <c r="N20" s="19">
        <f t="shared" si="3"/>
        <v>-4.9999999999998934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-9.0000000000003411</v>
      </c>
      <c r="S20" s="27">
        <f t="shared" si="8"/>
        <v>-0.14285714285706369</v>
      </c>
      <c r="T20" s="28">
        <f t="shared" si="9"/>
        <v>-0.14285714285719056</v>
      </c>
      <c r="U20" s="28">
        <f t="shared" si="10"/>
        <v>-0.42857142857144481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41641</v>
      </c>
      <c r="C21" s="25">
        <v>12.717000000000001</v>
      </c>
      <c r="D21" s="26">
        <v>7.8419999999999996</v>
      </c>
      <c r="E21" s="26">
        <v>7.8520000000000003</v>
      </c>
      <c r="F21" s="16"/>
      <c r="G21" s="16"/>
      <c r="H21" s="16"/>
      <c r="I21" s="17">
        <v>101.25</v>
      </c>
      <c r="J21" s="32">
        <v>332</v>
      </c>
      <c r="K21" s="18">
        <f t="shared" si="0"/>
        <v>23</v>
      </c>
      <c r="L21" s="19">
        <f t="shared" si="1"/>
        <v>-1.9999999999988916</v>
      </c>
      <c r="M21" s="19">
        <f t="shared" si="2"/>
        <v>-2.0000000000006679</v>
      </c>
      <c r="N21" s="19">
        <f t="shared" si="3"/>
        <v>-4.9999999999998934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-7.9999999999955662</v>
      </c>
      <c r="S21" s="27">
        <f t="shared" si="8"/>
        <v>0.33333333333344467</v>
      </c>
      <c r="T21" s="28">
        <f t="shared" si="9"/>
        <v>0.33333333333329662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41646</v>
      </c>
      <c r="C22" s="25">
        <v>12.717000000000001</v>
      </c>
      <c r="D22" s="26">
        <v>7.8419999999999996</v>
      </c>
      <c r="E22" s="26">
        <v>7.8520000000000003</v>
      </c>
      <c r="F22" s="16"/>
      <c r="G22" s="16"/>
      <c r="H22" s="16"/>
      <c r="I22" s="17">
        <v>101.249</v>
      </c>
      <c r="J22" s="32">
        <v>332</v>
      </c>
      <c r="K22" s="18">
        <f t="shared" si="0"/>
        <v>23</v>
      </c>
      <c r="L22" s="19">
        <f t="shared" si="1"/>
        <v>-1.9999999999988916</v>
      </c>
      <c r="M22" s="19">
        <f t="shared" si="2"/>
        <v>-2.0000000000006679</v>
      </c>
      <c r="N22" s="19">
        <f t="shared" si="3"/>
        <v>-4.9999999999998934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-9.0000000000003411</v>
      </c>
      <c r="S22" s="27">
        <f t="shared" si="8"/>
        <v>0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41647</v>
      </c>
      <c r="C23" s="25">
        <v>12.715999999999999</v>
      </c>
      <c r="D23" s="26">
        <v>7.8419999999999996</v>
      </c>
      <c r="E23" s="26">
        <v>7.8520000000000003</v>
      </c>
      <c r="F23" s="16"/>
      <c r="G23" s="16"/>
      <c r="H23" s="16"/>
      <c r="I23" s="17">
        <v>101.25</v>
      </c>
      <c r="J23" s="32">
        <v>336</v>
      </c>
      <c r="K23" s="18">
        <f t="shared" si="0"/>
        <v>27</v>
      </c>
      <c r="L23" s="19">
        <f t="shared" si="1"/>
        <v>-3.0000000000001137</v>
      </c>
      <c r="M23" s="19">
        <f t="shared" si="2"/>
        <v>-2.0000000000006679</v>
      </c>
      <c r="N23" s="19">
        <f t="shared" si="3"/>
        <v>-4.9999999999998934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-7.9999999999955662</v>
      </c>
      <c r="S23" s="27">
        <f t="shared" si="8"/>
        <v>-1.0000000000012221</v>
      </c>
      <c r="T23" s="28">
        <f t="shared" si="9"/>
        <v>0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41648</v>
      </c>
      <c r="C24" s="25">
        <v>12.712999999999999</v>
      </c>
      <c r="D24" s="26">
        <v>7.8390000000000004</v>
      </c>
      <c r="E24" s="26">
        <v>7.8529999999999998</v>
      </c>
      <c r="F24" s="16"/>
      <c r="G24" s="16"/>
      <c r="H24" s="16"/>
      <c r="I24" s="17">
        <v>101.25</v>
      </c>
      <c r="J24" s="32">
        <v>340</v>
      </c>
      <c r="K24" s="18">
        <f t="shared" si="0"/>
        <v>31</v>
      </c>
      <c r="L24" s="19">
        <f t="shared" si="1"/>
        <v>-6.0000000000002274</v>
      </c>
      <c r="M24" s="19">
        <f t="shared" si="2"/>
        <v>-4.9999999999998934</v>
      </c>
      <c r="N24" s="19">
        <f t="shared" si="3"/>
        <v>-4.0000000000004476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-7.9999999999955662</v>
      </c>
      <c r="S24" s="27">
        <f t="shared" si="8"/>
        <v>-3.0000000000001137</v>
      </c>
      <c r="T24" s="28">
        <f t="shared" si="9"/>
        <v>-2.9999999999992255</v>
      </c>
      <c r="U24" s="28">
        <f t="shared" si="10"/>
        <v>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41649</v>
      </c>
      <c r="C25" s="25">
        <v>12.712999999999999</v>
      </c>
      <c r="D25" s="26">
        <v>7.84</v>
      </c>
      <c r="E25" s="26">
        <v>7.8529999999999998</v>
      </c>
      <c r="F25" s="16"/>
      <c r="G25" s="16"/>
      <c r="H25" s="16"/>
      <c r="I25" s="17">
        <v>101.25</v>
      </c>
      <c r="J25" s="32">
        <v>348</v>
      </c>
      <c r="K25" s="18">
        <f t="shared" si="0"/>
        <v>39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-4.0000000000004476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-7.9999999999955662</v>
      </c>
      <c r="S25" s="27">
        <f t="shared" si="8"/>
        <v>0</v>
      </c>
      <c r="T25" s="28">
        <f t="shared" si="9"/>
        <v>0.99999999999944578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41652</v>
      </c>
      <c r="C26" s="25">
        <v>12.712</v>
      </c>
      <c r="D26" s="26">
        <v>7.8390000000000004</v>
      </c>
      <c r="E26" s="26">
        <v>7.8520000000000003</v>
      </c>
      <c r="F26" s="16"/>
      <c r="G26" s="16"/>
      <c r="H26" s="16"/>
      <c r="I26" s="17">
        <v>101.249</v>
      </c>
      <c r="J26" s="32">
        <v>353</v>
      </c>
      <c r="K26" s="18">
        <f t="shared" si="0"/>
        <v>44</v>
      </c>
      <c r="L26" s="19">
        <f t="shared" si="1"/>
        <v>-6.9999999999996732</v>
      </c>
      <c r="M26" s="19">
        <f t="shared" si="2"/>
        <v>-4.9999999999998934</v>
      </c>
      <c r="N26" s="19">
        <f t="shared" si="3"/>
        <v>-4.9999999999998934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-9.0000000000003411</v>
      </c>
      <c r="S26" s="27">
        <f t="shared" si="8"/>
        <v>-0.33333333333314857</v>
      </c>
      <c r="T26" s="28">
        <f t="shared" si="9"/>
        <v>-0.33333333333314857</v>
      </c>
      <c r="U26" s="28">
        <f t="shared" si="10"/>
        <v>-0.33333333333314857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41653</v>
      </c>
      <c r="C27" s="25">
        <v>12.712</v>
      </c>
      <c r="D27" s="26">
        <v>7.8390000000000004</v>
      </c>
      <c r="E27" s="26">
        <v>7.8520000000000003</v>
      </c>
      <c r="F27" s="16"/>
      <c r="G27" s="16"/>
      <c r="H27" s="16"/>
      <c r="I27" s="17">
        <v>101.249</v>
      </c>
      <c r="J27" s="32">
        <v>359.5</v>
      </c>
      <c r="K27" s="18">
        <f t="shared" si="0"/>
        <v>50.5</v>
      </c>
      <c r="L27" s="19">
        <f t="shared" si="1"/>
        <v>-6.9999999999996732</v>
      </c>
      <c r="M27" s="19">
        <f t="shared" si="2"/>
        <v>-4.9999999999998934</v>
      </c>
      <c r="N27" s="19">
        <f t="shared" si="3"/>
        <v>-4.9999999999998934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-9.0000000000003411</v>
      </c>
      <c r="S27" s="27">
        <f t="shared" si="8"/>
        <v>0</v>
      </c>
      <c r="T27" s="28">
        <f t="shared" si="9"/>
        <v>0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41654</v>
      </c>
      <c r="C28" s="25">
        <v>12.711</v>
      </c>
      <c r="D28" s="26">
        <v>7.8380000000000001</v>
      </c>
      <c r="E28" s="26">
        <v>7.8520000000000003</v>
      </c>
      <c r="F28" s="16"/>
      <c r="G28" s="16"/>
      <c r="H28" s="16"/>
      <c r="I28" s="17">
        <v>101.249</v>
      </c>
      <c r="J28" s="32">
        <v>366</v>
      </c>
      <c r="K28" s="18">
        <f t="shared" si="0"/>
        <v>57</v>
      </c>
      <c r="L28" s="19">
        <f t="shared" si="1"/>
        <v>-7.9999999999991189</v>
      </c>
      <c r="M28" s="19">
        <f t="shared" si="2"/>
        <v>-6.0000000000002274</v>
      </c>
      <c r="N28" s="19">
        <f t="shared" si="3"/>
        <v>-4.9999999999998934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-9.0000000000003411</v>
      </c>
      <c r="S28" s="27">
        <f t="shared" si="8"/>
        <v>-0.99999999999944578</v>
      </c>
      <c r="T28" s="28">
        <f t="shared" si="9"/>
        <v>-1.000000000000334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41655</v>
      </c>
      <c r="C29" s="25">
        <v>12.711</v>
      </c>
      <c r="D29" s="26">
        <v>7.8380000000000001</v>
      </c>
      <c r="E29" s="26">
        <v>7.8520000000000003</v>
      </c>
      <c r="F29" s="16"/>
      <c r="G29" s="16"/>
      <c r="H29" s="16"/>
      <c r="I29" s="17">
        <v>101.25</v>
      </c>
      <c r="J29" s="32">
        <v>373</v>
      </c>
      <c r="K29" s="18">
        <f t="shared" si="0"/>
        <v>64</v>
      </c>
      <c r="L29" s="19">
        <f t="shared" si="1"/>
        <v>-7.9999999999991189</v>
      </c>
      <c r="M29" s="19">
        <f t="shared" si="2"/>
        <v>-6.0000000000002274</v>
      </c>
      <c r="N29" s="19">
        <f t="shared" si="3"/>
        <v>-4.9999999999998934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-7.9999999999955662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41659</v>
      </c>
      <c r="C30" s="25">
        <v>12.711</v>
      </c>
      <c r="D30" s="26">
        <v>7.8390000000000004</v>
      </c>
      <c r="E30" s="26">
        <v>7.8520000000000003</v>
      </c>
      <c r="F30" s="16"/>
      <c r="G30" s="16"/>
      <c r="H30" s="16"/>
      <c r="I30" s="17">
        <v>101.25</v>
      </c>
      <c r="J30" s="32">
        <v>383</v>
      </c>
      <c r="K30" s="18">
        <f t="shared" ref="K30:K40" si="14">IF(ISBLANK(J30),"",(J30-$J$8))</f>
        <v>74</v>
      </c>
      <c r="L30" s="19">
        <f t="shared" si="1"/>
        <v>-7.9999999999991189</v>
      </c>
      <c r="M30" s="19">
        <f t="shared" si="2"/>
        <v>-4.9999999999998934</v>
      </c>
      <c r="N30" s="19">
        <f t="shared" si="3"/>
        <v>-4.9999999999998934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-7.9999999999955662</v>
      </c>
      <c r="S30" s="27">
        <f t="shared" si="8"/>
        <v>0</v>
      </c>
      <c r="T30" s="28">
        <f t="shared" si="9"/>
        <v>0.25000000000008349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41690</v>
      </c>
      <c r="C31" s="25">
        <v>12.71</v>
      </c>
      <c r="D31" s="26">
        <v>7.8380000000000001</v>
      </c>
      <c r="E31" s="26">
        <v>7.8520000000000003</v>
      </c>
      <c r="F31" s="16"/>
      <c r="G31" s="16"/>
      <c r="H31" s="16"/>
      <c r="I31" s="17">
        <v>101.249</v>
      </c>
      <c r="J31" s="32">
        <v>510</v>
      </c>
      <c r="K31" s="18">
        <f t="shared" si="14"/>
        <v>201</v>
      </c>
      <c r="L31" s="19">
        <f t="shared" si="1"/>
        <v>-8.9999999999985647</v>
      </c>
      <c r="M31" s="19">
        <f t="shared" si="2"/>
        <v>-6.0000000000002274</v>
      </c>
      <c r="N31" s="19">
        <f t="shared" si="3"/>
        <v>-4.9999999999998934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-9.0000000000003411</v>
      </c>
      <c r="S31" s="27">
        <f t="shared" si="8"/>
        <v>-3.2258064516111157E-2</v>
      </c>
      <c r="T31" s="28">
        <f t="shared" si="9"/>
        <v>-3.2258064516139807E-2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41723</v>
      </c>
      <c r="C32" s="25">
        <v>12.69</v>
      </c>
      <c r="D32" s="26">
        <v>7.835</v>
      </c>
      <c r="E32" s="26">
        <v>7.8479999999999999</v>
      </c>
      <c r="F32" s="16"/>
      <c r="G32" s="16"/>
      <c r="H32" s="16"/>
      <c r="I32" s="17">
        <v>101.245</v>
      </c>
      <c r="J32" s="32">
        <v>308</v>
      </c>
      <c r="K32" s="18">
        <f t="shared" si="14"/>
        <v>-1</v>
      </c>
      <c r="L32" s="19">
        <f t="shared" si="1"/>
        <v>-28.999999999999915</v>
      </c>
      <c r="M32" s="19">
        <f t="shared" si="2"/>
        <v>-9.0000000000003411</v>
      </c>
      <c r="N32" s="19">
        <f t="shared" si="3"/>
        <v>-9.0000000000003411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-12.999999999991019</v>
      </c>
      <c r="S32" s="27">
        <f t="shared" si="8"/>
        <v>-0.60606060606064693</v>
      </c>
      <c r="T32" s="28">
        <f t="shared" si="9"/>
        <v>-9.0909090909094353E-2</v>
      </c>
      <c r="U32" s="28">
        <f t="shared" si="10"/>
        <v>-0.12121212121213477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 t="s">
        <v>23</v>
      </c>
    </row>
    <row r="33" spans="2:25" ht="15" customHeight="1" x14ac:dyDescent="0.2">
      <c r="B33" s="31">
        <v>41724</v>
      </c>
      <c r="C33" s="25">
        <v>12.685</v>
      </c>
      <c r="D33" s="26">
        <v>7.8319999999999999</v>
      </c>
      <c r="E33" s="26">
        <v>7.8479999999999999</v>
      </c>
      <c r="F33" s="16"/>
      <c r="G33" s="16"/>
      <c r="H33" s="16"/>
      <c r="I33" s="17">
        <v>101.244</v>
      </c>
      <c r="J33" s="32">
        <v>319</v>
      </c>
      <c r="K33" s="18">
        <f t="shared" si="14"/>
        <v>10</v>
      </c>
      <c r="L33" s="19">
        <f t="shared" si="1"/>
        <v>-33.99999999999892</v>
      </c>
      <c r="M33" s="19">
        <f t="shared" si="2"/>
        <v>-12.000000000000455</v>
      </c>
      <c r="N33" s="19">
        <f t="shared" si="3"/>
        <v>-9.0000000000003411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-13.999999999995794</v>
      </c>
      <c r="S33" s="27">
        <f t="shared" si="8"/>
        <v>-4.9999999999990052</v>
      </c>
      <c r="T33" s="28">
        <f t="shared" si="9"/>
        <v>-3.0000000000001137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41725</v>
      </c>
      <c r="C34" s="25">
        <v>12.683999999999999</v>
      </c>
      <c r="D34" s="26">
        <v>7.8319999999999999</v>
      </c>
      <c r="E34" s="26">
        <v>7.8470000000000004</v>
      </c>
      <c r="F34" s="16">
        <v>12.977</v>
      </c>
      <c r="G34" s="16">
        <v>10.252000000000001</v>
      </c>
      <c r="H34" s="16">
        <v>10.667</v>
      </c>
      <c r="I34" s="17">
        <v>101.24299999999999</v>
      </c>
      <c r="J34" s="32">
        <v>327</v>
      </c>
      <c r="K34" s="18">
        <f t="shared" si="14"/>
        <v>18</v>
      </c>
      <c r="L34" s="19">
        <f t="shared" si="1"/>
        <v>-35.000000000000142</v>
      </c>
      <c r="M34" s="19">
        <f t="shared" si="2"/>
        <v>-12.000000000000455</v>
      </c>
      <c r="N34" s="19">
        <f t="shared" si="3"/>
        <v>-9.9999999999997868</v>
      </c>
      <c r="O34" s="19">
        <f>IF(ISBLANK(F34),"",((F34-F$34)*1000)+L$34)</f>
        <v>-35.000000000000142</v>
      </c>
      <c r="P34" s="19">
        <f>IF(ISBLANK(G34),"",((G34-G$34)*1000)+M$34)</f>
        <v>-12.000000000000455</v>
      </c>
      <c r="Q34" s="19">
        <f>IF(ISBLANK(H34),"",((H34-H$34)*1000)+N$34)</f>
        <v>-9.9999999999997868</v>
      </c>
      <c r="R34" s="19">
        <f t="shared" si="15"/>
        <v>-15.000000000000568</v>
      </c>
      <c r="S34" s="27">
        <f t="shared" si="8"/>
        <v>-1.0000000000012221</v>
      </c>
      <c r="T34" s="28">
        <f t="shared" si="9"/>
        <v>0</v>
      </c>
      <c r="U34" s="28">
        <f t="shared" si="10"/>
        <v>-0.99999999999944578</v>
      </c>
      <c r="V34" s="28"/>
      <c r="W34" s="28"/>
      <c r="X34" s="29"/>
      <c r="Y34" s="24"/>
    </row>
    <row r="35" spans="2:25" ht="15" customHeight="1" x14ac:dyDescent="0.2">
      <c r="B35" s="31">
        <v>41726</v>
      </c>
      <c r="C35" s="25"/>
      <c r="D35" s="26"/>
      <c r="E35" s="26"/>
      <c r="F35" s="16">
        <v>12.976000000000001</v>
      </c>
      <c r="G35" s="16">
        <v>10.250999999999999</v>
      </c>
      <c r="H35" s="16">
        <v>10.667</v>
      </c>
      <c r="I35" s="17">
        <v>101.24299999999999</v>
      </c>
      <c r="J35" s="32">
        <v>340</v>
      </c>
      <c r="K35" s="18">
        <f t="shared" si="14"/>
        <v>31</v>
      </c>
      <c r="L35" s="19" t="str">
        <f t="shared" si="1"/>
        <v/>
      </c>
      <c r="M35" s="19" t="str">
        <f t="shared" si="2"/>
        <v/>
      </c>
      <c r="N35" s="19" t="str">
        <f t="shared" si="3"/>
        <v/>
      </c>
      <c r="O35" s="19">
        <f t="shared" ref="O35:O98" si="16">IF(ISBLANK(F35),"",((F35-F$34)*1000)+L$34)</f>
        <v>-35.999999999999588</v>
      </c>
      <c r="P35" s="19">
        <f t="shared" ref="P35:P98" si="17">IF(ISBLANK(G35),"",((G35-G$34)*1000)+M$34)</f>
        <v>-13.000000000001677</v>
      </c>
      <c r="Q35" s="19">
        <f t="shared" ref="Q35:Q98" si="18">IF(ISBLANK(H35),"",((H35-H$34)*1000)+N$34)</f>
        <v>-9.9999999999997868</v>
      </c>
      <c r="R35" s="19">
        <f t="shared" si="15"/>
        <v>-15.000000000000568</v>
      </c>
      <c r="S35" s="27" t="str">
        <f t="shared" si="8"/>
        <v/>
      </c>
      <c r="T35" s="28" t="str">
        <f t="shared" si="9"/>
        <v/>
      </c>
      <c r="U35" s="28" t="str">
        <f t="shared" si="10"/>
        <v/>
      </c>
      <c r="V35" s="28">
        <f t="shared" si="11"/>
        <v>-0.99999999999944578</v>
      </c>
      <c r="W35" s="28">
        <f t="shared" si="12"/>
        <v>-1.0000000000012221</v>
      </c>
      <c r="X35" s="29">
        <f t="shared" si="13"/>
        <v>0</v>
      </c>
      <c r="Y35" s="24"/>
    </row>
    <row r="36" spans="2:25" ht="15" customHeight="1" x14ac:dyDescent="0.2">
      <c r="B36" s="31">
        <v>41729</v>
      </c>
      <c r="C36" s="25"/>
      <c r="D36" s="26"/>
      <c r="E36" s="26"/>
      <c r="F36" s="16">
        <v>12.976000000000001</v>
      </c>
      <c r="G36" s="16">
        <v>10.250999999999999</v>
      </c>
      <c r="H36" s="16">
        <v>10.667</v>
      </c>
      <c r="I36" s="17">
        <v>101.24299999999999</v>
      </c>
      <c r="J36" s="32">
        <v>350</v>
      </c>
      <c r="K36" s="18">
        <f t="shared" si="14"/>
        <v>41</v>
      </c>
      <c r="L36" s="19" t="str">
        <f t="shared" si="1"/>
        <v/>
      </c>
      <c r="M36" s="19" t="str">
        <f t="shared" si="2"/>
        <v/>
      </c>
      <c r="N36" s="19" t="str">
        <f t="shared" si="3"/>
        <v/>
      </c>
      <c r="O36" s="19">
        <f t="shared" si="16"/>
        <v>-35.999999999999588</v>
      </c>
      <c r="P36" s="19">
        <f t="shared" si="17"/>
        <v>-13.000000000001677</v>
      </c>
      <c r="Q36" s="19">
        <f t="shared" si="18"/>
        <v>-9.9999999999997868</v>
      </c>
      <c r="R36" s="19">
        <f t="shared" si="15"/>
        <v>-15.000000000000568</v>
      </c>
      <c r="S36" s="27" t="str">
        <f t="shared" si="8"/>
        <v/>
      </c>
      <c r="T36" s="28" t="str">
        <f t="shared" si="9"/>
        <v/>
      </c>
      <c r="U36" s="28" t="str">
        <f t="shared" si="10"/>
        <v/>
      </c>
      <c r="V36" s="28">
        <f t="shared" si="11"/>
        <v>0</v>
      </c>
      <c r="W36" s="28">
        <f t="shared" si="12"/>
        <v>0</v>
      </c>
      <c r="X36" s="29">
        <f t="shared" si="13"/>
        <v>0</v>
      </c>
      <c r="Y36" s="24"/>
    </row>
    <row r="37" spans="2:25" ht="15" customHeight="1" x14ac:dyDescent="0.2">
      <c r="B37" s="31">
        <v>41730</v>
      </c>
      <c r="C37" s="25"/>
      <c r="D37" s="26"/>
      <c r="E37" s="26"/>
      <c r="F37" s="16">
        <v>12.976000000000001</v>
      </c>
      <c r="G37" s="16">
        <v>10.250999999999999</v>
      </c>
      <c r="H37" s="16">
        <v>10.667</v>
      </c>
      <c r="I37" s="17">
        <v>101.24299999999999</v>
      </c>
      <c r="J37" s="32">
        <v>364</v>
      </c>
      <c r="K37" s="18">
        <f t="shared" si="14"/>
        <v>55</v>
      </c>
      <c r="L37" s="19" t="str">
        <f t="shared" si="1"/>
        <v/>
      </c>
      <c r="M37" s="19" t="str">
        <f t="shared" si="2"/>
        <v/>
      </c>
      <c r="N37" s="19" t="str">
        <f t="shared" si="3"/>
        <v/>
      </c>
      <c r="O37" s="19">
        <f t="shared" si="16"/>
        <v>-35.999999999999588</v>
      </c>
      <c r="P37" s="19">
        <f t="shared" si="17"/>
        <v>-13.000000000001677</v>
      </c>
      <c r="Q37" s="19">
        <f t="shared" si="18"/>
        <v>-9.9999999999997868</v>
      </c>
      <c r="R37" s="19">
        <f t="shared" si="15"/>
        <v>-15.000000000000568</v>
      </c>
      <c r="S37" s="27" t="str">
        <f t="shared" si="8"/>
        <v/>
      </c>
      <c r="T37" s="28" t="str">
        <f t="shared" si="9"/>
        <v/>
      </c>
      <c r="U37" s="28" t="str">
        <f t="shared" si="10"/>
        <v/>
      </c>
      <c r="V37" s="28">
        <f t="shared" si="11"/>
        <v>0</v>
      </c>
      <c r="W37" s="28">
        <f t="shared" si="12"/>
        <v>0</v>
      </c>
      <c r="X37" s="29">
        <f t="shared" si="13"/>
        <v>0</v>
      </c>
      <c r="Y37" s="24"/>
    </row>
    <row r="38" spans="2:25" ht="15" customHeight="1" x14ac:dyDescent="0.2">
      <c r="B38" s="31">
        <v>41731</v>
      </c>
      <c r="C38" s="25"/>
      <c r="D38" s="26"/>
      <c r="E38" s="26"/>
      <c r="F38" s="16">
        <v>12.975</v>
      </c>
      <c r="G38" s="16">
        <v>10.250999999999999</v>
      </c>
      <c r="H38" s="16">
        <v>10.667</v>
      </c>
      <c r="I38" s="17">
        <v>101.24299999999999</v>
      </c>
      <c r="J38" s="32">
        <v>375</v>
      </c>
      <c r="K38" s="18">
        <f t="shared" si="14"/>
        <v>66</v>
      </c>
      <c r="L38" s="19" t="str">
        <f t="shared" si="1"/>
        <v/>
      </c>
      <c r="M38" s="19" t="str">
        <f t="shared" si="2"/>
        <v/>
      </c>
      <c r="N38" s="19" t="str">
        <f t="shared" si="3"/>
        <v/>
      </c>
      <c r="O38" s="19">
        <f t="shared" si="16"/>
        <v>-37.00000000000081</v>
      </c>
      <c r="P38" s="19">
        <f t="shared" si="17"/>
        <v>-13.000000000001677</v>
      </c>
      <c r="Q38" s="19">
        <f t="shared" si="18"/>
        <v>-9.9999999999997868</v>
      </c>
      <c r="R38" s="19">
        <f t="shared" si="15"/>
        <v>-15.000000000000568</v>
      </c>
      <c r="S38" s="27" t="str">
        <f t="shared" si="8"/>
        <v/>
      </c>
      <c r="T38" s="28" t="str">
        <f t="shared" si="9"/>
        <v/>
      </c>
      <c r="U38" s="28" t="str">
        <f t="shared" si="10"/>
        <v/>
      </c>
      <c r="V38" s="28">
        <f t="shared" si="11"/>
        <v>-1.0000000000012221</v>
      </c>
      <c r="W38" s="28">
        <f t="shared" si="12"/>
        <v>0</v>
      </c>
      <c r="X38" s="29">
        <f t="shared" si="13"/>
        <v>0</v>
      </c>
      <c r="Y38" s="24"/>
    </row>
    <row r="39" spans="2:25" ht="15" customHeight="1" x14ac:dyDescent="0.2">
      <c r="B39" s="31">
        <v>41736</v>
      </c>
      <c r="C39" s="25"/>
      <c r="D39" s="26"/>
      <c r="E39" s="26"/>
      <c r="F39" s="16">
        <v>12.974</v>
      </c>
      <c r="G39" s="16">
        <v>10.250999999999999</v>
      </c>
      <c r="H39" s="16">
        <v>10.667999999999999</v>
      </c>
      <c r="I39" s="17">
        <v>101.24299999999999</v>
      </c>
      <c r="J39" s="32">
        <v>408</v>
      </c>
      <c r="K39" s="18">
        <f t="shared" si="14"/>
        <v>99</v>
      </c>
      <c r="L39" s="19" t="str">
        <f t="shared" si="1"/>
        <v/>
      </c>
      <c r="M39" s="19" t="str">
        <f t="shared" si="2"/>
        <v/>
      </c>
      <c r="N39" s="19" t="str">
        <f t="shared" si="3"/>
        <v/>
      </c>
      <c r="O39" s="19">
        <f t="shared" si="16"/>
        <v>-38.000000000000256</v>
      </c>
      <c r="P39" s="19">
        <f t="shared" si="17"/>
        <v>-13.000000000001677</v>
      </c>
      <c r="Q39" s="19">
        <f t="shared" si="18"/>
        <v>-9.0000000000003411</v>
      </c>
      <c r="R39" s="19">
        <f t="shared" si="15"/>
        <v>-15.000000000000568</v>
      </c>
      <c r="S39" s="27" t="str">
        <f t="shared" si="8"/>
        <v/>
      </c>
      <c r="T39" s="28" t="str">
        <f t="shared" si="9"/>
        <v/>
      </c>
      <c r="U39" s="28" t="str">
        <f t="shared" si="10"/>
        <v/>
      </c>
      <c r="V39" s="28">
        <f t="shared" si="11"/>
        <v>-0.19999999999988916</v>
      </c>
      <c r="W39" s="28">
        <f t="shared" si="12"/>
        <v>0</v>
      </c>
      <c r="X39" s="29">
        <f t="shared" si="13"/>
        <v>0.19999999999988916</v>
      </c>
      <c r="Y39" s="24"/>
    </row>
    <row r="40" spans="2:25" ht="15" customHeight="1" x14ac:dyDescent="0.2">
      <c r="B40" s="31">
        <v>41751</v>
      </c>
      <c r="C40" s="25"/>
      <c r="D40" s="26"/>
      <c r="E40" s="26"/>
      <c r="F40" s="16">
        <v>12.974</v>
      </c>
      <c r="G40" s="16">
        <v>10.250999999999999</v>
      </c>
      <c r="H40" s="16">
        <v>10.667999999999999</v>
      </c>
      <c r="I40" s="17">
        <v>101.24299999999999</v>
      </c>
      <c r="J40" s="32">
        <v>534.5</v>
      </c>
      <c r="K40" s="18">
        <f t="shared" si="14"/>
        <v>225.5</v>
      </c>
      <c r="L40" s="19" t="str">
        <f t="shared" si="1"/>
        <v/>
      </c>
      <c r="M40" s="19" t="str">
        <f t="shared" si="2"/>
        <v/>
      </c>
      <c r="N40" s="19" t="str">
        <f t="shared" si="3"/>
        <v/>
      </c>
      <c r="O40" s="19">
        <f t="shared" si="16"/>
        <v>-38.000000000000256</v>
      </c>
      <c r="P40" s="19">
        <f t="shared" si="17"/>
        <v>-13.000000000001677</v>
      </c>
      <c r="Q40" s="19">
        <f t="shared" si="18"/>
        <v>-9.0000000000003411</v>
      </c>
      <c r="R40" s="19">
        <f t="shared" si="15"/>
        <v>-15.000000000000568</v>
      </c>
      <c r="S40" s="27" t="str">
        <f t="shared" si="8"/>
        <v/>
      </c>
      <c r="T40" s="28" t="str">
        <f t="shared" si="9"/>
        <v/>
      </c>
      <c r="U40" s="28" t="str">
        <f t="shared" si="10"/>
        <v/>
      </c>
      <c r="V40" s="28">
        <f t="shared" si="11"/>
        <v>0</v>
      </c>
      <c r="W40" s="28">
        <f t="shared" si="12"/>
        <v>0</v>
      </c>
      <c r="X40" s="29">
        <f t="shared" si="13"/>
        <v>0</v>
      </c>
      <c r="Y40" s="24" t="s">
        <v>35</v>
      </c>
    </row>
    <row r="41" spans="2:25" ht="15" customHeight="1" x14ac:dyDescent="0.2">
      <c r="B41" s="31">
        <v>41781</v>
      </c>
      <c r="C41" s="25"/>
      <c r="D41" s="26"/>
      <c r="E41" s="26"/>
      <c r="F41" s="16">
        <v>12.972</v>
      </c>
      <c r="G41" s="16">
        <v>10.250999999999999</v>
      </c>
      <c r="H41" s="16">
        <v>10.667999999999999</v>
      </c>
      <c r="I41" s="17">
        <v>101.242</v>
      </c>
      <c r="J41" s="58">
        <v>792</v>
      </c>
      <c r="K41" s="18">
        <f t="shared" ref="K41:K46" si="19">IF(ISBLANK(J41),"",(J41-$J$8))</f>
        <v>483</v>
      </c>
      <c r="L41" s="19" t="str">
        <f t="shared" si="1"/>
        <v/>
      </c>
      <c r="M41" s="19" t="str">
        <f t="shared" si="2"/>
        <v/>
      </c>
      <c r="N41" s="19" t="str">
        <f t="shared" si="3"/>
        <v/>
      </c>
      <c r="O41" s="19">
        <f t="shared" si="16"/>
        <v>-40.000000000000924</v>
      </c>
      <c r="P41" s="19">
        <f t="shared" si="17"/>
        <v>-13.000000000001677</v>
      </c>
      <c r="Q41" s="19">
        <f t="shared" si="18"/>
        <v>-9.0000000000003411</v>
      </c>
      <c r="R41" s="19">
        <f t="shared" si="15"/>
        <v>-15.999999999991132</v>
      </c>
      <c r="S41" s="27" t="str">
        <f t="shared" si="8"/>
        <v/>
      </c>
      <c r="T41" s="28" t="str">
        <f t="shared" si="9"/>
        <v/>
      </c>
      <c r="U41" s="28" t="str">
        <f t="shared" si="10"/>
        <v/>
      </c>
      <c r="V41" s="28">
        <f t="shared" si="11"/>
        <v>-6.6666666666688926E-2</v>
      </c>
      <c r="W41" s="28">
        <f t="shared" si="12"/>
        <v>0</v>
      </c>
      <c r="X41" s="29">
        <f t="shared" si="13"/>
        <v>0</v>
      </c>
      <c r="Y41" s="24"/>
    </row>
    <row r="42" spans="2:25" ht="15" customHeight="1" x14ac:dyDescent="0.2">
      <c r="B42" s="31">
        <v>41843</v>
      </c>
      <c r="C42" s="25"/>
      <c r="D42" s="26"/>
      <c r="E42" s="26"/>
      <c r="F42" s="16">
        <v>12.971</v>
      </c>
      <c r="G42" s="16">
        <v>10.249000000000001</v>
      </c>
      <c r="H42" s="16">
        <v>10.667999999999999</v>
      </c>
      <c r="I42" s="17">
        <v>101.242</v>
      </c>
      <c r="J42" s="58">
        <v>943</v>
      </c>
      <c r="K42" s="18">
        <f t="shared" si="19"/>
        <v>634</v>
      </c>
      <c r="L42" s="19" t="str">
        <f t="shared" si="1"/>
        <v/>
      </c>
      <c r="M42" s="19" t="str">
        <f t="shared" si="2"/>
        <v/>
      </c>
      <c r="N42" s="19" t="str">
        <f t="shared" si="3"/>
        <v/>
      </c>
      <c r="O42" s="19">
        <f t="shared" si="16"/>
        <v>-41.000000000000369</v>
      </c>
      <c r="P42" s="19">
        <f t="shared" si="17"/>
        <v>-15.000000000000568</v>
      </c>
      <c r="Q42" s="19">
        <f t="shared" si="18"/>
        <v>-9.0000000000003411</v>
      </c>
      <c r="R42" s="19">
        <f t="shared" si="15"/>
        <v>-15.999999999991132</v>
      </c>
      <c r="S42" s="27" t="str">
        <f t="shared" si="8"/>
        <v/>
      </c>
      <c r="T42" s="28" t="str">
        <f t="shared" si="9"/>
        <v/>
      </c>
      <c r="U42" s="28" t="str">
        <f t="shared" si="10"/>
        <v/>
      </c>
      <c r="V42" s="28">
        <f t="shared" si="11"/>
        <v>-1.6129032258055578E-2</v>
      </c>
      <c r="W42" s="28">
        <f t="shared" si="12"/>
        <v>-3.2258064516111157E-2</v>
      </c>
      <c r="X42" s="29">
        <f t="shared" si="13"/>
        <v>0</v>
      </c>
      <c r="Y42" s="24"/>
    </row>
    <row r="43" spans="2:25" ht="15" customHeight="1" x14ac:dyDescent="0.2">
      <c r="B43" s="31">
        <v>41933</v>
      </c>
      <c r="C43" s="25">
        <v>12.677</v>
      </c>
      <c r="D43" s="26">
        <v>7.8310000000000004</v>
      </c>
      <c r="E43" s="26">
        <v>7.8460000000000001</v>
      </c>
      <c r="F43" s="16">
        <v>12.97</v>
      </c>
      <c r="G43" s="16">
        <v>10.25</v>
      </c>
      <c r="H43" s="16">
        <v>10.667</v>
      </c>
      <c r="I43" s="17">
        <v>101.24299999999999</v>
      </c>
      <c r="J43" s="58">
        <v>943</v>
      </c>
      <c r="K43" s="18">
        <f t="shared" si="19"/>
        <v>634</v>
      </c>
      <c r="L43" s="19">
        <f t="shared" si="1"/>
        <v>-41.999999999999815</v>
      </c>
      <c r="M43" s="19">
        <f t="shared" si="2"/>
        <v>-12.999999999999901</v>
      </c>
      <c r="N43" s="19">
        <f t="shared" si="3"/>
        <v>-11.000000000000121</v>
      </c>
      <c r="O43" s="19">
        <f t="shared" si="16"/>
        <v>-41.999999999999815</v>
      </c>
      <c r="P43" s="19">
        <f t="shared" si="17"/>
        <v>-14.000000000001123</v>
      </c>
      <c r="Q43" s="19">
        <f t="shared" si="18"/>
        <v>-9.9999999999997868</v>
      </c>
      <c r="R43" s="19">
        <f t="shared" si="15"/>
        <v>-15.000000000000568</v>
      </c>
      <c r="S43" s="27"/>
      <c r="T43" s="28"/>
      <c r="U43" s="28"/>
      <c r="V43" s="28">
        <f t="shared" si="11"/>
        <v>-1.1111111111104953E-2</v>
      </c>
      <c r="W43" s="28">
        <f t="shared" si="12"/>
        <v>1.1111111111104953E-2</v>
      </c>
      <c r="X43" s="29">
        <f t="shared" si="13"/>
        <v>-1.1111111111104953E-2</v>
      </c>
      <c r="Y43" s="24"/>
    </row>
    <row r="44" spans="2:25" ht="15" customHeight="1" x14ac:dyDescent="0.2">
      <c r="B44" s="31">
        <v>42025</v>
      </c>
      <c r="C44" s="25"/>
      <c r="D44" s="26"/>
      <c r="E44" s="26"/>
      <c r="F44" s="16">
        <v>12.97</v>
      </c>
      <c r="G44" s="16">
        <v>10.247999999999999</v>
      </c>
      <c r="H44" s="16">
        <v>10.666</v>
      </c>
      <c r="I44" s="17">
        <v>101.242</v>
      </c>
      <c r="J44" s="58">
        <v>943</v>
      </c>
      <c r="K44" s="18">
        <f t="shared" si="19"/>
        <v>634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6"/>
        <v>-41.999999999999815</v>
      </c>
      <c r="P44" s="19">
        <f t="shared" si="17"/>
        <v>-16.000000000001791</v>
      </c>
      <c r="Q44" s="19">
        <f t="shared" si="18"/>
        <v>-10.999999999999233</v>
      </c>
      <c r="R44" s="19">
        <f t="shared" si="15"/>
        <v>-15.999999999991132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0</v>
      </c>
      <c r="W44" s="28">
        <f t="shared" si="12"/>
        <v>-2.173913043478987E-2</v>
      </c>
      <c r="X44" s="29">
        <f t="shared" si="13"/>
        <v>-1.0869565217385279E-2</v>
      </c>
      <c r="Y44" s="24"/>
    </row>
    <row r="45" spans="2:25" ht="15" customHeight="1" x14ac:dyDescent="0.2">
      <c r="B45" s="31">
        <v>42109</v>
      </c>
      <c r="C45" s="25"/>
      <c r="D45" s="26"/>
      <c r="E45" s="26"/>
      <c r="F45" s="16">
        <v>12.968999999999999</v>
      </c>
      <c r="G45" s="16">
        <v>10.247999999999999</v>
      </c>
      <c r="H45" s="16">
        <v>10.666</v>
      </c>
      <c r="I45" s="17">
        <v>101.239</v>
      </c>
      <c r="J45" s="58">
        <v>943</v>
      </c>
      <c r="K45" s="18">
        <f t="shared" si="19"/>
        <v>634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6"/>
        <v>-43.000000000001037</v>
      </c>
      <c r="P45" s="19">
        <f t="shared" si="17"/>
        <v>-16.000000000001791</v>
      </c>
      <c r="Q45" s="19">
        <f t="shared" si="18"/>
        <v>-10.999999999999233</v>
      </c>
      <c r="R45" s="19">
        <f t="shared" si="15"/>
        <v>-18.999999999991246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-1.1904761904776453E-2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42221</v>
      </c>
      <c r="C46" s="33"/>
      <c r="D46" s="16"/>
      <c r="E46" s="16"/>
      <c r="F46" s="16">
        <v>12.967000000000001</v>
      </c>
      <c r="G46" s="16">
        <v>10.247999999999999</v>
      </c>
      <c r="H46" s="16">
        <v>10.664999999999999</v>
      </c>
      <c r="I46" s="16">
        <v>101.241</v>
      </c>
      <c r="J46" s="32">
        <v>1253</v>
      </c>
      <c r="K46" s="18">
        <f t="shared" si="19"/>
        <v>944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6"/>
        <v>-44.999999999999929</v>
      </c>
      <c r="P46" s="19">
        <f t="shared" si="17"/>
        <v>-16.000000000001791</v>
      </c>
      <c r="Q46" s="19">
        <f t="shared" si="18"/>
        <v>-12.000000000000455</v>
      </c>
      <c r="R46" s="19">
        <f t="shared" si="15"/>
        <v>-16.999999999995907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-1.7857142857132961E-2</v>
      </c>
      <c r="W46" s="28">
        <f t="shared" si="12"/>
        <v>0</v>
      </c>
      <c r="X46" s="29">
        <f t="shared" si="13"/>
        <v>-8.9285714285823412E-3</v>
      </c>
      <c r="Y46" s="24"/>
    </row>
    <row r="47" spans="2:25" ht="15" customHeight="1" x14ac:dyDescent="0.2">
      <c r="B47" s="31">
        <v>42317</v>
      </c>
      <c r="C47" s="33"/>
      <c r="D47" s="16"/>
      <c r="E47" s="16"/>
      <c r="F47" s="16">
        <v>12.967000000000001</v>
      </c>
      <c r="G47" s="16">
        <v>10.247</v>
      </c>
      <c r="H47" s="16">
        <v>10.664999999999999</v>
      </c>
      <c r="I47" s="16">
        <v>101.239</v>
      </c>
      <c r="J47" s="32">
        <v>2215</v>
      </c>
      <c r="K47" s="18">
        <f t="shared" ref="K47:K49" si="20">IF(ISBLANK(J47),"",(J47-$J$8))</f>
        <v>1906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6"/>
        <v>-44.999999999999929</v>
      </c>
      <c r="P47" s="19">
        <f t="shared" si="17"/>
        <v>-17.000000000001236</v>
      </c>
      <c r="Q47" s="19">
        <f t="shared" si="18"/>
        <v>-12.000000000000455</v>
      </c>
      <c r="R47" s="19">
        <f t="shared" si="15"/>
        <v>-18.999999999991246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-1.0416666666660893E-2</v>
      </c>
      <c r="X47" s="29">
        <f t="shared" si="13"/>
        <v>0</v>
      </c>
      <c r="Y47" s="24"/>
    </row>
    <row r="48" spans="2:25" ht="15" customHeight="1" x14ac:dyDescent="0.2">
      <c r="B48" s="31">
        <v>42404</v>
      </c>
      <c r="C48" s="25">
        <v>12.676</v>
      </c>
      <c r="D48" s="26">
        <v>7.827</v>
      </c>
      <c r="E48" s="26">
        <v>7.8479999999999999</v>
      </c>
      <c r="F48" s="16">
        <v>12.968</v>
      </c>
      <c r="G48" s="16">
        <v>10.244</v>
      </c>
      <c r="H48" s="16">
        <v>10.664</v>
      </c>
      <c r="I48" s="16">
        <v>101.239</v>
      </c>
      <c r="J48" s="58">
        <v>2484</v>
      </c>
      <c r="K48" s="18">
        <f t="shared" si="20"/>
        <v>2175</v>
      </c>
      <c r="L48" s="19">
        <f t="shared" ref="L48:L79" si="21">IF(ISBLANK(C48),"",(C48-C$16)*1000)</f>
        <v>-42.999999999999261</v>
      </c>
      <c r="M48" s="19">
        <f t="shared" ref="M48:M79" si="22">IF(ISBLANK(D48),"",(D48-D$16)*1000)</f>
        <v>-17.000000000000348</v>
      </c>
      <c r="N48" s="19">
        <f t="shared" ref="N48:N79" si="23">IF(ISBLANK(E48),"",(E48-E$16)*1000)</f>
        <v>-9.0000000000003411</v>
      </c>
      <c r="O48" s="19">
        <f t="shared" si="16"/>
        <v>-44.000000000000483</v>
      </c>
      <c r="P48" s="19">
        <f t="shared" si="17"/>
        <v>-20.00000000000135</v>
      </c>
      <c r="Q48" s="19">
        <f t="shared" si="18"/>
        <v>-12.999999999999901</v>
      </c>
      <c r="R48" s="19">
        <f t="shared" si="15"/>
        <v>-18.999999999991246</v>
      </c>
      <c r="S48" s="27"/>
      <c r="T48" s="28"/>
      <c r="U48" s="28"/>
      <c r="V48" s="28">
        <f t="shared" si="11"/>
        <v>1.1494252873556848E-2</v>
      </c>
      <c r="W48" s="28">
        <f t="shared" si="12"/>
        <v>-3.4482758620690959E-2</v>
      </c>
      <c r="X48" s="29">
        <f t="shared" si="13"/>
        <v>-1.1494252873556848E-2</v>
      </c>
      <c r="Y48" s="24"/>
    </row>
    <row r="49" spans="2:25" ht="15" customHeight="1" x14ac:dyDescent="0.2">
      <c r="B49" s="31">
        <v>42529</v>
      </c>
      <c r="C49" s="25">
        <v>12.675000000000001</v>
      </c>
      <c r="D49" s="26">
        <v>7.827</v>
      </c>
      <c r="E49" s="26">
        <v>7.8470000000000004</v>
      </c>
      <c r="F49" s="16">
        <v>12.968999999999999</v>
      </c>
      <c r="G49" s="16">
        <v>10.247</v>
      </c>
      <c r="H49" s="16">
        <v>10.664</v>
      </c>
      <c r="I49" s="16">
        <v>101.239</v>
      </c>
      <c r="J49" s="58">
        <v>2603</v>
      </c>
      <c r="K49" s="18">
        <f t="shared" si="20"/>
        <v>2294</v>
      </c>
      <c r="L49" s="19">
        <f t="shared" si="21"/>
        <v>-43.999999999998707</v>
      </c>
      <c r="M49" s="19">
        <f t="shared" si="22"/>
        <v>-17.000000000000348</v>
      </c>
      <c r="N49" s="19">
        <f t="shared" si="23"/>
        <v>-9.9999999999997868</v>
      </c>
      <c r="O49" s="19">
        <f t="shared" si="16"/>
        <v>-43.000000000001037</v>
      </c>
      <c r="P49" s="19">
        <f t="shared" si="17"/>
        <v>-17.000000000001236</v>
      </c>
      <c r="Q49" s="19">
        <f t="shared" si="18"/>
        <v>-12.999999999999901</v>
      </c>
      <c r="R49" s="19">
        <f t="shared" si="15"/>
        <v>-18.999999999991246</v>
      </c>
      <c r="S49" s="27">
        <f t="shared" ref="S49:S80" si="24">IF(C49="","",((C49-C48)*1000)/($B49-$B48))</f>
        <v>-7.9999999999955662E-3</v>
      </c>
      <c r="T49" s="28">
        <f t="shared" ref="T49:T80" si="25">IF(D49="","",((D49-D48)*1000)/($B49-$B48))</f>
        <v>0</v>
      </c>
      <c r="U49" s="28">
        <f t="shared" ref="U49:U80" si="26">IF(E49="","",((E49-E48)*1000)/($B49-$B48))</f>
        <v>-7.9999999999955662E-3</v>
      </c>
      <c r="V49" s="28">
        <f t="shared" ref="V49:V80" si="27">IF(F49="","",((F49-F48)*1000)/($B49-$B48))</f>
        <v>7.9999999999955662E-3</v>
      </c>
      <c r="W49" s="28">
        <f t="shared" ref="W49:W80" si="28">IF(G49="","",((G49-G48)*1000)/($B49-$B48))</f>
        <v>2.4000000000000909E-2</v>
      </c>
      <c r="X49" s="29">
        <f t="shared" ref="X49:X80" si="29">IF(H49="","",((H49-H48)*1000)/($B49-$B48))</f>
        <v>0</v>
      </c>
      <c r="Y49" s="24"/>
    </row>
    <row r="50" spans="2:25" ht="15" customHeight="1" x14ac:dyDescent="0.2">
      <c r="B50" s="31"/>
      <c r="C50" s="25"/>
      <c r="D50" s="26"/>
      <c r="E50" s="26"/>
      <c r="F50" s="16"/>
      <c r="G50" s="16"/>
      <c r="H50" s="16"/>
      <c r="I50" s="16"/>
      <c r="J50" s="58"/>
      <c r="K50" s="18"/>
      <c r="L50" s="19" t="str">
        <f t="shared" si="21"/>
        <v/>
      </c>
      <c r="M50" s="19" t="str">
        <f t="shared" si="22"/>
        <v/>
      </c>
      <c r="N50" s="19" t="str">
        <f t="shared" si="23"/>
        <v/>
      </c>
      <c r="O50" s="19" t="str">
        <f t="shared" si="16"/>
        <v/>
      </c>
      <c r="P50" s="19" t="str">
        <f t="shared" si="17"/>
        <v/>
      </c>
      <c r="Q50" s="19" t="str">
        <f t="shared" si="18"/>
        <v/>
      </c>
      <c r="R50" s="19" t="str">
        <f t="shared" si="15"/>
        <v/>
      </c>
      <c r="S50" s="27" t="str">
        <f t="shared" si="24"/>
        <v/>
      </c>
      <c r="T50" s="28" t="str">
        <f t="shared" si="25"/>
        <v/>
      </c>
      <c r="U50" s="28" t="str">
        <f t="shared" si="26"/>
        <v/>
      </c>
      <c r="V50" s="28" t="str">
        <f t="shared" si="27"/>
        <v/>
      </c>
      <c r="W50" s="28" t="str">
        <f t="shared" si="28"/>
        <v/>
      </c>
      <c r="X50" s="29" t="str">
        <f t="shared" si="29"/>
        <v/>
      </c>
      <c r="Y50" s="24"/>
    </row>
    <row r="51" spans="2:25" ht="15" customHeight="1" x14ac:dyDescent="0.2">
      <c r="B51" s="31"/>
      <c r="C51" s="25"/>
      <c r="D51" s="26"/>
      <c r="E51" s="26"/>
      <c r="F51" s="16"/>
      <c r="G51" s="16"/>
      <c r="H51" s="16"/>
      <c r="I51" s="16"/>
      <c r="J51" s="58"/>
      <c r="K51" s="18"/>
      <c r="L51" s="19" t="str">
        <f t="shared" si="21"/>
        <v/>
      </c>
      <c r="M51" s="19" t="str">
        <f t="shared" si="22"/>
        <v/>
      </c>
      <c r="N51" s="19" t="str">
        <f t="shared" si="23"/>
        <v/>
      </c>
      <c r="O51" s="19" t="str">
        <f t="shared" si="16"/>
        <v/>
      </c>
      <c r="P51" s="19" t="str">
        <f t="shared" si="17"/>
        <v/>
      </c>
      <c r="Q51" s="19" t="str">
        <f t="shared" si="18"/>
        <v/>
      </c>
      <c r="R51" s="19" t="str">
        <f t="shared" si="15"/>
        <v/>
      </c>
      <c r="S51" s="27" t="str">
        <f t="shared" si="24"/>
        <v/>
      </c>
      <c r="T51" s="28" t="str">
        <f t="shared" si="25"/>
        <v/>
      </c>
      <c r="U51" s="28" t="str">
        <f t="shared" si="26"/>
        <v/>
      </c>
      <c r="V51" s="28" t="str">
        <f t="shared" si="27"/>
        <v/>
      </c>
      <c r="W51" s="28" t="str">
        <f t="shared" si="28"/>
        <v/>
      </c>
      <c r="X51" s="29" t="str">
        <f t="shared" si="2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21"/>
        <v/>
      </c>
      <c r="M52" s="19" t="str">
        <f t="shared" si="22"/>
        <v/>
      </c>
      <c r="N52" s="19" t="str">
        <f t="shared" si="23"/>
        <v/>
      </c>
      <c r="O52" s="19" t="str">
        <f t="shared" si="16"/>
        <v/>
      </c>
      <c r="P52" s="19" t="str">
        <f t="shared" si="17"/>
        <v/>
      </c>
      <c r="Q52" s="19" t="str">
        <f t="shared" si="18"/>
        <v/>
      </c>
      <c r="R52" s="19" t="str">
        <f t="shared" si="15"/>
        <v/>
      </c>
      <c r="S52" s="27" t="str">
        <f t="shared" si="24"/>
        <v/>
      </c>
      <c r="T52" s="28" t="str">
        <f t="shared" si="25"/>
        <v/>
      </c>
      <c r="U52" s="28" t="str">
        <f t="shared" si="26"/>
        <v/>
      </c>
      <c r="V52" s="28" t="str">
        <f t="shared" si="27"/>
        <v/>
      </c>
      <c r="W52" s="28" t="str">
        <f t="shared" si="28"/>
        <v/>
      </c>
      <c r="X52" s="29" t="str">
        <f t="shared" si="2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21"/>
        <v/>
      </c>
      <c r="M53" s="19" t="str">
        <f t="shared" si="22"/>
        <v/>
      </c>
      <c r="N53" s="19" t="str">
        <f t="shared" si="23"/>
        <v/>
      </c>
      <c r="O53" s="19" t="str">
        <f t="shared" si="16"/>
        <v/>
      </c>
      <c r="P53" s="19" t="str">
        <f t="shared" si="17"/>
        <v/>
      </c>
      <c r="Q53" s="19" t="str">
        <f t="shared" si="18"/>
        <v/>
      </c>
      <c r="R53" s="19" t="str">
        <f t="shared" si="15"/>
        <v/>
      </c>
      <c r="S53" s="27" t="str">
        <f t="shared" si="24"/>
        <v/>
      </c>
      <c r="T53" s="28" t="str">
        <f t="shared" si="25"/>
        <v/>
      </c>
      <c r="U53" s="28" t="str">
        <f t="shared" si="26"/>
        <v/>
      </c>
      <c r="V53" s="28" t="str">
        <f t="shared" si="27"/>
        <v/>
      </c>
      <c r="W53" s="28" t="str">
        <f t="shared" si="28"/>
        <v/>
      </c>
      <c r="X53" s="29" t="str">
        <f t="shared" si="2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1"/>
        <v/>
      </c>
      <c r="M54" s="19" t="str">
        <f t="shared" si="22"/>
        <v/>
      </c>
      <c r="N54" s="19" t="str">
        <f t="shared" si="23"/>
        <v/>
      </c>
      <c r="O54" s="19" t="str">
        <f t="shared" si="16"/>
        <v/>
      </c>
      <c r="P54" s="19" t="str">
        <f t="shared" si="17"/>
        <v/>
      </c>
      <c r="Q54" s="19" t="str">
        <f t="shared" si="18"/>
        <v/>
      </c>
      <c r="R54" s="19" t="str">
        <f t="shared" si="15"/>
        <v/>
      </c>
      <c r="S54" s="27" t="str">
        <f t="shared" si="24"/>
        <v/>
      </c>
      <c r="T54" s="28" t="str">
        <f t="shared" si="25"/>
        <v/>
      </c>
      <c r="U54" s="28" t="str">
        <f t="shared" si="26"/>
        <v/>
      </c>
      <c r="V54" s="28" t="str">
        <f t="shared" si="27"/>
        <v/>
      </c>
      <c r="W54" s="28" t="str">
        <f t="shared" si="28"/>
        <v/>
      </c>
      <c r="X54" s="29" t="str">
        <f t="shared" si="2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1"/>
        <v/>
      </c>
      <c r="M55" s="19" t="str">
        <f t="shared" si="22"/>
        <v/>
      </c>
      <c r="N55" s="19" t="str">
        <f t="shared" si="23"/>
        <v/>
      </c>
      <c r="O55" s="19" t="str">
        <f t="shared" si="16"/>
        <v/>
      </c>
      <c r="P55" s="19" t="str">
        <f t="shared" si="17"/>
        <v/>
      </c>
      <c r="Q55" s="19" t="str">
        <f t="shared" si="18"/>
        <v/>
      </c>
      <c r="R55" s="19" t="str">
        <f t="shared" si="15"/>
        <v/>
      </c>
      <c r="S55" s="27" t="str">
        <f t="shared" si="24"/>
        <v/>
      </c>
      <c r="T55" s="28" t="str">
        <f t="shared" si="25"/>
        <v/>
      </c>
      <c r="U55" s="28" t="str">
        <f t="shared" si="26"/>
        <v/>
      </c>
      <c r="V55" s="28" t="str">
        <f t="shared" si="27"/>
        <v/>
      </c>
      <c r="W55" s="28" t="str">
        <f t="shared" si="28"/>
        <v/>
      </c>
      <c r="X55" s="29" t="str">
        <f t="shared" si="2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1"/>
        <v/>
      </c>
      <c r="M56" s="19" t="str">
        <f t="shared" si="22"/>
        <v/>
      </c>
      <c r="N56" s="19" t="str">
        <f t="shared" si="23"/>
        <v/>
      </c>
      <c r="O56" s="19" t="str">
        <f t="shared" si="16"/>
        <v/>
      </c>
      <c r="P56" s="19" t="str">
        <f t="shared" si="17"/>
        <v/>
      </c>
      <c r="Q56" s="19" t="str">
        <f t="shared" si="18"/>
        <v/>
      </c>
      <c r="R56" s="19" t="str">
        <f t="shared" si="15"/>
        <v/>
      </c>
      <c r="S56" s="27" t="str">
        <f t="shared" si="24"/>
        <v/>
      </c>
      <c r="T56" s="28" t="str">
        <f t="shared" si="25"/>
        <v/>
      </c>
      <c r="U56" s="28" t="str">
        <f t="shared" si="26"/>
        <v/>
      </c>
      <c r="V56" s="28" t="str">
        <f t="shared" si="27"/>
        <v/>
      </c>
      <c r="W56" s="28" t="str">
        <f t="shared" si="28"/>
        <v/>
      </c>
      <c r="X56" s="29" t="str">
        <f t="shared" si="2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1"/>
        <v/>
      </c>
      <c r="M57" s="19" t="str">
        <f t="shared" si="22"/>
        <v/>
      </c>
      <c r="N57" s="19" t="str">
        <f t="shared" si="23"/>
        <v/>
      </c>
      <c r="O57" s="19" t="str">
        <f t="shared" si="16"/>
        <v/>
      </c>
      <c r="P57" s="19" t="str">
        <f t="shared" si="17"/>
        <v/>
      </c>
      <c r="Q57" s="19" t="str">
        <f t="shared" si="18"/>
        <v/>
      </c>
      <c r="R57" s="19" t="str">
        <f t="shared" si="15"/>
        <v/>
      </c>
      <c r="S57" s="27" t="str">
        <f t="shared" si="24"/>
        <v/>
      </c>
      <c r="T57" s="28" t="str">
        <f t="shared" si="25"/>
        <v/>
      </c>
      <c r="U57" s="28" t="str">
        <f t="shared" si="26"/>
        <v/>
      </c>
      <c r="V57" s="28" t="str">
        <f t="shared" si="27"/>
        <v/>
      </c>
      <c r="W57" s="28" t="str">
        <f t="shared" si="28"/>
        <v/>
      </c>
      <c r="X57" s="29" t="str">
        <f t="shared" si="2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1"/>
        <v/>
      </c>
      <c r="M58" s="19" t="str">
        <f t="shared" si="22"/>
        <v/>
      </c>
      <c r="N58" s="19" t="str">
        <f t="shared" si="23"/>
        <v/>
      </c>
      <c r="O58" s="19" t="str">
        <f t="shared" si="16"/>
        <v/>
      </c>
      <c r="P58" s="19" t="str">
        <f t="shared" si="17"/>
        <v/>
      </c>
      <c r="Q58" s="19" t="str">
        <f t="shared" si="18"/>
        <v/>
      </c>
      <c r="R58" s="19" t="str">
        <f t="shared" si="15"/>
        <v/>
      </c>
      <c r="S58" s="27" t="str">
        <f t="shared" si="24"/>
        <v/>
      </c>
      <c r="T58" s="28" t="str">
        <f t="shared" si="25"/>
        <v/>
      </c>
      <c r="U58" s="28" t="str">
        <f t="shared" si="26"/>
        <v/>
      </c>
      <c r="V58" s="28" t="str">
        <f t="shared" si="27"/>
        <v/>
      </c>
      <c r="W58" s="28" t="str">
        <f t="shared" si="28"/>
        <v/>
      </c>
      <c r="X58" s="29" t="str">
        <f t="shared" si="2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1"/>
        <v/>
      </c>
      <c r="M59" s="19" t="str">
        <f t="shared" si="22"/>
        <v/>
      </c>
      <c r="N59" s="19" t="str">
        <f t="shared" si="23"/>
        <v/>
      </c>
      <c r="O59" s="19" t="str">
        <f t="shared" si="16"/>
        <v/>
      </c>
      <c r="P59" s="19" t="str">
        <f t="shared" si="17"/>
        <v/>
      </c>
      <c r="Q59" s="19" t="str">
        <f t="shared" si="18"/>
        <v/>
      </c>
      <c r="R59" s="19" t="str">
        <f t="shared" si="15"/>
        <v/>
      </c>
      <c r="S59" s="27" t="str">
        <f t="shared" si="24"/>
        <v/>
      </c>
      <c r="T59" s="28" t="str">
        <f t="shared" si="25"/>
        <v/>
      </c>
      <c r="U59" s="28" t="str">
        <f t="shared" si="26"/>
        <v/>
      </c>
      <c r="V59" s="28" t="str">
        <f t="shared" si="27"/>
        <v/>
      </c>
      <c r="W59" s="28" t="str">
        <f t="shared" si="28"/>
        <v/>
      </c>
      <c r="X59" s="29" t="str">
        <f t="shared" si="2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1"/>
        <v/>
      </c>
      <c r="M60" s="19" t="str">
        <f t="shared" si="22"/>
        <v/>
      </c>
      <c r="N60" s="19" t="str">
        <f t="shared" si="23"/>
        <v/>
      </c>
      <c r="O60" s="19" t="str">
        <f t="shared" si="16"/>
        <v/>
      </c>
      <c r="P60" s="19" t="str">
        <f t="shared" si="17"/>
        <v/>
      </c>
      <c r="Q60" s="19" t="str">
        <f t="shared" si="18"/>
        <v/>
      </c>
      <c r="R60" s="19" t="str">
        <f t="shared" si="15"/>
        <v/>
      </c>
      <c r="S60" s="27" t="str">
        <f t="shared" si="24"/>
        <v/>
      </c>
      <c r="T60" s="28" t="str">
        <f t="shared" si="25"/>
        <v/>
      </c>
      <c r="U60" s="28" t="str">
        <f t="shared" si="26"/>
        <v/>
      </c>
      <c r="V60" s="28" t="str">
        <f t="shared" si="27"/>
        <v/>
      </c>
      <c r="W60" s="28" t="str">
        <f t="shared" si="28"/>
        <v/>
      </c>
      <c r="X60" s="29" t="str">
        <f t="shared" si="2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1"/>
        <v/>
      </c>
      <c r="M61" s="19" t="str">
        <f t="shared" si="22"/>
        <v/>
      </c>
      <c r="N61" s="19" t="str">
        <f t="shared" si="23"/>
        <v/>
      </c>
      <c r="O61" s="19" t="str">
        <f t="shared" si="16"/>
        <v/>
      </c>
      <c r="P61" s="19" t="str">
        <f t="shared" si="17"/>
        <v/>
      </c>
      <c r="Q61" s="19" t="str">
        <f t="shared" si="18"/>
        <v/>
      </c>
      <c r="R61" s="19" t="str">
        <f t="shared" si="15"/>
        <v/>
      </c>
      <c r="S61" s="27" t="str">
        <f t="shared" si="24"/>
        <v/>
      </c>
      <c r="T61" s="28" t="str">
        <f t="shared" si="25"/>
        <v/>
      </c>
      <c r="U61" s="28" t="str">
        <f t="shared" si="26"/>
        <v/>
      </c>
      <c r="V61" s="28" t="str">
        <f t="shared" si="27"/>
        <v/>
      </c>
      <c r="W61" s="28" t="str">
        <f t="shared" si="28"/>
        <v/>
      </c>
      <c r="X61" s="29" t="str">
        <f t="shared" si="2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1"/>
        <v/>
      </c>
      <c r="M62" s="19" t="str">
        <f t="shared" si="22"/>
        <v/>
      </c>
      <c r="N62" s="19" t="str">
        <f t="shared" si="23"/>
        <v/>
      </c>
      <c r="O62" s="19" t="str">
        <f t="shared" si="16"/>
        <v/>
      </c>
      <c r="P62" s="19" t="str">
        <f t="shared" si="17"/>
        <v/>
      </c>
      <c r="Q62" s="19" t="str">
        <f t="shared" si="18"/>
        <v/>
      </c>
      <c r="R62" s="19" t="str">
        <f t="shared" si="15"/>
        <v/>
      </c>
      <c r="S62" s="27" t="str">
        <f t="shared" si="24"/>
        <v/>
      </c>
      <c r="T62" s="28" t="str">
        <f t="shared" si="25"/>
        <v/>
      </c>
      <c r="U62" s="28" t="str">
        <f t="shared" si="26"/>
        <v/>
      </c>
      <c r="V62" s="28" t="str">
        <f t="shared" si="27"/>
        <v/>
      </c>
      <c r="W62" s="28" t="str">
        <f t="shared" si="28"/>
        <v/>
      </c>
      <c r="X62" s="29" t="str">
        <f t="shared" si="2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21"/>
        <v/>
      </c>
      <c r="M63" s="19" t="str">
        <f t="shared" si="22"/>
        <v/>
      </c>
      <c r="N63" s="19" t="str">
        <f t="shared" si="23"/>
        <v/>
      </c>
      <c r="O63" s="19" t="str">
        <f t="shared" si="16"/>
        <v/>
      </c>
      <c r="P63" s="19" t="str">
        <f t="shared" si="17"/>
        <v/>
      </c>
      <c r="Q63" s="19" t="str">
        <f t="shared" si="18"/>
        <v/>
      </c>
      <c r="R63" s="19" t="str">
        <f t="shared" si="15"/>
        <v/>
      </c>
      <c r="S63" s="27" t="str">
        <f t="shared" si="24"/>
        <v/>
      </c>
      <c r="T63" s="28" t="str">
        <f t="shared" si="25"/>
        <v/>
      </c>
      <c r="U63" s="28" t="str">
        <f t="shared" si="26"/>
        <v/>
      </c>
      <c r="V63" s="28" t="str">
        <f t="shared" si="27"/>
        <v/>
      </c>
      <c r="W63" s="28" t="str">
        <f t="shared" si="28"/>
        <v/>
      </c>
      <c r="X63" s="29" t="str">
        <f t="shared" si="2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1"/>
        <v/>
      </c>
      <c r="M64" s="19" t="str">
        <f t="shared" si="22"/>
        <v/>
      </c>
      <c r="N64" s="19" t="str">
        <f t="shared" si="23"/>
        <v/>
      </c>
      <c r="O64" s="19" t="str">
        <f t="shared" si="16"/>
        <v/>
      </c>
      <c r="P64" s="19" t="str">
        <f t="shared" si="17"/>
        <v/>
      </c>
      <c r="Q64" s="19" t="str">
        <f t="shared" si="18"/>
        <v/>
      </c>
      <c r="R64" s="19" t="str">
        <f t="shared" si="15"/>
        <v/>
      </c>
      <c r="S64" s="27" t="str">
        <f t="shared" si="24"/>
        <v/>
      </c>
      <c r="T64" s="28" t="str">
        <f t="shared" si="25"/>
        <v/>
      </c>
      <c r="U64" s="28" t="str">
        <f t="shared" si="26"/>
        <v/>
      </c>
      <c r="V64" s="28" t="str">
        <f t="shared" si="27"/>
        <v/>
      </c>
      <c r="W64" s="28" t="str">
        <f t="shared" si="28"/>
        <v/>
      </c>
      <c r="X64" s="29" t="str">
        <f t="shared" si="2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1"/>
        <v/>
      </c>
      <c r="M65" s="19" t="str">
        <f t="shared" si="22"/>
        <v/>
      </c>
      <c r="N65" s="19" t="str">
        <f t="shared" si="23"/>
        <v/>
      </c>
      <c r="O65" s="19" t="str">
        <f t="shared" si="16"/>
        <v/>
      </c>
      <c r="P65" s="19" t="str">
        <f t="shared" si="17"/>
        <v/>
      </c>
      <c r="Q65" s="19" t="str">
        <f t="shared" si="18"/>
        <v/>
      </c>
      <c r="R65" s="19" t="str">
        <f t="shared" ref="R65:R96" si="30">IF(ISBLANK(I65),"",(I65-I$16)*1000)</f>
        <v/>
      </c>
      <c r="S65" s="27" t="str">
        <f t="shared" si="24"/>
        <v/>
      </c>
      <c r="T65" s="28" t="str">
        <f t="shared" si="25"/>
        <v/>
      </c>
      <c r="U65" s="28" t="str">
        <f t="shared" si="26"/>
        <v/>
      </c>
      <c r="V65" s="28" t="str">
        <f t="shared" si="27"/>
        <v/>
      </c>
      <c r="W65" s="28" t="str">
        <f t="shared" si="28"/>
        <v/>
      </c>
      <c r="X65" s="29" t="str">
        <f t="shared" si="2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1"/>
        <v/>
      </c>
      <c r="M66" s="19" t="str">
        <f t="shared" si="22"/>
        <v/>
      </c>
      <c r="N66" s="19" t="str">
        <f t="shared" si="23"/>
        <v/>
      </c>
      <c r="O66" s="19" t="str">
        <f t="shared" si="16"/>
        <v/>
      </c>
      <c r="P66" s="19" t="str">
        <f t="shared" si="17"/>
        <v/>
      </c>
      <c r="Q66" s="19" t="str">
        <f t="shared" si="18"/>
        <v/>
      </c>
      <c r="R66" s="19" t="str">
        <f t="shared" si="30"/>
        <v/>
      </c>
      <c r="S66" s="27" t="str">
        <f t="shared" si="24"/>
        <v/>
      </c>
      <c r="T66" s="28" t="str">
        <f t="shared" si="25"/>
        <v/>
      </c>
      <c r="U66" s="28" t="str">
        <f t="shared" si="26"/>
        <v/>
      </c>
      <c r="V66" s="28" t="str">
        <f t="shared" si="27"/>
        <v/>
      </c>
      <c r="W66" s="28" t="str">
        <f t="shared" si="28"/>
        <v/>
      </c>
      <c r="X66" s="29" t="str">
        <f t="shared" si="2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1"/>
        <v/>
      </c>
      <c r="M67" s="19" t="str">
        <f t="shared" si="22"/>
        <v/>
      </c>
      <c r="N67" s="19" t="str">
        <f t="shared" si="23"/>
        <v/>
      </c>
      <c r="O67" s="19" t="str">
        <f t="shared" si="16"/>
        <v/>
      </c>
      <c r="P67" s="19" t="str">
        <f t="shared" si="17"/>
        <v/>
      </c>
      <c r="Q67" s="19" t="str">
        <f t="shared" si="18"/>
        <v/>
      </c>
      <c r="R67" s="19" t="str">
        <f t="shared" si="30"/>
        <v/>
      </c>
      <c r="S67" s="27" t="str">
        <f t="shared" si="24"/>
        <v/>
      </c>
      <c r="T67" s="28" t="str">
        <f t="shared" si="25"/>
        <v/>
      </c>
      <c r="U67" s="28" t="str">
        <f t="shared" si="26"/>
        <v/>
      </c>
      <c r="V67" s="28" t="str">
        <f t="shared" si="27"/>
        <v/>
      </c>
      <c r="W67" s="28" t="str">
        <f t="shared" si="28"/>
        <v/>
      </c>
      <c r="X67" s="29" t="str">
        <f t="shared" si="2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1"/>
        <v/>
      </c>
      <c r="M68" s="19" t="str">
        <f t="shared" si="22"/>
        <v/>
      </c>
      <c r="N68" s="19" t="str">
        <f t="shared" si="23"/>
        <v/>
      </c>
      <c r="O68" s="19" t="str">
        <f t="shared" si="16"/>
        <v/>
      </c>
      <c r="P68" s="19" t="str">
        <f t="shared" si="17"/>
        <v/>
      </c>
      <c r="Q68" s="19" t="str">
        <f t="shared" si="18"/>
        <v/>
      </c>
      <c r="R68" s="19" t="str">
        <f t="shared" si="30"/>
        <v/>
      </c>
      <c r="S68" s="27" t="str">
        <f t="shared" si="24"/>
        <v/>
      </c>
      <c r="T68" s="28" t="str">
        <f t="shared" si="25"/>
        <v/>
      </c>
      <c r="U68" s="28" t="str">
        <f t="shared" si="26"/>
        <v/>
      </c>
      <c r="V68" s="28" t="str">
        <f t="shared" si="27"/>
        <v/>
      </c>
      <c r="W68" s="28" t="str">
        <f t="shared" si="28"/>
        <v/>
      </c>
      <c r="X68" s="29" t="str">
        <f t="shared" si="2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1"/>
        <v/>
      </c>
      <c r="M69" s="19" t="str">
        <f t="shared" si="22"/>
        <v/>
      </c>
      <c r="N69" s="19" t="str">
        <f t="shared" si="23"/>
        <v/>
      </c>
      <c r="O69" s="19" t="str">
        <f t="shared" si="16"/>
        <v/>
      </c>
      <c r="P69" s="19" t="str">
        <f t="shared" si="17"/>
        <v/>
      </c>
      <c r="Q69" s="19" t="str">
        <f t="shared" si="18"/>
        <v/>
      </c>
      <c r="R69" s="19" t="str">
        <f t="shared" si="30"/>
        <v/>
      </c>
      <c r="S69" s="27" t="str">
        <f t="shared" si="24"/>
        <v/>
      </c>
      <c r="T69" s="28" t="str">
        <f t="shared" si="25"/>
        <v/>
      </c>
      <c r="U69" s="28" t="str">
        <f t="shared" si="26"/>
        <v/>
      </c>
      <c r="V69" s="28" t="str">
        <f t="shared" si="27"/>
        <v/>
      </c>
      <c r="W69" s="28" t="str">
        <f t="shared" si="28"/>
        <v/>
      </c>
      <c r="X69" s="29" t="str">
        <f t="shared" si="2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1"/>
        <v/>
      </c>
      <c r="M70" s="19" t="str">
        <f t="shared" si="22"/>
        <v/>
      </c>
      <c r="N70" s="19" t="str">
        <f t="shared" si="23"/>
        <v/>
      </c>
      <c r="O70" s="19" t="str">
        <f t="shared" si="16"/>
        <v/>
      </c>
      <c r="P70" s="19" t="str">
        <f t="shared" si="17"/>
        <v/>
      </c>
      <c r="Q70" s="19" t="str">
        <f t="shared" si="18"/>
        <v/>
      </c>
      <c r="R70" s="19" t="str">
        <f t="shared" si="30"/>
        <v/>
      </c>
      <c r="S70" s="27" t="str">
        <f t="shared" si="24"/>
        <v/>
      </c>
      <c r="T70" s="28" t="str">
        <f t="shared" si="25"/>
        <v/>
      </c>
      <c r="U70" s="28" t="str">
        <f t="shared" si="26"/>
        <v/>
      </c>
      <c r="V70" s="28" t="str">
        <f t="shared" si="27"/>
        <v/>
      </c>
      <c r="W70" s="28" t="str">
        <f t="shared" si="28"/>
        <v/>
      </c>
      <c r="X70" s="29" t="str">
        <f t="shared" si="2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1"/>
        <v/>
      </c>
      <c r="M71" s="19" t="str">
        <f t="shared" si="22"/>
        <v/>
      </c>
      <c r="N71" s="19" t="str">
        <f t="shared" si="23"/>
        <v/>
      </c>
      <c r="O71" s="19" t="str">
        <f t="shared" si="16"/>
        <v/>
      </c>
      <c r="P71" s="19" t="str">
        <f t="shared" si="17"/>
        <v/>
      </c>
      <c r="Q71" s="19" t="str">
        <f t="shared" si="18"/>
        <v/>
      </c>
      <c r="R71" s="19" t="str">
        <f t="shared" si="30"/>
        <v/>
      </c>
      <c r="S71" s="27" t="str">
        <f t="shared" si="24"/>
        <v/>
      </c>
      <c r="T71" s="28" t="str">
        <f t="shared" si="25"/>
        <v/>
      </c>
      <c r="U71" s="28" t="str">
        <f t="shared" si="26"/>
        <v/>
      </c>
      <c r="V71" s="28" t="str">
        <f t="shared" si="27"/>
        <v/>
      </c>
      <c r="W71" s="28" t="str">
        <f t="shared" si="28"/>
        <v/>
      </c>
      <c r="X71" s="29" t="str">
        <f t="shared" si="2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1"/>
        <v/>
      </c>
      <c r="M72" s="19" t="str">
        <f t="shared" si="22"/>
        <v/>
      </c>
      <c r="N72" s="19" t="str">
        <f t="shared" si="23"/>
        <v/>
      </c>
      <c r="O72" s="19" t="str">
        <f t="shared" si="16"/>
        <v/>
      </c>
      <c r="P72" s="19" t="str">
        <f t="shared" si="17"/>
        <v/>
      </c>
      <c r="Q72" s="19" t="str">
        <f t="shared" si="18"/>
        <v/>
      </c>
      <c r="R72" s="19" t="str">
        <f t="shared" si="30"/>
        <v/>
      </c>
      <c r="S72" s="27" t="str">
        <f t="shared" si="24"/>
        <v/>
      </c>
      <c r="T72" s="28" t="str">
        <f t="shared" si="25"/>
        <v/>
      </c>
      <c r="U72" s="28" t="str">
        <f t="shared" si="26"/>
        <v/>
      </c>
      <c r="V72" s="28" t="str">
        <f t="shared" si="27"/>
        <v/>
      </c>
      <c r="W72" s="28" t="str">
        <f t="shared" si="28"/>
        <v/>
      </c>
      <c r="X72" s="29" t="str">
        <f t="shared" si="2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1"/>
        <v/>
      </c>
      <c r="M73" s="19" t="str">
        <f t="shared" si="22"/>
        <v/>
      </c>
      <c r="N73" s="19" t="str">
        <f t="shared" si="23"/>
        <v/>
      </c>
      <c r="O73" s="19" t="str">
        <f t="shared" si="16"/>
        <v/>
      </c>
      <c r="P73" s="19" t="str">
        <f t="shared" si="17"/>
        <v/>
      </c>
      <c r="Q73" s="19" t="str">
        <f t="shared" si="18"/>
        <v/>
      </c>
      <c r="R73" s="19" t="str">
        <f t="shared" si="30"/>
        <v/>
      </c>
      <c r="S73" s="27" t="str">
        <f t="shared" si="24"/>
        <v/>
      </c>
      <c r="T73" s="28" t="str">
        <f t="shared" si="25"/>
        <v/>
      </c>
      <c r="U73" s="28" t="str">
        <f t="shared" si="26"/>
        <v/>
      </c>
      <c r="V73" s="28" t="str">
        <f t="shared" si="27"/>
        <v/>
      </c>
      <c r="W73" s="28" t="str">
        <f t="shared" si="28"/>
        <v/>
      </c>
      <c r="X73" s="29" t="str">
        <f t="shared" si="2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1"/>
        <v/>
      </c>
      <c r="M74" s="19" t="str">
        <f t="shared" si="22"/>
        <v/>
      </c>
      <c r="N74" s="19" t="str">
        <f t="shared" si="23"/>
        <v/>
      </c>
      <c r="O74" s="19" t="str">
        <f t="shared" si="16"/>
        <v/>
      </c>
      <c r="P74" s="19" t="str">
        <f t="shared" si="17"/>
        <v/>
      </c>
      <c r="Q74" s="19" t="str">
        <f t="shared" si="18"/>
        <v/>
      </c>
      <c r="R74" s="19" t="str">
        <f t="shared" si="30"/>
        <v/>
      </c>
      <c r="S74" s="27" t="str">
        <f t="shared" si="24"/>
        <v/>
      </c>
      <c r="T74" s="28" t="str">
        <f t="shared" si="25"/>
        <v/>
      </c>
      <c r="U74" s="28" t="str">
        <f t="shared" si="26"/>
        <v/>
      </c>
      <c r="V74" s="28" t="str">
        <f t="shared" si="27"/>
        <v/>
      </c>
      <c r="W74" s="28" t="str">
        <f t="shared" si="28"/>
        <v/>
      </c>
      <c r="X74" s="29" t="str">
        <f t="shared" si="2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1"/>
        <v/>
      </c>
      <c r="M75" s="19" t="str">
        <f t="shared" si="22"/>
        <v/>
      </c>
      <c r="N75" s="19" t="str">
        <f t="shared" si="23"/>
        <v/>
      </c>
      <c r="O75" s="19" t="str">
        <f t="shared" si="16"/>
        <v/>
      </c>
      <c r="P75" s="19" t="str">
        <f t="shared" si="17"/>
        <v/>
      </c>
      <c r="Q75" s="19" t="str">
        <f t="shared" si="18"/>
        <v/>
      </c>
      <c r="R75" s="19" t="str">
        <f t="shared" si="30"/>
        <v/>
      </c>
      <c r="S75" s="27" t="str">
        <f t="shared" si="24"/>
        <v/>
      </c>
      <c r="T75" s="28" t="str">
        <f t="shared" si="25"/>
        <v/>
      </c>
      <c r="U75" s="28" t="str">
        <f t="shared" si="26"/>
        <v/>
      </c>
      <c r="V75" s="28" t="str">
        <f t="shared" si="27"/>
        <v/>
      </c>
      <c r="W75" s="28" t="str">
        <f t="shared" si="28"/>
        <v/>
      </c>
      <c r="X75" s="29" t="str">
        <f t="shared" si="2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1"/>
        <v/>
      </c>
      <c r="M76" s="19" t="str">
        <f t="shared" si="22"/>
        <v/>
      </c>
      <c r="N76" s="19" t="str">
        <f t="shared" si="23"/>
        <v/>
      </c>
      <c r="O76" s="19" t="str">
        <f t="shared" si="16"/>
        <v/>
      </c>
      <c r="P76" s="19" t="str">
        <f t="shared" si="17"/>
        <v/>
      </c>
      <c r="Q76" s="19" t="str">
        <f t="shared" si="18"/>
        <v/>
      </c>
      <c r="R76" s="19" t="str">
        <f t="shared" si="30"/>
        <v/>
      </c>
      <c r="S76" s="27" t="str">
        <f t="shared" si="24"/>
        <v/>
      </c>
      <c r="T76" s="28" t="str">
        <f t="shared" si="25"/>
        <v/>
      </c>
      <c r="U76" s="28" t="str">
        <f t="shared" si="26"/>
        <v/>
      </c>
      <c r="V76" s="28" t="str">
        <f t="shared" si="27"/>
        <v/>
      </c>
      <c r="W76" s="28" t="str">
        <f t="shared" si="28"/>
        <v/>
      </c>
      <c r="X76" s="29" t="str">
        <f t="shared" si="2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1"/>
        <v/>
      </c>
      <c r="M77" s="19" t="str">
        <f t="shared" si="22"/>
        <v/>
      </c>
      <c r="N77" s="19" t="str">
        <f t="shared" si="23"/>
        <v/>
      </c>
      <c r="O77" s="19" t="str">
        <f t="shared" si="16"/>
        <v/>
      </c>
      <c r="P77" s="19" t="str">
        <f t="shared" si="17"/>
        <v/>
      </c>
      <c r="Q77" s="19" t="str">
        <f t="shared" si="18"/>
        <v/>
      </c>
      <c r="R77" s="19" t="str">
        <f t="shared" si="30"/>
        <v/>
      </c>
      <c r="S77" s="27" t="str">
        <f t="shared" si="24"/>
        <v/>
      </c>
      <c r="T77" s="28" t="str">
        <f t="shared" si="25"/>
        <v/>
      </c>
      <c r="U77" s="28" t="str">
        <f t="shared" si="26"/>
        <v/>
      </c>
      <c r="V77" s="28" t="str">
        <f t="shared" si="27"/>
        <v/>
      </c>
      <c r="W77" s="28" t="str">
        <f t="shared" si="28"/>
        <v/>
      </c>
      <c r="X77" s="29" t="str">
        <f t="shared" si="2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1"/>
        <v/>
      </c>
      <c r="M78" s="19" t="str">
        <f t="shared" si="22"/>
        <v/>
      </c>
      <c r="N78" s="19" t="str">
        <f t="shared" si="23"/>
        <v/>
      </c>
      <c r="O78" s="19" t="str">
        <f t="shared" si="16"/>
        <v/>
      </c>
      <c r="P78" s="19" t="str">
        <f t="shared" si="17"/>
        <v/>
      </c>
      <c r="Q78" s="19" t="str">
        <f t="shared" si="18"/>
        <v/>
      </c>
      <c r="R78" s="19" t="str">
        <f t="shared" si="30"/>
        <v/>
      </c>
      <c r="S78" s="27" t="str">
        <f t="shared" si="24"/>
        <v/>
      </c>
      <c r="T78" s="28" t="str">
        <f t="shared" si="25"/>
        <v/>
      </c>
      <c r="U78" s="28" t="str">
        <f t="shared" si="26"/>
        <v/>
      </c>
      <c r="V78" s="28" t="str">
        <f t="shared" si="27"/>
        <v/>
      </c>
      <c r="W78" s="28" t="str">
        <f t="shared" si="28"/>
        <v/>
      </c>
      <c r="X78" s="29" t="str">
        <f t="shared" si="2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1"/>
        <v/>
      </c>
      <c r="M79" s="19" t="str">
        <f t="shared" si="22"/>
        <v/>
      </c>
      <c r="N79" s="19" t="str">
        <f t="shared" si="23"/>
        <v/>
      </c>
      <c r="O79" s="19" t="str">
        <f t="shared" si="16"/>
        <v/>
      </c>
      <c r="P79" s="19" t="str">
        <f t="shared" si="17"/>
        <v/>
      </c>
      <c r="Q79" s="19" t="str">
        <f t="shared" si="18"/>
        <v/>
      </c>
      <c r="R79" s="19" t="str">
        <f t="shared" si="30"/>
        <v/>
      </c>
      <c r="S79" s="27" t="str">
        <f t="shared" si="24"/>
        <v/>
      </c>
      <c r="T79" s="28" t="str">
        <f t="shared" si="25"/>
        <v/>
      </c>
      <c r="U79" s="28" t="str">
        <f t="shared" si="26"/>
        <v/>
      </c>
      <c r="V79" s="28" t="str">
        <f t="shared" si="27"/>
        <v/>
      </c>
      <c r="W79" s="28" t="str">
        <f t="shared" si="28"/>
        <v/>
      </c>
      <c r="X79" s="29" t="str">
        <f t="shared" si="2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ref="M80:M111" si="32">IF(ISBLANK(D80),"",(D80-D$16)*1000)</f>
        <v/>
      </c>
      <c r="N80" s="19" t="str">
        <f t="shared" ref="N80:N111" si="33">IF(ISBLANK(E80),"",(E80-E$16)*1000)</f>
        <v/>
      </c>
      <c r="O80" s="19" t="str">
        <f t="shared" si="16"/>
        <v/>
      </c>
      <c r="P80" s="19" t="str">
        <f t="shared" si="17"/>
        <v/>
      </c>
      <c r="Q80" s="19" t="str">
        <f t="shared" si="18"/>
        <v/>
      </c>
      <c r="R80" s="19" t="str">
        <f t="shared" si="30"/>
        <v/>
      </c>
      <c r="S80" s="27" t="str">
        <f t="shared" si="24"/>
        <v/>
      </c>
      <c r="T80" s="28" t="str">
        <f t="shared" si="25"/>
        <v/>
      </c>
      <c r="U80" s="28" t="str">
        <f t="shared" si="26"/>
        <v/>
      </c>
      <c r="V80" s="28" t="str">
        <f t="shared" si="27"/>
        <v/>
      </c>
      <c r="W80" s="28" t="str">
        <f t="shared" si="28"/>
        <v/>
      </c>
      <c r="X80" s="29" t="str">
        <f t="shared" si="2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32"/>
        <v/>
      </c>
      <c r="N81" s="19" t="str">
        <f t="shared" si="33"/>
        <v/>
      </c>
      <c r="O81" s="19" t="str">
        <f t="shared" si="16"/>
        <v/>
      </c>
      <c r="P81" s="19" t="str">
        <f t="shared" si="17"/>
        <v/>
      </c>
      <c r="Q81" s="19" t="str">
        <f t="shared" si="18"/>
        <v/>
      </c>
      <c r="R81" s="19" t="str">
        <f t="shared" si="30"/>
        <v/>
      </c>
      <c r="S81" s="27" t="str">
        <f t="shared" ref="S81:S112" si="34">IF(C81="","",((C81-C80)*1000)/($B81-$B80))</f>
        <v/>
      </c>
      <c r="T81" s="28" t="str">
        <f t="shared" ref="T81:T112" si="35">IF(D81="","",((D81-D80)*1000)/($B81-$B80))</f>
        <v/>
      </c>
      <c r="U81" s="28" t="str">
        <f t="shared" ref="U81:U112" si="36">IF(E81="","",((E81-E80)*1000)/($B81-$B80))</f>
        <v/>
      </c>
      <c r="V81" s="28" t="str">
        <f t="shared" ref="V81:V112" si="37">IF(F81="","",((F81-F80)*1000)/($B81-$B80))</f>
        <v/>
      </c>
      <c r="W81" s="28" t="str">
        <f t="shared" ref="W81:W112" si="38">IF(G81="","",((G81-G80)*1000)/($B81-$B80))</f>
        <v/>
      </c>
      <c r="X81" s="29" t="str">
        <f t="shared" ref="X81:X112" si="39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32"/>
        <v/>
      </c>
      <c r="N82" s="19" t="str">
        <f t="shared" si="33"/>
        <v/>
      </c>
      <c r="O82" s="19" t="str">
        <f t="shared" si="16"/>
        <v/>
      </c>
      <c r="P82" s="19" t="str">
        <f t="shared" si="17"/>
        <v/>
      </c>
      <c r="Q82" s="19" t="str">
        <f t="shared" si="18"/>
        <v/>
      </c>
      <c r="R82" s="19" t="str">
        <f t="shared" si="30"/>
        <v/>
      </c>
      <c r="S82" s="27" t="str">
        <f t="shared" si="34"/>
        <v/>
      </c>
      <c r="T82" s="28" t="str">
        <f t="shared" si="35"/>
        <v/>
      </c>
      <c r="U82" s="28" t="str">
        <f t="shared" si="36"/>
        <v/>
      </c>
      <c r="V82" s="28" t="str">
        <f t="shared" si="37"/>
        <v/>
      </c>
      <c r="W82" s="28" t="str">
        <f t="shared" si="38"/>
        <v/>
      </c>
      <c r="X82" s="29" t="str">
        <f t="shared" si="3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32"/>
        <v/>
      </c>
      <c r="N83" s="19" t="str">
        <f t="shared" si="33"/>
        <v/>
      </c>
      <c r="O83" s="19" t="str">
        <f t="shared" si="16"/>
        <v/>
      </c>
      <c r="P83" s="19" t="str">
        <f t="shared" si="17"/>
        <v/>
      </c>
      <c r="Q83" s="19" t="str">
        <f t="shared" si="18"/>
        <v/>
      </c>
      <c r="R83" s="19" t="str">
        <f t="shared" si="30"/>
        <v/>
      </c>
      <c r="S83" s="27" t="str">
        <f t="shared" si="34"/>
        <v/>
      </c>
      <c r="T83" s="28" t="str">
        <f t="shared" si="35"/>
        <v/>
      </c>
      <c r="U83" s="28" t="str">
        <f t="shared" si="36"/>
        <v/>
      </c>
      <c r="V83" s="28" t="str">
        <f t="shared" si="37"/>
        <v/>
      </c>
      <c r="W83" s="28" t="str">
        <f t="shared" si="38"/>
        <v/>
      </c>
      <c r="X83" s="29" t="str">
        <f t="shared" si="3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32"/>
        <v/>
      </c>
      <c r="N84" s="19" t="str">
        <f t="shared" si="33"/>
        <v/>
      </c>
      <c r="O84" s="19" t="str">
        <f t="shared" si="16"/>
        <v/>
      </c>
      <c r="P84" s="19" t="str">
        <f t="shared" si="17"/>
        <v/>
      </c>
      <c r="Q84" s="19" t="str">
        <f t="shared" si="18"/>
        <v/>
      </c>
      <c r="R84" s="19" t="str">
        <f t="shared" si="30"/>
        <v/>
      </c>
      <c r="S84" s="27" t="str">
        <f t="shared" si="34"/>
        <v/>
      </c>
      <c r="T84" s="28" t="str">
        <f t="shared" si="35"/>
        <v/>
      </c>
      <c r="U84" s="28" t="str">
        <f t="shared" si="36"/>
        <v/>
      </c>
      <c r="V84" s="28" t="str">
        <f t="shared" si="37"/>
        <v/>
      </c>
      <c r="W84" s="28" t="str">
        <f t="shared" si="38"/>
        <v/>
      </c>
      <c r="X84" s="29" t="str">
        <f t="shared" si="3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32"/>
        <v/>
      </c>
      <c r="N85" s="19" t="str">
        <f t="shared" si="33"/>
        <v/>
      </c>
      <c r="O85" s="19" t="str">
        <f t="shared" si="16"/>
        <v/>
      </c>
      <c r="P85" s="19" t="str">
        <f t="shared" si="17"/>
        <v/>
      </c>
      <c r="Q85" s="19" t="str">
        <f t="shared" si="18"/>
        <v/>
      </c>
      <c r="R85" s="19" t="str">
        <f t="shared" si="30"/>
        <v/>
      </c>
      <c r="S85" s="27" t="str">
        <f t="shared" si="34"/>
        <v/>
      </c>
      <c r="T85" s="28" t="str">
        <f t="shared" si="35"/>
        <v/>
      </c>
      <c r="U85" s="28" t="str">
        <f t="shared" si="36"/>
        <v/>
      </c>
      <c r="V85" s="28" t="str">
        <f t="shared" si="37"/>
        <v/>
      </c>
      <c r="W85" s="28" t="str">
        <f t="shared" si="38"/>
        <v/>
      </c>
      <c r="X85" s="29" t="str">
        <f t="shared" si="3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32"/>
        <v/>
      </c>
      <c r="N86" s="19" t="str">
        <f t="shared" si="33"/>
        <v/>
      </c>
      <c r="O86" s="19" t="str">
        <f t="shared" si="16"/>
        <v/>
      </c>
      <c r="P86" s="19" t="str">
        <f t="shared" si="17"/>
        <v/>
      </c>
      <c r="Q86" s="19" t="str">
        <f t="shared" si="18"/>
        <v/>
      </c>
      <c r="R86" s="19" t="str">
        <f t="shared" si="30"/>
        <v/>
      </c>
      <c r="S86" s="27" t="str">
        <f t="shared" si="34"/>
        <v/>
      </c>
      <c r="T86" s="28" t="str">
        <f t="shared" si="35"/>
        <v/>
      </c>
      <c r="U86" s="28" t="str">
        <f t="shared" si="36"/>
        <v/>
      </c>
      <c r="V86" s="28" t="str">
        <f t="shared" si="37"/>
        <v/>
      </c>
      <c r="W86" s="28" t="str">
        <f t="shared" si="38"/>
        <v/>
      </c>
      <c r="X86" s="29" t="str">
        <f t="shared" si="3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32"/>
        <v/>
      </c>
      <c r="N87" s="19" t="str">
        <f t="shared" si="33"/>
        <v/>
      </c>
      <c r="O87" s="19" t="str">
        <f t="shared" si="16"/>
        <v/>
      </c>
      <c r="P87" s="19" t="str">
        <f t="shared" si="17"/>
        <v/>
      </c>
      <c r="Q87" s="19" t="str">
        <f t="shared" si="18"/>
        <v/>
      </c>
      <c r="R87" s="19" t="str">
        <f t="shared" si="30"/>
        <v/>
      </c>
      <c r="S87" s="27" t="str">
        <f t="shared" si="34"/>
        <v/>
      </c>
      <c r="T87" s="28" t="str">
        <f t="shared" si="35"/>
        <v/>
      </c>
      <c r="U87" s="28" t="str">
        <f t="shared" si="36"/>
        <v/>
      </c>
      <c r="V87" s="28" t="str">
        <f t="shared" si="37"/>
        <v/>
      </c>
      <c r="W87" s="28" t="str">
        <f t="shared" si="38"/>
        <v/>
      </c>
      <c r="X87" s="29" t="str">
        <f t="shared" si="3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32"/>
        <v/>
      </c>
      <c r="N88" s="19" t="str">
        <f t="shared" si="33"/>
        <v/>
      </c>
      <c r="O88" s="19" t="str">
        <f t="shared" si="16"/>
        <v/>
      </c>
      <c r="P88" s="19" t="str">
        <f t="shared" si="17"/>
        <v/>
      </c>
      <c r="Q88" s="19" t="str">
        <f t="shared" si="18"/>
        <v/>
      </c>
      <c r="R88" s="19" t="str">
        <f t="shared" si="30"/>
        <v/>
      </c>
      <c r="S88" s="27" t="str">
        <f t="shared" si="34"/>
        <v/>
      </c>
      <c r="T88" s="28" t="str">
        <f t="shared" si="35"/>
        <v/>
      </c>
      <c r="U88" s="28" t="str">
        <f t="shared" si="36"/>
        <v/>
      </c>
      <c r="V88" s="28" t="str">
        <f t="shared" si="37"/>
        <v/>
      </c>
      <c r="W88" s="28" t="str">
        <f t="shared" si="38"/>
        <v/>
      </c>
      <c r="X88" s="29" t="str">
        <f t="shared" si="3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32"/>
        <v/>
      </c>
      <c r="N89" s="19" t="str">
        <f t="shared" si="33"/>
        <v/>
      </c>
      <c r="O89" s="19" t="str">
        <f t="shared" si="16"/>
        <v/>
      </c>
      <c r="P89" s="19" t="str">
        <f t="shared" si="17"/>
        <v/>
      </c>
      <c r="Q89" s="19" t="str">
        <f t="shared" si="18"/>
        <v/>
      </c>
      <c r="R89" s="19" t="str">
        <f t="shared" si="30"/>
        <v/>
      </c>
      <c r="S89" s="27" t="str">
        <f t="shared" si="34"/>
        <v/>
      </c>
      <c r="T89" s="28" t="str">
        <f t="shared" si="35"/>
        <v/>
      </c>
      <c r="U89" s="28" t="str">
        <f t="shared" si="36"/>
        <v/>
      </c>
      <c r="V89" s="28" t="str">
        <f t="shared" si="37"/>
        <v/>
      </c>
      <c r="W89" s="28" t="str">
        <f t="shared" si="38"/>
        <v/>
      </c>
      <c r="X89" s="29" t="str">
        <f t="shared" si="3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32"/>
        <v/>
      </c>
      <c r="N90" s="19" t="str">
        <f t="shared" si="33"/>
        <v/>
      </c>
      <c r="O90" s="19" t="str">
        <f t="shared" si="16"/>
        <v/>
      </c>
      <c r="P90" s="19" t="str">
        <f t="shared" si="17"/>
        <v/>
      </c>
      <c r="Q90" s="19" t="str">
        <f t="shared" si="18"/>
        <v/>
      </c>
      <c r="R90" s="19" t="str">
        <f t="shared" si="30"/>
        <v/>
      </c>
      <c r="S90" s="27" t="str">
        <f t="shared" si="34"/>
        <v/>
      </c>
      <c r="T90" s="28" t="str">
        <f t="shared" si="35"/>
        <v/>
      </c>
      <c r="U90" s="28" t="str">
        <f t="shared" si="36"/>
        <v/>
      </c>
      <c r="V90" s="28" t="str">
        <f t="shared" si="37"/>
        <v/>
      </c>
      <c r="W90" s="28" t="str">
        <f t="shared" si="38"/>
        <v/>
      </c>
      <c r="X90" s="29" t="str">
        <f t="shared" si="3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32"/>
        <v/>
      </c>
      <c r="N91" s="19" t="str">
        <f t="shared" si="33"/>
        <v/>
      </c>
      <c r="O91" s="19" t="str">
        <f t="shared" si="16"/>
        <v/>
      </c>
      <c r="P91" s="19" t="str">
        <f t="shared" si="17"/>
        <v/>
      </c>
      <c r="Q91" s="19" t="str">
        <f t="shared" si="18"/>
        <v/>
      </c>
      <c r="R91" s="19" t="str">
        <f t="shared" si="30"/>
        <v/>
      </c>
      <c r="S91" s="27" t="str">
        <f t="shared" si="34"/>
        <v/>
      </c>
      <c r="T91" s="28" t="str">
        <f t="shared" si="35"/>
        <v/>
      </c>
      <c r="U91" s="28" t="str">
        <f t="shared" si="36"/>
        <v/>
      </c>
      <c r="V91" s="28" t="str">
        <f t="shared" si="37"/>
        <v/>
      </c>
      <c r="W91" s="28" t="str">
        <f t="shared" si="38"/>
        <v/>
      </c>
      <c r="X91" s="29" t="str">
        <f t="shared" si="3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32"/>
        <v/>
      </c>
      <c r="N92" s="19" t="str">
        <f t="shared" si="33"/>
        <v/>
      </c>
      <c r="O92" s="19" t="str">
        <f t="shared" si="16"/>
        <v/>
      </c>
      <c r="P92" s="19" t="str">
        <f t="shared" si="17"/>
        <v/>
      </c>
      <c r="Q92" s="19" t="str">
        <f t="shared" si="18"/>
        <v/>
      </c>
      <c r="R92" s="19" t="str">
        <f t="shared" si="30"/>
        <v/>
      </c>
      <c r="S92" s="27" t="str">
        <f t="shared" si="34"/>
        <v/>
      </c>
      <c r="T92" s="28" t="str">
        <f t="shared" si="35"/>
        <v/>
      </c>
      <c r="U92" s="28" t="str">
        <f t="shared" si="36"/>
        <v/>
      </c>
      <c r="V92" s="28" t="str">
        <f t="shared" si="37"/>
        <v/>
      </c>
      <c r="W92" s="28" t="str">
        <f t="shared" si="38"/>
        <v/>
      </c>
      <c r="X92" s="29" t="str">
        <f t="shared" si="3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si="32"/>
        <v/>
      </c>
      <c r="N93" s="19" t="str">
        <f t="shared" si="33"/>
        <v/>
      </c>
      <c r="O93" s="19" t="str">
        <f t="shared" si="16"/>
        <v/>
      </c>
      <c r="P93" s="19" t="str">
        <f t="shared" si="17"/>
        <v/>
      </c>
      <c r="Q93" s="19" t="str">
        <f t="shared" si="18"/>
        <v/>
      </c>
      <c r="R93" s="19" t="str">
        <f t="shared" si="30"/>
        <v/>
      </c>
      <c r="S93" s="27" t="str">
        <f t="shared" si="34"/>
        <v/>
      </c>
      <c r="T93" s="28" t="str">
        <f t="shared" si="35"/>
        <v/>
      </c>
      <c r="U93" s="28" t="str">
        <f t="shared" si="36"/>
        <v/>
      </c>
      <c r="V93" s="28" t="str">
        <f t="shared" si="37"/>
        <v/>
      </c>
      <c r="W93" s="28" t="str">
        <f t="shared" si="38"/>
        <v/>
      </c>
      <c r="X93" s="29" t="str">
        <f t="shared" si="3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2"/>
        <v/>
      </c>
      <c r="N94" s="19" t="str">
        <f t="shared" si="33"/>
        <v/>
      </c>
      <c r="O94" s="19" t="str">
        <f t="shared" si="16"/>
        <v/>
      </c>
      <c r="P94" s="19" t="str">
        <f t="shared" si="17"/>
        <v/>
      </c>
      <c r="Q94" s="19" t="str">
        <f t="shared" si="18"/>
        <v/>
      </c>
      <c r="R94" s="19" t="str">
        <f t="shared" si="30"/>
        <v/>
      </c>
      <c r="S94" s="27" t="str">
        <f t="shared" si="34"/>
        <v/>
      </c>
      <c r="T94" s="28" t="str">
        <f t="shared" si="35"/>
        <v/>
      </c>
      <c r="U94" s="28" t="str">
        <f t="shared" si="36"/>
        <v/>
      </c>
      <c r="V94" s="28" t="str">
        <f t="shared" si="37"/>
        <v/>
      </c>
      <c r="W94" s="28" t="str">
        <f t="shared" si="38"/>
        <v/>
      </c>
      <c r="X94" s="29" t="str">
        <f t="shared" si="3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2"/>
        <v/>
      </c>
      <c r="N95" s="19" t="str">
        <f t="shared" si="33"/>
        <v/>
      </c>
      <c r="O95" s="19" t="str">
        <f t="shared" si="16"/>
        <v/>
      </c>
      <c r="P95" s="19" t="str">
        <f t="shared" si="17"/>
        <v/>
      </c>
      <c r="Q95" s="19" t="str">
        <f t="shared" si="18"/>
        <v/>
      </c>
      <c r="R95" s="19" t="str">
        <f t="shared" si="30"/>
        <v/>
      </c>
      <c r="S95" s="27" t="str">
        <f t="shared" si="34"/>
        <v/>
      </c>
      <c r="T95" s="28" t="str">
        <f t="shared" si="35"/>
        <v/>
      </c>
      <c r="U95" s="28" t="str">
        <f t="shared" si="36"/>
        <v/>
      </c>
      <c r="V95" s="28" t="str">
        <f t="shared" si="37"/>
        <v/>
      </c>
      <c r="W95" s="28" t="str">
        <f t="shared" si="38"/>
        <v/>
      </c>
      <c r="X95" s="29" t="str">
        <f t="shared" si="3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2"/>
        <v/>
      </c>
      <c r="N96" s="19" t="str">
        <f t="shared" si="33"/>
        <v/>
      </c>
      <c r="O96" s="19" t="str">
        <f t="shared" si="16"/>
        <v/>
      </c>
      <c r="P96" s="19" t="str">
        <f t="shared" si="17"/>
        <v/>
      </c>
      <c r="Q96" s="19" t="str">
        <f t="shared" si="18"/>
        <v/>
      </c>
      <c r="R96" s="19" t="str">
        <f t="shared" si="30"/>
        <v/>
      </c>
      <c r="S96" s="27" t="str">
        <f t="shared" si="34"/>
        <v/>
      </c>
      <c r="T96" s="28" t="str">
        <f t="shared" si="35"/>
        <v/>
      </c>
      <c r="U96" s="28" t="str">
        <f t="shared" si="36"/>
        <v/>
      </c>
      <c r="V96" s="28" t="str">
        <f t="shared" si="37"/>
        <v/>
      </c>
      <c r="W96" s="28" t="str">
        <f t="shared" si="38"/>
        <v/>
      </c>
      <c r="X96" s="29" t="str">
        <f t="shared" si="3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2"/>
        <v/>
      </c>
      <c r="N97" s="19" t="str">
        <f t="shared" si="33"/>
        <v/>
      </c>
      <c r="O97" s="19" t="str">
        <f t="shared" si="16"/>
        <v/>
      </c>
      <c r="P97" s="19" t="str">
        <f t="shared" si="17"/>
        <v/>
      </c>
      <c r="Q97" s="19" t="str">
        <f t="shared" si="18"/>
        <v/>
      </c>
      <c r="R97" s="19" t="str">
        <f t="shared" ref="R97:R128" si="40">IF(ISBLANK(I97),"",(I97-I$16)*1000)</f>
        <v/>
      </c>
      <c r="S97" s="27" t="str">
        <f t="shared" si="34"/>
        <v/>
      </c>
      <c r="T97" s="28" t="str">
        <f t="shared" si="35"/>
        <v/>
      </c>
      <c r="U97" s="28" t="str">
        <f t="shared" si="36"/>
        <v/>
      </c>
      <c r="V97" s="28" t="str">
        <f t="shared" si="37"/>
        <v/>
      </c>
      <c r="W97" s="28" t="str">
        <f t="shared" si="38"/>
        <v/>
      </c>
      <c r="X97" s="29" t="str">
        <f t="shared" si="3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2"/>
        <v/>
      </c>
      <c r="N98" s="19" t="str">
        <f t="shared" si="33"/>
        <v/>
      </c>
      <c r="O98" s="19" t="str">
        <f t="shared" si="16"/>
        <v/>
      </c>
      <c r="P98" s="19" t="str">
        <f t="shared" si="17"/>
        <v/>
      </c>
      <c r="Q98" s="19" t="str">
        <f t="shared" si="18"/>
        <v/>
      </c>
      <c r="R98" s="19" t="str">
        <f t="shared" si="40"/>
        <v/>
      </c>
      <c r="S98" s="27" t="str">
        <f t="shared" si="34"/>
        <v/>
      </c>
      <c r="T98" s="28" t="str">
        <f t="shared" si="35"/>
        <v/>
      </c>
      <c r="U98" s="28" t="str">
        <f t="shared" si="36"/>
        <v/>
      </c>
      <c r="V98" s="28" t="str">
        <f t="shared" si="37"/>
        <v/>
      </c>
      <c r="W98" s="28" t="str">
        <f t="shared" si="38"/>
        <v/>
      </c>
      <c r="X98" s="29" t="str">
        <f t="shared" si="3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2"/>
        <v/>
      </c>
      <c r="N99" s="19" t="str">
        <f t="shared" si="33"/>
        <v/>
      </c>
      <c r="O99" s="19" t="str">
        <f t="shared" ref="O99:O153" si="41">IF(ISBLANK(F99),"",((F99-F$34)*1000)+L$34)</f>
        <v/>
      </c>
      <c r="P99" s="19" t="str">
        <f t="shared" ref="P99:P153" si="42">IF(ISBLANK(G99),"",((G99-G$34)*1000)+M$34)</f>
        <v/>
      </c>
      <c r="Q99" s="19" t="str">
        <f t="shared" ref="Q99:Q153" si="43">IF(ISBLANK(H99),"",((H99-H$34)*1000)+N$34)</f>
        <v/>
      </c>
      <c r="R99" s="19" t="str">
        <f t="shared" si="40"/>
        <v/>
      </c>
      <c r="S99" s="27" t="str">
        <f t="shared" si="34"/>
        <v/>
      </c>
      <c r="T99" s="28" t="str">
        <f t="shared" si="35"/>
        <v/>
      </c>
      <c r="U99" s="28" t="str">
        <f t="shared" si="36"/>
        <v/>
      </c>
      <c r="V99" s="28" t="str">
        <f t="shared" si="37"/>
        <v/>
      </c>
      <c r="W99" s="28" t="str">
        <f t="shared" si="38"/>
        <v/>
      </c>
      <c r="X99" s="29" t="str">
        <f t="shared" si="3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2"/>
        <v/>
      </c>
      <c r="N100" s="19" t="str">
        <f t="shared" si="33"/>
        <v/>
      </c>
      <c r="O100" s="19" t="str">
        <f t="shared" si="41"/>
        <v/>
      </c>
      <c r="P100" s="19" t="str">
        <f t="shared" si="42"/>
        <v/>
      </c>
      <c r="Q100" s="19" t="str">
        <f t="shared" si="43"/>
        <v/>
      </c>
      <c r="R100" s="19" t="str">
        <f t="shared" si="40"/>
        <v/>
      </c>
      <c r="S100" s="27" t="str">
        <f t="shared" si="34"/>
        <v/>
      </c>
      <c r="T100" s="28" t="str">
        <f t="shared" si="35"/>
        <v/>
      </c>
      <c r="U100" s="28" t="str">
        <f t="shared" si="36"/>
        <v/>
      </c>
      <c r="V100" s="28" t="str">
        <f t="shared" si="37"/>
        <v/>
      </c>
      <c r="W100" s="28" t="str">
        <f t="shared" si="38"/>
        <v/>
      </c>
      <c r="X100" s="29" t="str">
        <f t="shared" si="3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2"/>
        <v/>
      </c>
      <c r="N101" s="19" t="str">
        <f t="shared" si="33"/>
        <v/>
      </c>
      <c r="O101" s="19" t="str">
        <f t="shared" si="41"/>
        <v/>
      </c>
      <c r="P101" s="19" t="str">
        <f t="shared" si="42"/>
        <v/>
      </c>
      <c r="Q101" s="19" t="str">
        <f t="shared" si="43"/>
        <v/>
      </c>
      <c r="R101" s="19" t="str">
        <f t="shared" si="40"/>
        <v/>
      </c>
      <c r="S101" s="27" t="str">
        <f t="shared" si="34"/>
        <v/>
      </c>
      <c r="T101" s="28" t="str">
        <f t="shared" si="35"/>
        <v/>
      </c>
      <c r="U101" s="28" t="str">
        <f t="shared" si="36"/>
        <v/>
      </c>
      <c r="V101" s="28" t="str">
        <f t="shared" si="37"/>
        <v/>
      </c>
      <c r="W101" s="28" t="str">
        <f t="shared" si="38"/>
        <v/>
      </c>
      <c r="X101" s="29" t="str">
        <f t="shared" si="3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2"/>
        <v/>
      </c>
      <c r="N102" s="19" t="str">
        <f t="shared" si="33"/>
        <v/>
      </c>
      <c r="O102" s="19" t="str">
        <f t="shared" si="41"/>
        <v/>
      </c>
      <c r="P102" s="19" t="str">
        <f t="shared" si="42"/>
        <v/>
      </c>
      <c r="Q102" s="19" t="str">
        <f t="shared" si="43"/>
        <v/>
      </c>
      <c r="R102" s="19" t="str">
        <f t="shared" si="40"/>
        <v/>
      </c>
      <c r="S102" s="27" t="str">
        <f t="shared" si="34"/>
        <v/>
      </c>
      <c r="T102" s="28" t="str">
        <f t="shared" si="35"/>
        <v/>
      </c>
      <c r="U102" s="28" t="str">
        <f t="shared" si="36"/>
        <v/>
      </c>
      <c r="V102" s="28" t="str">
        <f t="shared" si="37"/>
        <v/>
      </c>
      <c r="W102" s="28" t="str">
        <f t="shared" si="38"/>
        <v/>
      </c>
      <c r="X102" s="29" t="str">
        <f t="shared" si="3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2"/>
        <v/>
      </c>
      <c r="N103" s="19" t="str">
        <f t="shared" si="33"/>
        <v/>
      </c>
      <c r="O103" s="19" t="str">
        <f t="shared" si="41"/>
        <v/>
      </c>
      <c r="P103" s="19" t="str">
        <f t="shared" si="42"/>
        <v/>
      </c>
      <c r="Q103" s="19" t="str">
        <f t="shared" si="43"/>
        <v/>
      </c>
      <c r="R103" s="19" t="str">
        <f t="shared" si="40"/>
        <v/>
      </c>
      <c r="S103" s="27" t="str">
        <f t="shared" si="34"/>
        <v/>
      </c>
      <c r="T103" s="28" t="str">
        <f t="shared" si="35"/>
        <v/>
      </c>
      <c r="U103" s="28" t="str">
        <f t="shared" si="36"/>
        <v/>
      </c>
      <c r="V103" s="28" t="str">
        <f t="shared" si="37"/>
        <v/>
      </c>
      <c r="W103" s="28" t="str">
        <f t="shared" si="38"/>
        <v/>
      </c>
      <c r="X103" s="29" t="str">
        <f t="shared" si="3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2"/>
        <v/>
      </c>
      <c r="N104" s="19" t="str">
        <f t="shared" si="33"/>
        <v/>
      </c>
      <c r="O104" s="19" t="str">
        <f t="shared" si="41"/>
        <v/>
      </c>
      <c r="P104" s="19" t="str">
        <f t="shared" si="42"/>
        <v/>
      </c>
      <c r="Q104" s="19" t="str">
        <f t="shared" si="43"/>
        <v/>
      </c>
      <c r="R104" s="19" t="str">
        <f t="shared" si="40"/>
        <v/>
      </c>
      <c r="S104" s="27" t="str">
        <f t="shared" si="34"/>
        <v/>
      </c>
      <c r="T104" s="28" t="str">
        <f t="shared" si="35"/>
        <v/>
      </c>
      <c r="U104" s="28" t="str">
        <f t="shared" si="36"/>
        <v/>
      </c>
      <c r="V104" s="28" t="str">
        <f t="shared" si="37"/>
        <v/>
      </c>
      <c r="W104" s="28" t="str">
        <f t="shared" si="38"/>
        <v/>
      </c>
      <c r="X104" s="29" t="str">
        <f t="shared" si="3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2"/>
        <v/>
      </c>
      <c r="N105" s="19" t="str">
        <f t="shared" si="33"/>
        <v/>
      </c>
      <c r="O105" s="19" t="str">
        <f t="shared" si="41"/>
        <v/>
      </c>
      <c r="P105" s="19" t="str">
        <f t="shared" si="42"/>
        <v/>
      </c>
      <c r="Q105" s="19" t="str">
        <f t="shared" si="43"/>
        <v/>
      </c>
      <c r="R105" s="19" t="str">
        <f t="shared" si="40"/>
        <v/>
      </c>
      <c r="S105" s="27" t="str">
        <f t="shared" si="34"/>
        <v/>
      </c>
      <c r="T105" s="28" t="str">
        <f t="shared" si="35"/>
        <v/>
      </c>
      <c r="U105" s="28" t="str">
        <f t="shared" si="36"/>
        <v/>
      </c>
      <c r="V105" s="28" t="str">
        <f t="shared" si="37"/>
        <v/>
      </c>
      <c r="W105" s="28" t="str">
        <f t="shared" si="38"/>
        <v/>
      </c>
      <c r="X105" s="29" t="str">
        <f t="shared" si="3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2"/>
        <v/>
      </c>
      <c r="N106" s="19" t="str">
        <f t="shared" si="33"/>
        <v/>
      </c>
      <c r="O106" s="19" t="str">
        <f t="shared" si="41"/>
        <v/>
      </c>
      <c r="P106" s="19" t="str">
        <f t="shared" si="42"/>
        <v/>
      </c>
      <c r="Q106" s="19" t="str">
        <f t="shared" si="43"/>
        <v/>
      </c>
      <c r="R106" s="19" t="str">
        <f t="shared" si="40"/>
        <v/>
      </c>
      <c r="S106" s="27" t="str">
        <f t="shared" si="34"/>
        <v/>
      </c>
      <c r="T106" s="28" t="str">
        <f t="shared" si="35"/>
        <v/>
      </c>
      <c r="U106" s="28" t="str">
        <f t="shared" si="36"/>
        <v/>
      </c>
      <c r="V106" s="28" t="str">
        <f t="shared" si="37"/>
        <v/>
      </c>
      <c r="W106" s="28" t="str">
        <f t="shared" si="38"/>
        <v/>
      </c>
      <c r="X106" s="29" t="str">
        <f t="shared" si="3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2"/>
        <v/>
      </c>
      <c r="N107" s="19" t="str">
        <f t="shared" si="33"/>
        <v/>
      </c>
      <c r="O107" s="19" t="str">
        <f t="shared" si="41"/>
        <v/>
      </c>
      <c r="P107" s="19" t="str">
        <f t="shared" si="42"/>
        <v/>
      </c>
      <c r="Q107" s="19" t="str">
        <f t="shared" si="43"/>
        <v/>
      </c>
      <c r="R107" s="19" t="str">
        <f t="shared" si="40"/>
        <v/>
      </c>
      <c r="S107" s="27" t="str">
        <f t="shared" si="34"/>
        <v/>
      </c>
      <c r="T107" s="28" t="str">
        <f t="shared" si="35"/>
        <v/>
      </c>
      <c r="U107" s="28" t="str">
        <f t="shared" si="36"/>
        <v/>
      </c>
      <c r="V107" s="28" t="str">
        <f t="shared" si="37"/>
        <v/>
      </c>
      <c r="W107" s="28" t="str">
        <f t="shared" si="38"/>
        <v/>
      </c>
      <c r="X107" s="29" t="str">
        <f t="shared" si="3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2"/>
        <v/>
      </c>
      <c r="N108" s="19" t="str">
        <f t="shared" si="33"/>
        <v/>
      </c>
      <c r="O108" s="19" t="str">
        <f t="shared" si="41"/>
        <v/>
      </c>
      <c r="P108" s="19" t="str">
        <f t="shared" si="42"/>
        <v/>
      </c>
      <c r="Q108" s="19" t="str">
        <f t="shared" si="43"/>
        <v/>
      </c>
      <c r="R108" s="19" t="str">
        <f t="shared" si="40"/>
        <v/>
      </c>
      <c r="S108" s="27" t="str">
        <f t="shared" si="34"/>
        <v/>
      </c>
      <c r="T108" s="28" t="str">
        <f t="shared" si="35"/>
        <v/>
      </c>
      <c r="U108" s="28" t="str">
        <f t="shared" si="36"/>
        <v/>
      </c>
      <c r="V108" s="28" t="str">
        <f t="shared" si="37"/>
        <v/>
      </c>
      <c r="W108" s="28" t="str">
        <f t="shared" si="38"/>
        <v/>
      </c>
      <c r="X108" s="29" t="str">
        <f t="shared" si="3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2"/>
        <v/>
      </c>
      <c r="N109" s="19" t="str">
        <f t="shared" si="33"/>
        <v/>
      </c>
      <c r="O109" s="19" t="str">
        <f t="shared" si="41"/>
        <v/>
      </c>
      <c r="P109" s="19" t="str">
        <f t="shared" si="42"/>
        <v/>
      </c>
      <c r="Q109" s="19" t="str">
        <f t="shared" si="43"/>
        <v/>
      </c>
      <c r="R109" s="19" t="str">
        <f t="shared" si="40"/>
        <v/>
      </c>
      <c r="S109" s="27" t="str">
        <f t="shared" si="34"/>
        <v/>
      </c>
      <c r="T109" s="28" t="str">
        <f t="shared" si="35"/>
        <v/>
      </c>
      <c r="U109" s="28" t="str">
        <f t="shared" si="36"/>
        <v/>
      </c>
      <c r="V109" s="28" t="str">
        <f t="shared" si="37"/>
        <v/>
      </c>
      <c r="W109" s="28" t="str">
        <f t="shared" si="38"/>
        <v/>
      </c>
      <c r="X109" s="29" t="str">
        <f t="shared" si="3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2"/>
        <v/>
      </c>
      <c r="N110" s="19" t="str">
        <f t="shared" si="33"/>
        <v/>
      </c>
      <c r="O110" s="19" t="str">
        <f t="shared" si="41"/>
        <v/>
      </c>
      <c r="P110" s="19" t="str">
        <f t="shared" si="42"/>
        <v/>
      </c>
      <c r="Q110" s="19" t="str">
        <f t="shared" si="43"/>
        <v/>
      </c>
      <c r="R110" s="19" t="str">
        <f t="shared" si="40"/>
        <v/>
      </c>
      <c r="S110" s="27" t="str">
        <f t="shared" si="34"/>
        <v/>
      </c>
      <c r="T110" s="28" t="str">
        <f t="shared" si="35"/>
        <v/>
      </c>
      <c r="U110" s="28" t="str">
        <f t="shared" si="36"/>
        <v/>
      </c>
      <c r="V110" s="28" t="str">
        <f t="shared" si="37"/>
        <v/>
      </c>
      <c r="W110" s="28" t="str">
        <f t="shared" si="38"/>
        <v/>
      </c>
      <c r="X110" s="29" t="str">
        <f t="shared" si="3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2"/>
        <v/>
      </c>
      <c r="N111" s="19" t="str">
        <f t="shared" si="33"/>
        <v/>
      </c>
      <c r="O111" s="19" t="str">
        <f t="shared" si="41"/>
        <v/>
      </c>
      <c r="P111" s="19" t="str">
        <f t="shared" si="42"/>
        <v/>
      </c>
      <c r="Q111" s="19" t="str">
        <f t="shared" si="43"/>
        <v/>
      </c>
      <c r="R111" s="19" t="str">
        <f t="shared" si="40"/>
        <v/>
      </c>
      <c r="S111" s="27" t="str">
        <f t="shared" si="34"/>
        <v/>
      </c>
      <c r="T111" s="28" t="str">
        <f t="shared" si="35"/>
        <v/>
      </c>
      <c r="U111" s="28" t="str">
        <f t="shared" si="36"/>
        <v/>
      </c>
      <c r="V111" s="28" t="str">
        <f t="shared" si="37"/>
        <v/>
      </c>
      <c r="W111" s="28" t="str">
        <f t="shared" si="38"/>
        <v/>
      </c>
      <c r="X111" s="29" t="str">
        <f t="shared" si="3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4">IF(ISBLANK(C112),"",(C112-C$16)*1000)</f>
        <v/>
      </c>
      <c r="M112" s="19" t="str">
        <f t="shared" ref="M112:M143" si="45">IF(ISBLANK(D112),"",(D112-D$16)*1000)</f>
        <v/>
      </c>
      <c r="N112" s="19" t="str">
        <f t="shared" ref="N112:N143" si="46">IF(ISBLANK(E112),"",(E112-E$16)*1000)</f>
        <v/>
      </c>
      <c r="O112" s="19" t="str">
        <f t="shared" si="41"/>
        <v/>
      </c>
      <c r="P112" s="19" t="str">
        <f t="shared" si="42"/>
        <v/>
      </c>
      <c r="Q112" s="19" t="str">
        <f t="shared" si="43"/>
        <v/>
      </c>
      <c r="R112" s="19" t="str">
        <f t="shared" si="40"/>
        <v/>
      </c>
      <c r="S112" s="27" t="str">
        <f t="shared" si="34"/>
        <v/>
      </c>
      <c r="T112" s="28" t="str">
        <f t="shared" si="35"/>
        <v/>
      </c>
      <c r="U112" s="28" t="str">
        <f t="shared" si="36"/>
        <v/>
      </c>
      <c r="V112" s="28" t="str">
        <f t="shared" si="37"/>
        <v/>
      </c>
      <c r="W112" s="28" t="str">
        <f t="shared" si="38"/>
        <v/>
      </c>
      <c r="X112" s="29" t="str">
        <f t="shared" si="3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4"/>
        <v/>
      </c>
      <c r="M113" s="19" t="str">
        <f t="shared" si="45"/>
        <v/>
      </c>
      <c r="N113" s="19" t="str">
        <f t="shared" si="46"/>
        <v/>
      </c>
      <c r="O113" s="19" t="str">
        <f t="shared" si="41"/>
        <v/>
      </c>
      <c r="P113" s="19" t="str">
        <f t="shared" si="42"/>
        <v/>
      </c>
      <c r="Q113" s="19" t="str">
        <f t="shared" si="43"/>
        <v/>
      </c>
      <c r="R113" s="19" t="str">
        <f t="shared" si="40"/>
        <v/>
      </c>
      <c r="S113" s="27" t="str">
        <f t="shared" ref="S113:S144" si="47">IF(C113="","",((C113-C112)*1000)/($B113-$B112))</f>
        <v/>
      </c>
      <c r="T113" s="28" t="str">
        <f t="shared" ref="T113:T144" si="48">IF(D113="","",((D113-D112)*1000)/($B113-$B112))</f>
        <v/>
      </c>
      <c r="U113" s="28" t="str">
        <f t="shared" ref="U113:U144" si="49">IF(E113="","",((E113-E112)*1000)/($B113-$B112))</f>
        <v/>
      </c>
      <c r="V113" s="28" t="str">
        <f t="shared" ref="V113:V144" si="50">IF(F113="","",((F113-F112)*1000)/($B113-$B112))</f>
        <v/>
      </c>
      <c r="W113" s="28" t="str">
        <f t="shared" ref="W113:W144" si="51">IF(G113="","",((G113-G112)*1000)/($B113-$B112))</f>
        <v/>
      </c>
      <c r="X113" s="29" t="str">
        <f t="shared" ref="X113:X144" si="52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4"/>
        <v/>
      </c>
      <c r="M114" s="19" t="str">
        <f t="shared" si="45"/>
        <v/>
      </c>
      <c r="N114" s="19" t="str">
        <f t="shared" si="46"/>
        <v/>
      </c>
      <c r="O114" s="19" t="str">
        <f t="shared" si="41"/>
        <v/>
      </c>
      <c r="P114" s="19" t="str">
        <f t="shared" si="42"/>
        <v/>
      </c>
      <c r="Q114" s="19" t="str">
        <f t="shared" si="43"/>
        <v/>
      </c>
      <c r="R114" s="19" t="str">
        <f t="shared" si="40"/>
        <v/>
      </c>
      <c r="S114" s="27" t="str">
        <f t="shared" si="47"/>
        <v/>
      </c>
      <c r="T114" s="28" t="str">
        <f t="shared" si="48"/>
        <v/>
      </c>
      <c r="U114" s="28" t="str">
        <f t="shared" si="49"/>
        <v/>
      </c>
      <c r="V114" s="28" t="str">
        <f t="shared" si="50"/>
        <v/>
      </c>
      <c r="W114" s="28" t="str">
        <f t="shared" si="51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4"/>
        <v/>
      </c>
      <c r="M115" s="19" t="str">
        <f t="shared" si="45"/>
        <v/>
      </c>
      <c r="N115" s="19" t="str">
        <f t="shared" si="46"/>
        <v/>
      </c>
      <c r="O115" s="19" t="str">
        <f t="shared" si="41"/>
        <v/>
      </c>
      <c r="P115" s="19" t="str">
        <f t="shared" si="42"/>
        <v/>
      </c>
      <c r="Q115" s="19" t="str">
        <f t="shared" si="43"/>
        <v/>
      </c>
      <c r="R115" s="19" t="str">
        <f t="shared" si="40"/>
        <v/>
      </c>
      <c r="S115" s="27" t="str">
        <f t="shared" si="47"/>
        <v/>
      </c>
      <c r="T115" s="28" t="str">
        <f t="shared" si="48"/>
        <v/>
      </c>
      <c r="U115" s="28" t="str">
        <f t="shared" si="49"/>
        <v/>
      </c>
      <c r="V115" s="28" t="str">
        <f t="shared" si="50"/>
        <v/>
      </c>
      <c r="W115" s="28" t="str">
        <f t="shared" si="51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4"/>
        <v/>
      </c>
      <c r="M116" s="19" t="str">
        <f t="shared" si="45"/>
        <v/>
      </c>
      <c r="N116" s="19" t="str">
        <f t="shared" si="46"/>
        <v/>
      </c>
      <c r="O116" s="19" t="str">
        <f t="shared" si="41"/>
        <v/>
      </c>
      <c r="P116" s="19" t="str">
        <f t="shared" si="42"/>
        <v/>
      </c>
      <c r="Q116" s="19" t="str">
        <f t="shared" si="43"/>
        <v/>
      </c>
      <c r="R116" s="19" t="str">
        <f t="shared" si="40"/>
        <v/>
      </c>
      <c r="S116" s="27" t="str">
        <f t="shared" si="47"/>
        <v/>
      </c>
      <c r="T116" s="28" t="str">
        <f t="shared" si="48"/>
        <v/>
      </c>
      <c r="U116" s="28" t="str">
        <f t="shared" si="49"/>
        <v/>
      </c>
      <c r="V116" s="28" t="str">
        <f t="shared" si="50"/>
        <v/>
      </c>
      <c r="W116" s="28" t="str">
        <f t="shared" si="51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4"/>
        <v/>
      </c>
      <c r="M117" s="19" t="str">
        <f t="shared" si="45"/>
        <v/>
      </c>
      <c r="N117" s="19" t="str">
        <f t="shared" si="46"/>
        <v/>
      </c>
      <c r="O117" s="19" t="str">
        <f t="shared" si="41"/>
        <v/>
      </c>
      <c r="P117" s="19" t="str">
        <f t="shared" si="42"/>
        <v/>
      </c>
      <c r="Q117" s="19" t="str">
        <f t="shared" si="43"/>
        <v/>
      </c>
      <c r="R117" s="19" t="str">
        <f t="shared" si="40"/>
        <v/>
      </c>
      <c r="S117" s="27" t="str">
        <f t="shared" si="47"/>
        <v/>
      </c>
      <c r="T117" s="28" t="str">
        <f t="shared" si="48"/>
        <v/>
      </c>
      <c r="U117" s="28" t="str">
        <f t="shared" si="49"/>
        <v/>
      </c>
      <c r="V117" s="28" t="str">
        <f t="shared" si="50"/>
        <v/>
      </c>
      <c r="W117" s="28" t="str">
        <f t="shared" si="51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4"/>
        <v/>
      </c>
      <c r="M118" s="19" t="str">
        <f t="shared" si="45"/>
        <v/>
      </c>
      <c r="N118" s="19" t="str">
        <f t="shared" si="46"/>
        <v/>
      </c>
      <c r="O118" s="19" t="str">
        <f t="shared" si="41"/>
        <v/>
      </c>
      <c r="P118" s="19" t="str">
        <f t="shared" si="42"/>
        <v/>
      </c>
      <c r="Q118" s="19" t="str">
        <f t="shared" si="43"/>
        <v/>
      </c>
      <c r="R118" s="19" t="str">
        <f t="shared" si="40"/>
        <v/>
      </c>
      <c r="S118" s="27" t="str">
        <f t="shared" si="47"/>
        <v/>
      </c>
      <c r="T118" s="28" t="str">
        <f t="shared" si="48"/>
        <v/>
      </c>
      <c r="U118" s="28" t="str">
        <f t="shared" si="49"/>
        <v/>
      </c>
      <c r="V118" s="28" t="str">
        <f t="shared" si="50"/>
        <v/>
      </c>
      <c r="W118" s="28" t="str">
        <f t="shared" si="51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4"/>
        <v/>
      </c>
      <c r="M119" s="19" t="str">
        <f t="shared" si="45"/>
        <v/>
      </c>
      <c r="N119" s="19" t="str">
        <f t="shared" si="46"/>
        <v/>
      </c>
      <c r="O119" s="19" t="str">
        <f t="shared" si="41"/>
        <v/>
      </c>
      <c r="P119" s="19" t="str">
        <f t="shared" si="42"/>
        <v/>
      </c>
      <c r="Q119" s="19" t="str">
        <f t="shared" si="43"/>
        <v/>
      </c>
      <c r="R119" s="19" t="str">
        <f t="shared" si="40"/>
        <v/>
      </c>
      <c r="S119" s="27" t="str">
        <f t="shared" si="47"/>
        <v/>
      </c>
      <c r="T119" s="28" t="str">
        <f t="shared" si="48"/>
        <v/>
      </c>
      <c r="U119" s="28" t="str">
        <f t="shared" si="49"/>
        <v/>
      </c>
      <c r="V119" s="28" t="str">
        <f t="shared" si="50"/>
        <v/>
      </c>
      <c r="W119" s="28" t="str">
        <f t="shared" si="51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4"/>
        <v/>
      </c>
      <c r="M120" s="19" t="str">
        <f t="shared" si="45"/>
        <v/>
      </c>
      <c r="N120" s="19" t="str">
        <f t="shared" si="46"/>
        <v/>
      </c>
      <c r="O120" s="19" t="str">
        <f t="shared" si="41"/>
        <v/>
      </c>
      <c r="P120" s="19" t="str">
        <f t="shared" si="42"/>
        <v/>
      </c>
      <c r="Q120" s="19" t="str">
        <f t="shared" si="43"/>
        <v/>
      </c>
      <c r="R120" s="19" t="str">
        <f t="shared" si="40"/>
        <v/>
      </c>
      <c r="S120" s="27" t="str">
        <f t="shared" si="47"/>
        <v/>
      </c>
      <c r="T120" s="28" t="str">
        <f t="shared" si="48"/>
        <v/>
      </c>
      <c r="U120" s="28" t="str">
        <f t="shared" si="49"/>
        <v/>
      </c>
      <c r="V120" s="28" t="str">
        <f t="shared" si="50"/>
        <v/>
      </c>
      <c r="W120" s="28" t="str">
        <f t="shared" si="51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4"/>
        <v/>
      </c>
      <c r="M121" s="19" t="str">
        <f t="shared" si="45"/>
        <v/>
      </c>
      <c r="N121" s="19" t="str">
        <f t="shared" si="46"/>
        <v/>
      </c>
      <c r="O121" s="19" t="str">
        <f t="shared" si="41"/>
        <v/>
      </c>
      <c r="P121" s="19" t="str">
        <f t="shared" si="42"/>
        <v/>
      </c>
      <c r="Q121" s="19" t="str">
        <f t="shared" si="43"/>
        <v/>
      </c>
      <c r="R121" s="19" t="str">
        <f t="shared" si="40"/>
        <v/>
      </c>
      <c r="S121" s="27" t="str">
        <f t="shared" si="47"/>
        <v/>
      </c>
      <c r="T121" s="28" t="str">
        <f t="shared" si="48"/>
        <v/>
      </c>
      <c r="U121" s="28" t="str">
        <f t="shared" si="49"/>
        <v/>
      </c>
      <c r="V121" s="28" t="str">
        <f t="shared" si="50"/>
        <v/>
      </c>
      <c r="W121" s="28" t="str">
        <f t="shared" si="51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4"/>
        <v/>
      </c>
      <c r="M122" s="19" t="str">
        <f t="shared" si="45"/>
        <v/>
      </c>
      <c r="N122" s="19" t="str">
        <f t="shared" si="46"/>
        <v/>
      </c>
      <c r="O122" s="19" t="str">
        <f t="shared" si="41"/>
        <v/>
      </c>
      <c r="P122" s="19" t="str">
        <f t="shared" si="42"/>
        <v/>
      </c>
      <c r="Q122" s="19" t="str">
        <f t="shared" si="43"/>
        <v/>
      </c>
      <c r="R122" s="19" t="str">
        <f t="shared" si="40"/>
        <v/>
      </c>
      <c r="S122" s="27" t="str">
        <f t="shared" si="47"/>
        <v/>
      </c>
      <c r="T122" s="28" t="str">
        <f t="shared" si="48"/>
        <v/>
      </c>
      <c r="U122" s="28" t="str">
        <f t="shared" si="49"/>
        <v/>
      </c>
      <c r="V122" s="28" t="str">
        <f t="shared" si="50"/>
        <v/>
      </c>
      <c r="W122" s="28" t="str">
        <f t="shared" si="51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4"/>
        <v/>
      </c>
      <c r="M123" s="19" t="str">
        <f t="shared" si="45"/>
        <v/>
      </c>
      <c r="N123" s="19" t="str">
        <f t="shared" si="46"/>
        <v/>
      </c>
      <c r="O123" s="19" t="str">
        <f t="shared" si="41"/>
        <v/>
      </c>
      <c r="P123" s="19" t="str">
        <f t="shared" si="42"/>
        <v/>
      </c>
      <c r="Q123" s="19" t="str">
        <f t="shared" si="43"/>
        <v/>
      </c>
      <c r="R123" s="19" t="str">
        <f t="shared" si="40"/>
        <v/>
      </c>
      <c r="S123" s="27" t="str">
        <f t="shared" si="47"/>
        <v/>
      </c>
      <c r="T123" s="28" t="str">
        <f t="shared" si="48"/>
        <v/>
      </c>
      <c r="U123" s="28" t="str">
        <f t="shared" si="49"/>
        <v/>
      </c>
      <c r="V123" s="28" t="str">
        <f t="shared" si="50"/>
        <v/>
      </c>
      <c r="W123" s="28" t="str">
        <f t="shared" si="51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4"/>
        <v/>
      </c>
      <c r="M124" s="19" t="str">
        <f t="shared" si="45"/>
        <v/>
      </c>
      <c r="N124" s="19" t="str">
        <f t="shared" si="46"/>
        <v/>
      </c>
      <c r="O124" s="19" t="str">
        <f t="shared" si="41"/>
        <v/>
      </c>
      <c r="P124" s="19" t="str">
        <f t="shared" si="42"/>
        <v/>
      </c>
      <c r="Q124" s="19" t="str">
        <f t="shared" si="43"/>
        <v/>
      </c>
      <c r="R124" s="19" t="str">
        <f t="shared" si="40"/>
        <v/>
      </c>
      <c r="S124" s="27" t="str">
        <f t="shared" si="47"/>
        <v/>
      </c>
      <c r="T124" s="28" t="str">
        <f t="shared" si="48"/>
        <v/>
      </c>
      <c r="U124" s="28" t="str">
        <f t="shared" si="49"/>
        <v/>
      </c>
      <c r="V124" s="28" t="str">
        <f t="shared" si="50"/>
        <v/>
      </c>
      <c r="W124" s="28" t="str">
        <f t="shared" si="51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4"/>
        <v/>
      </c>
      <c r="M125" s="19" t="str">
        <f t="shared" si="45"/>
        <v/>
      </c>
      <c r="N125" s="19" t="str">
        <f t="shared" si="46"/>
        <v/>
      </c>
      <c r="O125" s="19" t="str">
        <f t="shared" si="41"/>
        <v/>
      </c>
      <c r="P125" s="19" t="str">
        <f t="shared" si="42"/>
        <v/>
      </c>
      <c r="Q125" s="19" t="str">
        <f t="shared" si="43"/>
        <v/>
      </c>
      <c r="R125" s="19" t="str">
        <f t="shared" si="40"/>
        <v/>
      </c>
      <c r="S125" s="27" t="str">
        <f t="shared" si="47"/>
        <v/>
      </c>
      <c r="T125" s="28" t="str">
        <f t="shared" si="48"/>
        <v/>
      </c>
      <c r="U125" s="28" t="str">
        <f t="shared" si="49"/>
        <v/>
      </c>
      <c r="V125" s="28" t="str">
        <f t="shared" si="50"/>
        <v/>
      </c>
      <c r="W125" s="28" t="str">
        <f t="shared" si="51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4"/>
        <v/>
      </c>
      <c r="M126" s="19" t="str">
        <f t="shared" si="45"/>
        <v/>
      </c>
      <c r="N126" s="19" t="str">
        <f t="shared" si="46"/>
        <v/>
      </c>
      <c r="O126" s="19" t="str">
        <f t="shared" si="41"/>
        <v/>
      </c>
      <c r="P126" s="19" t="str">
        <f t="shared" si="42"/>
        <v/>
      </c>
      <c r="Q126" s="19" t="str">
        <f t="shared" si="43"/>
        <v/>
      </c>
      <c r="R126" s="19" t="str">
        <f t="shared" si="40"/>
        <v/>
      </c>
      <c r="S126" s="27" t="str">
        <f t="shared" si="47"/>
        <v/>
      </c>
      <c r="T126" s="28" t="str">
        <f t="shared" si="48"/>
        <v/>
      </c>
      <c r="U126" s="28" t="str">
        <f t="shared" si="49"/>
        <v/>
      </c>
      <c r="V126" s="28" t="str">
        <f t="shared" si="50"/>
        <v/>
      </c>
      <c r="W126" s="28" t="str">
        <f t="shared" si="51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4"/>
        <v/>
      </c>
      <c r="M127" s="19" t="str">
        <f t="shared" si="45"/>
        <v/>
      </c>
      <c r="N127" s="19" t="str">
        <f t="shared" si="46"/>
        <v/>
      </c>
      <c r="O127" s="19" t="str">
        <f t="shared" si="41"/>
        <v/>
      </c>
      <c r="P127" s="19" t="str">
        <f t="shared" si="42"/>
        <v/>
      </c>
      <c r="Q127" s="19" t="str">
        <f t="shared" si="43"/>
        <v/>
      </c>
      <c r="R127" s="19" t="str">
        <f t="shared" si="40"/>
        <v/>
      </c>
      <c r="S127" s="27" t="str">
        <f t="shared" si="47"/>
        <v/>
      </c>
      <c r="T127" s="28" t="str">
        <f t="shared" si="48"/>
        <v/>
      </c>
      <c r="U127" s="28" t="str">
        <f t="shared" si="49"/>
        <v/>
      </c>
      <c r="V127" s="28" t="str">
        <f t="shared" si="50"/>
        <v/>
      </c>
      <c r="W127" s="28" t="str">
        <f t="shared" si="51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4"/>
        <v/>
      </c>
      <c r="M128" s="19" t="str">
        <f t="shared" si="45"/>
        <v/>
      </c>
      <c r="N128" s="19" t="str">
        <f t="shared" si="46"/>
        <v/>
      </c>
      <c r="O128" s="19" t="str">
        <f t="shared" si="41"/>
        <v/>
      </c>
      <c r="P128" s="19" t="str">
        <f t="shared" si="42"/>
        <v/>
      </c>
      <c r="Q128" s="19" t="str">
        <f t="shared" si="43"/>
        <v/>
      </c>
      <c r="R128" s="19" t="str">
        <f t="shared" si="40"/>
        <v/>
      </c>
      <c r="S128" s="27" t="str">
        <f t="shared" si="47"/>
        <v/>
      </c>
      <c r="T128" s="28" t="str">
        <f t="shared" si="48"/>
        <v/>
      </c>
      <c r="U128" s="28" t="str">
        <f t="shared" si="49"/>
        <v/>
      </c>
      <c r="V128" s="28" t="str">
        <f t="shared" si="50"/>
        <v/>
      </c>
      <c r="W128" s="28" t="str">
        <f t="shared" si="51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4"/>
        <v/>
      </c>
      <c r="M129" s="19" t="str">
        <f t="shared" si="45"/>
        <v/>
      </c>
      <c r="N129" s="19" t="str">
        <f t="shared" si="46"/>
        <v/>
      </c>
      <c r="O129" s="19" t="str">
        <f t="shared" si="41"/>
        <v/>
      </c>
      <c r="P129" s="19" t="str">
        <f t="shared" si="42"/>
        <v/>
      </c>
      <c r="Q129" s="19" t="str">
        <f t="shared" si="43"/>
        <v/>
      </c>
      <c r="R129" s="19" t="str">
        <f t="shared" ref="R129:R153" si="53">IF(ISBLANK(I129),"",(I129-I$16)*1000)</f>
        <v/>
      </c>
      <c r="S129" s="27" t="str">
        <f t="shared" si="47"/>
        <v/>
      </c>
      <c r="T129" s="28" t="str">
        <f t="shared" si="48"/>
        <v/>
      </c>
      <c r="U129" s="28" t="str">
        <f t="shared" si="49"/>
        <v/>
      </c>
      <c r="V129" s="28" t="str">
        <f t="shared" si="50"/>
        <v/>
      </c>
      <c r="W129" s="28" t="str">
        <f t="shared" si="51"/>
        <v/>
      </c>
      <c r="X129" s="29" t="str">
        <f t="shared" si="5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4"/>
        <v/>
      </c>
      <c r="M130" s="19" t="str">
        <f t="shared" si="45"/>
        <v/>
      </c>
      <c r="N130" s="19" t="str">
        <f t="shared" si="46"/>
        <v/>
      </c>
      <c r="O130" s="19" t="str">
        <f t="shared" si="41"/>
        <v/>
      </c>
      <c r="P130" s="19" t="str">
        <f t="shared" si="42"/>
        <v/>
      </c>
      <c r="Q130" s="19" t="str">
        <f t="shared" si="43"/>
        <v/>
      </c>
      <c r="R130" s="19" t="str">
        <f t="shared" si="53"/>
        <v/>
      </c>
      <c r="S130" s="27" t="str">
        <f t="shared" si="47"/>
        <v/>
      </c>
      <c r="T130" s="28" t="str">
        <f t="shared" si="48"/>
        <v/>
      </c>
      <c r="U130" s="28" t="str">
        <f t="shared" si="49"/>
        <v/>
      </c>
      <c r="V130" s="28" t="str">
        <f t="shared" si="50"/>
        <v/>
      </c>
      <c r="W130" s="28" t="str">
        <f t="shared" si="51"/>
        <v/>
      </c>
      <c r="X130" s="29" t="str">
        <f t="shared" si="5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4"/>
        <v/>
      </c>
      <c r="M131" s="19" t="str">
        <f t="shared" si="45"/>
        <v/>
      </c>
      <c r="N131" s="19" t="str">
        <f t="shared" si="46"/>
        <v/>
      </c>
      <c r="O131" s="19" t="str">
        <f t="shared" si="41"/>
        <v/>
      </c>
      <c r="P131" s="19" t="str">
        <f t="shared" si="42"/>
        <v/>
      </c>
      <c r="Q131" s="19" t="str">
        <f t="shared" si="43"/>
        <v/>
      </c>
      <c r="R131" s="19" t="str">
        <f t="shared" si="53"/>
        <v/>
      </c>
      <c r="S131" s="27" t="str">
        <f t="shared" si="47"/>
        <v/>
      </c>
      <c r="T131" s="28" t="str">
        <f t="shared" si="48"/>
        <v/>
      </c>
      <c r="U131" s="28" t="str">
        <f t="shared" si="49"/>
        <v/>
      </c>
      <c r="V131" s="28" t="str">
        <f t="shared" si="50"/>
        <v/>
      </c>
      <c r="W131" s="28" t="str">
        <f t="shared" si="51"/>
        <v/>
      </c>
      <c r="X131" s="29" t="str">
        <f t="shared" si="5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4"/>
        <v/>
      </c>
      <c r="M132" s="19" t="str">
        <f t="shared" si="45"/>
        <v/>
      </c>
      <c r="N132" s="19" t="str">
        <f t="shared" si="46"/>
        <v/>
      </c>
      <c r="O132" s="19" t="str">
        <f t="shared" si="41"/>
        <v/>
      </c>
      <c r="P132" s="19" t="str">
        <f t="shared" si="42"/>
        <v/>
      </c>
      <c r="Q132" s="19" t="str">
        <f t="shared" si="43"/>
        <v/>
      </c>
      <c r="R132" s="19" t="str">
        <f t="shared" si="53"/>
        <v/>
      </c>
      <c r="S132" s="27" t="str">
        <f t="shared" si="47"/>
        <v/>
      </c>
      <c r="T132" s="28" t="str">
        <f t="shared" si="48"/>
        <v/>
      </c>
      <c r="U132" s="28" t="str">
        <f t="shared" si="49"/>
        <v/>
      </c>
      <c r="V132" s="28" t="str">
        <f t="shared" si="50"/>
        <v/>
      </c>
      <c r="W132" s="28" t="str">
        <f t="shared" si="51"/>
        <v/>
      </c>
      <c r="X132" s="29" t="str">
        <f t="shared" si="5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4"/>
        <v/>
      </c>
      <c r="M133" s="19" t="str">
        <f t="shared" si="45"/>
        <v/>
      </c>
      <c r="N133" s="19" t="str">
        <f t="shared" si="46"/>
        <v/>
      </c>
      <c r="O133" s="19" t="str">
        <f t="shared" si="41"/>
        <v/>
      </c>
      <c r="P133" s="19" t="str">
        <f t="shared" si="42"/>
        <v/>
      </c>
      <c r="Q133" s="19" t="str">
        <f t="shared" si="43"/>
        <v/>
      </c>
      <c r="R133" s="19" t="str">
        <f t="shared" si="53"/>
        <v/>
      </c>
      <c r="S133" s="27" t="str">
        <f t="shared" si="47"/>
        <v/>
      </c>
      <c r="T133" s="28" t="str">
        <f t="shared" si="48"/>
        <v/>
      </c>
      <c r="U133" s="28" t="str">
        <f t="shared" si="49"/>
        <v/>
      </c>
      <c r="V133" s="28" t="str">
        <f t="shared" si="50"/>
        <v/>
      </c>
      <c r="W133" s="28" t="str">
        <f t="shared" si="51"/>
        <v/>
      </c>
      <c r="X133" s="29" t="str">
        <f t="shared" si="5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4"/>
        <v/>
      </c>
      <c r="M134" s="19" t="str">
        <f t="shared" si="45"/>
        <v/>
      </c>
      <c r="N134" s="19" t="str">
        <f t="shared" si="46"/>
        <v/>
      </c>
      <c r="O134" s="19" t="str">
        <f t="shared" si="41"/>
        <v/>
      </c>
      <c r="P134" s="19" t="str">
        <f t="shared" si="42"/>
        <v/>
      </c>
      <c r="Q134" s="19" t="str">
        <f t="shared" si="43"/>
        <v/>
      </c>
      <c r="R134" s="19" t="str">
        <f t="shared" si="53"/>
        <v/>
      </c>
      <c r="S134" s="27" t="str">
        <f t="shared" si="47"/>
        <v/>
      </c>
      <c r="T134" s="28" t="str">
        <f t="shared" si="48"/>
        <v/>
      </c>
      <c r="U134" s="28" t="str">
        <f t="shared" si="49"/>
        <v/>
      </c>
      <c r="V134" s="28" t="str">
        <f t="shared" si="50"/>
        <v/>
      </c>
      <c r="W134" s="28" t="str">
        <f t="shared" si="51"/>
        <v/>
      </c>
      <c r="X134" s="29" t="str">
        <f t="shared" si="5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4"/>
        <v/>
      </c>
      <c r="M135" s="19" t="str">
        <f t="shared" si="45"/>
        <v/>
      </c>
      <c r="N135" s="19" t="str">
        <f t="shared" si="46"/>
        <v/>
      </c>
      <c r="O135" s="19" t="str">
        <f t="shared" si="41"/>
        <v/>
      </c>
      <c r="P135" s="19" t="str">
        <f t="shared" si="42"/>
        <v/>
      </c>
      <c r="Q135" s="19" t="str">
        <f t="shared" si="43"/>
        <v/>
      </c>
      <c r="R135" s="19" t="str">
        <f t="shared" si="53"/>
        <v/>
      </c>
      <c r="S135" s="27" t="str">
        <f t="shared" si="47"/>
        <v/>
      </c>
      <c r="T135" s="28" t="str">
        <f t="shared" si="48"/>
        <v/>
      </c>
      <c r="U135" s="28" t="str">
        <f t="shared" si="49"/>
        <v/>
      </c>
      <c r="V135" s="28" t="str">
        <f t="shared" si="50"/>
        <v/>
      </c>
      <c r="W135" s="28" t="str">
        <f t="shared" si="51"/>
        <v/>
      </c>
      <c r="X135" s="29" t="str">
        <f t="shared" si="5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4"/>
        <v/>
      </c>
      <c r="M136" s="19" t="str">
        <f t="shared" si="45"/>
        <v/>
      </c>
      <c r="N136" s="19" t="str">
        <f t="shared" si="46"/>
        <v/>
      </c>
      <c r="O136" s="19" t="str">
        <f t="shared" si="41"/>
        <v/>
      </c>
      <c r="P136" s="19" t="str">
        <f t="shared" si="42"/>
        <v/>
      </c>
      <c r="Q136" s="19" t="str">
        <f t="shared" si="43"/>
        <v/>
      </c>
      <c r="R136" s="19" t="str">
        <f t="shared" si="53"/>
        <v/>
      </c>
      <c r="S136" s="27" t="str">
        <f t="shared" si="47"/>
        <v/>
      </c>
      <c r="T136" s="28" t="str">
        <f t="shared" si="48"/>
        <v/>
      </c>
      <c r="U136" s="28" t="str">
        <f t="shared" si="49"/>
        <v/>
      </c>
      <c r="V136" s="28" t="str">
        <f t="shared" si="50"/>
        <v/>
      </c>
      <c r="W136" s="28" t="str">
        <f t="shared" si="51"/>
        <v/>
      </c>
      <c r="X136" s="29" t="str">
        <f t="shared" si="5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4"/>
        <v/>
      </c>
      <c r="M137" s="19" t="str">
        <f t="shared" si="45"/>
        <v/>
      </c>
      <c r="N137" s="19" t="str">
        <f t="shared" si="46"/>
        <v/>
      </c>
      <c r="O137" s="19" t="str">
        <f t="shared" si="41"/>
        <v/>
      </c>
      <c r="P137" s="19" t="str">
        <f t="shared" si="42"/>
        <v/>
      </c>
      <c r="Q137" s="19" t="str">
        <f t="shared" si="43"/>
        <v/>
      </c>
      <c r="R137" s="19" t="str">
        <f t="shared" si="53"/>
        <v/>
      </c>
      <c r="S137" s="27" t="str">
        <f t="shared" si="47"/>
        <v/>
      </c>
      <c r="T137" s="28" t="str">
        <f t="shared" si="48"/>
        <v/>
      </c>
      <c r="U137" s="28" t="str">
        <f t="shared" si="49"/>
        <v/>
      </c>
      <c r="V137" s="28" t="str">
        <f t="shared" si="50"/>
        <v/>
      </c>
      <c r="W137" s="28" t="str">
        <f t="shared" si="51"/>
        <v/>
      </c>
      <c r="X137" s="29" t="str">
        <f t="shared" si="5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4"/>
        <v/>
      </c>
      <c r="M138" s="19" t="str">
        <f t="shared" si="45"/>
        <v/>
      </c>
      <c r="N138" s="19" t="str">
        <f t="shared" si="46"/>
        <v/>
      </c>
      <c r="O138" s="19" t="str">
        <f t="shared" si="41"/>
        <v/>
      </c>
      <c r="P138" s="19" t="str">
        <f t="shared" si="42"/>
        <v/>
      </c>
      <c r="Q138" s="19" t="str">
        <f t="shared" si="43"/>
        <v/>
      </c>
      <c r="R138" s="19" t="str">
        <f t="shared" si="53"/>
        <v/>
      </c>
      <c r="S138" s="27" t="str">
        <f t="shared" si="47"/>
        <v/>
      </c>
      <c r="T138" s="28" t="str">
        <f t="shared" si="48"/>
        <v/>
      </c>
      <c r="U138" s="28" t="str">
        <f t="shared" si="49"/>
        <v/>
      </c>
      <c r="V138" s="28" t="str">
        <f t="shared" si="50"/>
        <v/>
      </c>
      <c r="W138" s="28" t="str">
        <f t="shared" si="51"/>
        <v/>
      </c>
      <c r="X138" s="29" t="str">
        <f t="shared" si="5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4"/>
        <v/>
      </c>
      <c r="M139" s="19" t="str">
        <f t="shared" si="45"/>
        <v/>
      </c>
      <c r="N139" s="19" t="str">
        <f t="shared" si="46"/>
        <v/>
      </c>
      <c r="O139" s="19" t="str">
        <f t="shared" si="41"/>
        <v/>
      </c>
      <c r="P139" s="19" t="str">
        <f t="shared" si="42"/>
        <v/>
      </c>
      <c r="Q139" s="19" t="str">
        <f t="shared" si="43"/>
        <v/>
      </c>
      <c r="R139" s="19" t="str">
        <f t="shared" si="53"/>
        <v/>
      </c>
      <c r="S139" s="27" t="str">
        <f t="shared" si="47"/>
        <v/>
      </c>
      <c r="T139" s="28" t="str">
        <f t="shared" si="48"/>
        <v/>
      </c>
      <c r="U139" s="28" t="str">
        <f t="shared" si="49"/>
        <v/>
      </c>
      <c r="V139" s="28" t="str">
        <f t="shared" si="50"/>
        <v/>
      </c>
      <c r="W139" s="28" t="str">
        <f t="shared" si="51"/>
        <v/>
      </c>
      <c r="X139" s="29" t="str">
        <f t="shared" si="5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4"/>
        <v/>
      </c>
      <c r="M140" s="19" t="str">
        <f t="shared" si="45"/>
        <v/>
      </c>
      <c r="N140" s="19" t="str">
        <f t="shared" si="46"/>
        <v/>
      </c>
      <c r="O140" s="19" t="str">
        <f t="shared" si="41"/>
        <v/>
      </c>
      <c r="P140" s="19" t="str">
        <f t="shared" si="42"/>
        <v/>
      </c>
      <c r="Q140" s="19" t="str">
        <f t="shared" si="43"/>
        <v/>
      </c>
      <c r="R140" s="19" t="str">
        <f t="shared" si="53"/>
        <v/>
      </c>
      <c r="S140" s="27" t="str">
        <f t="shared" si="47"/>
        <v/>
      </c>
      <c r="T140" s="28" t="str">
        <f t="shared" si="48"/>
        <v/>
      </c>
      <c r="U140" s="28" t="str">
        <f t="shared" si="49"/>
        <v/>
      </c>
      <c r="V140" s="28" t="str">
        <f t="shared" si="50"/>
        <v/>
      </c>
      <c r="W140" s="28" t="str">
        <f t="shared" si="51"/>
        <v/>
      </c>
      <c r="X140" s="29" t="str">
        <f t="shared" si="5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4"/>
        <v/>
      </c>
      <c r="M141" s="19" t="str">
        <f t="shared" si="45"/>
        <v/>
      </c>
      <c r="N141" s="19" t="str">
        <f t="shared" si="46"/>
        <v/>
      </c>
      <c r="O141" s="19" t="str">
        <f t="shared" si="41"/>
        <v/>
      </c>
      <c r="P141" s="19" t="str">
        <f t="shared" si="42"/>
        <v/>
      </c>
      <c r="Q141" s="19" t="str">
        <f t="shared" si="43"/>
        <v/>
      </c>
      <c r="R141" s="19" t="str">
        <f t="shared" si="53"/>
        <v/>
      </c>
      <c r="S141" s="27" t="str">
        <f t="shared" si="47"/>
        <v/>
      </c>
      <c r="T141" s="28" t="str">
        <f t="shared" si="48"/>
        <v/>
      </c>
      <c r="U141" s="28" t="str">
        <f t="shared" si="49"/>
        <v/>
      </c>
      <c r="V141" s="28" t="str">
        <f t="shared" si="50"/>
        <v/>
      </c>
      <c r="W141" s="28" t="str">
        <f t="shared" si="51"/>
        <v/>
      </c>
      <c r="X141" s="29" t="str">
        <f t="shared" si="5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4"/>
        <v/>
      </c>
      <c r="M142" s="19" t="str">
        <f t="shared" si="45"/>
        <v/>
      </c>
      <c r="N142" s="19" t="str">
        <f t="shared" si="46"/>
        <v/>
      </c>
      <c r="O142" s="19" t="str">
        <f t="shared" si="41"/>
        <v/>
      </c>
      <c r="P142" s="19" t="str">
        <f t="shared" si="42"/>
        <v/>
      </c>
      <c r="Q142" s="19" t="str">
        <f t="shared" si="43"/>
        <v/>
      </c>
      <c r="R142" s="19" t="str">
        <f t="shared" si="53"/>
        <v/>
      </c>
      <c r="S142" s="27" t="str">
        <f t="shared" si="47"/>
        <v/>
      </c>
      <c r="T142" s="28" t="str">
        <f t="shared" si="48"/>
        <v/>
      </c>
      <c r="U142" s="28" t="str">
        <f t="shared" si="49"/>
        <v/>
      </c>
      <c r="V142" s="28" t="str">
        <f t="shared" si="50"/>
        <v/>
      </c>
      <c r="W142" s="28" t="str">
        <f t="shared" si="51"/>
        <v/>
      </c>
      <c r="X142" s="29" t="str">
        <f t="shared" si="5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4"/>
        <v/>
      </c>
      <c r="M143" s="19" t="str">
        <f t="shared" si="45"/>
        <v/>
      </c>
      <c r="N143" s="19" t="str">
        <f t="shared" si="46"/>
        <v/>
      </c>
      <c r="O143" s="19" t="str">
        <f t="shared" si="41"/>
        <v/>
      </c>
      <c r="P143" s="19" t="str">
        <f t="shared" si="42"/>
        <v/>
      </c>
      <c r="Q143" s="19" t="str">
        <f t="shared" si="43"/>
        <v/>
      </c>
      <c r="R143" s="19" t="str">
        <f t="shared" si="53"/>
        <v/>
      </c>
      <c r="S143" s="27" t="str">
        <f t="shared" si="47"/>
        <v/>
      </c>
      <c r="T143" s="28" t="str">
        <f t="shared" si="48"/>
        <v/>
      </c>
      <c r="U143" s="28" t="str">
        <f t="shared" si="49"/>
        <v/>
      </c>
      <c r="V143" s="28" t="str">
        <f t="shared" si="50"/>
        <v/>
      </c>
      <c r="W143" s="28" t="str">
        <f t="shared" si="51"/>
        <v/>
      </c>
      <c r="X143" s="29" t="str">
        <f t="shared" si="5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4">IF(ISBLANK(C144),"",(C144-C$16)*1000)</f>
        <v/>
      </c>
      <c r="M144" s="19" t="str">
        <f t="shared" ref="M144:M153" si="55">IF(ISBLANK(D144),"",(D144-D$16)*1000)</f>
        <v/>
      </c>
      <c r="N144" s="19" t="str">
        <f t="shared" ref="N144:N153" si="56">IF(ISBLANK(E144),"",(E144-E$16)*1000)</f>
        <v/>
      </c>
      <c r="O144" s="19" t="str">
        <f t="shared" si="41"/>
        <v/>
      </c>
      <c r="P144" s="19" t="str">
        <f t="shared" si="42"/>
        <v/>
      </c>
      <c r="Q144" s="19" t="str">
        <f t="shared" si="43"/>
        <v/>
      </c>
      <c r="R144" s="19" t="str">
        <f t="shared" si="53"/>
        <v/>
      </c>
      <c r="S144" s="27" t="str">
        <f t="shared" si="47"/>
        <v/>
      </c>
      <c r="T144" s="28" t="str">
        <f t="shared" si="48"/>
        <v/>
      </c>
      <c r="U144" s="28" t="str">
        <f t="shared" si="49"/>
        <v/>
      </c>
      <c r="V144" s="28" t="str">
        <f t="shared" si="50"/>
        <v/>
      </c>
      <c r="W144" s="28" t="str">
        <f t="shared" si="51"/>
        <v/>
      </c>
      <c r="X144" s="29" t="str">
        <f t="shared" si="5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4"/>
        <v/>
      </c>
      <c r="M145" s="19" t="str">
        <f t="shared" si="55"/>
        <v/>
      </c>
      <c r="N145" s="19" t="str">
        <f t="shared" si="56"/>
        <v/>
      </c>
      <c r="O145" s="19" t="str">
        <f t="shared" si="41"/>
        <v/>
      </c>
      <c r="P145" s="19" t="str">
        <f t="shared" si="42"/>
        <v/>
      </c>
      <c r="Q145" s="19" t="str">
        <f t="shared" si="43"/>
        <v/>
      </c>
      <c r="R145" s="19" t="str">
        <f t="shared" si="53"/>
        <v/>
      </c>
      <c r="S145" s="27" t="str">
        <f t="shared" ref="S145:S153" si="57">IF(C145="","",((C145-C144)*1000)/($B145-$B144))</f>
        <v/>
      </c>
      <c r="T145" s="28" t="str">
        <f t="shared" ref="T145:T153" si="58">IF(D145="","",((D145-D144)*1000)/($B145-$B144))</f>
        <v/>
      </c>
      <c r="U145" s="28" t="str">
        <f t="shared" ref="U145:U153" si="59">IF(E145="","",((E145-E144)*1000)/($B145-$B144))</f>
        <v/>
      </c>
      <c r="V145" s="28" t="str">
        <f t="shared" ref="V145:V153" si="60">IF(F145="","",((F145-F144)*1000)/($B145-$B144))</f>
        <v/>
      </c>
      <c r="W145" s="28" t="str">
        <f t="shared" ref="W145:W153" si="61">IF(G145="","",((G145-G144)*1000)/($B145-$B144))</f>
        <v/>
      </c>
      <c r="X145" s="29" t="str">
        <f t="shared" ref="X145:X153" si="62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4"/>
        <v/>
      </c>
      <c r="M146" s="19" t="str">
        <f t="shared" si="55"/>
        <v/>
      </c>
      <c r="N146" s="19" t="str">
        <f t="shared" si="56"/>
        <v/>
      </c>
      <c r="O146" s="19" t="str">
        <f t="shared" si="41"/>
        <v/>
      </c>
      <c r="P146" s="19" t="str">
        <f t="shared" si="42"/>
        <v/>
      </c>
      <c r="Q146" s="19" t="str">
        <f t="shared" si="43"/>
        <v/>
      </c>
      <c r="R146" s="19" t="str">
        <f t="shared" si="53"/>
        <v/>
      </c>
      <c r="S146" s="27" t="str">
        <f t="shared" si="57"/>
        <v/>
      </c>
      <c r="T146" s="28" t="str">
        <f t="shared" si="58"/>
        <v/>
      </c>
      <c r="U146" s="28" t="str">
        <f t="shared" si="59"/>
        <v/>
      </c>
      <c r="V146" s="28" t="str">
        <f t="shared" si="60"/>
        <v/>
      </c>
      <c r="W146" s="28" t="str">
        <f t="shared" si="61"/>
        <v/>
      </c>
      <c r="X146" s="29" t="str">
        <f t="shared" si="6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4"/>
        <v/>
      </c>
      <c r="M147" s="19" t="str">
        <f t="shared" si="55"/>
        <v/>
      </c>
      <c r="N147" s="19" t="str">
        <f t="shared" si="56"/>
        <v/>
      </c>
      <c r="O147" s="19" t="str">
        <f t="shared" si="41"/>
        <v/>
      </c>
      <c r="P147" s="19" t="str">
        <f t="shared" si="42"/>
        <v/>
      </c>
      <c r="Q147" s="19" t="str">
        <f t="shared" si="43"/>
        <v/>
      </c>
      <c r="R147" s="19" t="str">
        <f t="shared" si="53"/>
        <v/>
      </c>
      <c r="S147" s="27" t="str">
        <f t="shared" si="57"/>
        <v/>
      </c>
      <c r="T147" s="28" t="str">
        <f t="shared" si="58"/>
        <v/>
      </c>
      <c r="U147" s="28" t="str">
        <f t="shared" si="59"/>
        <v/>
      </c>
      <c r="V147" s="28" t="str">
        <f t="shared" si="60"/>
        <v/>
      </c>
      <c r="W147" s="28" t="str">
        <f t="shared" si="61"/>
        <v/>
      </c>
      <c r="X147" s="29" t="str">
        <f t="shared" si="6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4"/>
        <v/>
      </c>
      <c r="M148" s="19" t="str">
        <f t="shared" si="55"/>
        <v/>
      </c>
      <c r="N148" s="19" t="str">
        <f t="shared" si="56"/>
        <v/>
      </c>
      <c r="O148" s="19" t="str">
        <f t="shared" si="41"/>
        <v/>
      </c>
      <c r="P148" s="19" t="str">
        <f t="shared" si="42"/>
        <v/>
      </c>
      <c r="Q148" s="19" t="str">
        <f t="shared" si="43"/>
        <v/>
      </c>
      <c r="R148" s="19" t="str">
        <f t="shared" si="53"/>
        <v/>
      </c>
      <c r="S148" s="27" t="str">
        <f t="shared" si="57"/>
        <v/>
      </c>
      <c r="T148" s="28" t="str">
        <f t="shared" si="58"/>
        <v/>
      </c>
      <c r="U148" s="28" t="str">
        <f t="shared" si="59"/>
        <v/>
      </c>
      <c r="V148" s="28" t="str">
        <f t="shared" si="60"/>
        <v/>
      </c>
      <c r="W148" s="28" t="str">
        <f t="shared" si="61"/>
        <v/>
      </c>
      <c r="X148" s="29" t="str">
        <f t="shared" si="6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4"/>
        <v/>
      </c>
      <c r="M149" s="19" t="str">
        <f t="shared" si="55"/>
        <v/>
      </c>
      <c r="N149" s="19" t="str">
        <f t="shared" si="56"/>
        <v/>
      </c>
      <c r="O149" s="19" t="str">
        <f t="shared" si="41"/>
        <v/>
      </c>
      <c r="P149" s="19" t="str">
        <f t="shared" si="42"/>
        <v/>
      </c>
      <c r="Q149" s="19" t="str">
        <f t="shared" si="43"/>
        <v/>
      </c>
      <c r="R149" s="19" t="str">
        <f t="shared" si="53"/>
        <v/>
      </c>
      <c r="S149" s="27" t="str">
        <f t="shared" si="57"/>
        <v/>
      </c>
      <c r="T149" s="28" t="str">
        <f t="shared" si="58"/>
        <v/>
      </c>
      <c r="U149" s="28" t="str">
        <f t="shared" si="59"/>
        <v/>
      </c>
      <c r="V149" s="28" t="str">
        <f t="shared" si="60"/>
        <v/>
      </c>
      <c r="W149" s="28" t="str">
        <f t="shared" si="61"/>
        <v/>
      </c>
      <c r="X149" s="29" t="str">
        <f t="shared" si="6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4"/>
        <v/>
      </c>
      <c r="M150" s="19" t="str">
        <f t="shared" si="55"/>
        <v/>
      </c>
      <c r="N150" s="19" t="str">
        <f t="shared" si="56"/>
        <v/>
      </c>
      <c r="O150" s="19" t="str">
        <f t="shared" si="41"/>
        <v/>
      </c>
      <c r="P150" s="19" t="str">
        <f t="shared" si="42"/>
        <v/>
      </c>
      <c r="Q150" s="19" t="str">
        <f t="shared" si="43"/>
        <v/>
      </c>
      <c r="R150" s="19" t="str">
        <f t="shared" si="53"/>
        <v/>
      </c>
      <c r="S150" s="27" t="str">
        <f t="shared" si="57"/>
        <v/>
      </c>
      <c r="T150" s="28" t="str">
        <f t="shared" si="58"/>
        <v/>
      </c>
      <c r="U150" s="28" t="str">
        <f t="shared" si="59"/>
        <v/>
      </c>
      <c r="V150" s="28" t="str">
        <f t="shared" si="60"/>
        <v/>
      </c>
      <c r="W150" s="28" t="str">
        <f t="shared" si="61"/>
        <v/>
      </c>
      <c r="X150" s="29" t="str">
        <f t="shared" si="6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4"/>
        <v/>
      </c>
      <c r="M151" s="19" t="str">
        <f t="shared" si="55"/>
        <v/>
      </c>
      <c r="N151" s="19" t="str">
        <f t="shared" si="56"/>
        <v/>
      </c>
      <c r="O151" s="19" t="str">
        <f t="shared" si="41"/>
        <v/>
      </c>
      <c r="P151" s="19" t="str">
        <f t="shared" si="42"/>
        <v/>
      </c>
      <c r="Q151" s="19" t="str">
        <f t="shared" si="43"/>
        <v/>
      </c>
      <c r="R151" s="19" t="str">
        <f t="shared" si="53"/>
        <v/>
      </c>
      <c r="S151" s="27" t="str">
        <f t="shared" si="57"/>
        <v/>
      </c>
      <c r="T151" s="28" t="str">
        <f t="shared" si="58"/>
        <v/>
      </c>
      <c r="U151" s="28" t="str">
        <f t="shared" si="59"/>
        <v/>
      </c>
      <c r="V151" s="28" t="str">
        <f t="shared" si="60"/>
        <v/>
      </c>
      <c r="W151" s="28" t="str">
        <f t="shared" si="61"/>
        <v/>
      </c>
      <c r="X151" s="29" t="str">
        <f t="shared" si="6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4"/>
        <v/>
      </c>
      <c r="M152" s="19" t="str">
        <f t="shared" si="55"/>
        <v/>
      </c>
      <c r="N152" s="19" t="str">
        <f t="shared" si="56"/>
        <v/>
      </c>
      <c r="O152" s="19" t="str">
        <f t="shared" si="41"/>
        <v/>
      </c>
      <c r="P152" s="19" t="str">
        <f t="shared" si="42"/>
        <v/>
      </c>
      <c r="Q152" s="19" t="str">
        <f t="shared" si="43"/>
        <v/>
      </c>
      <c r="R152" s="19" t="str">
        <f t="shared" si="53"/>
        <v/>
      </c>
      <c r="S152" s="27" t="str">
        <f t="shared" si="57"/>
        <v/>
      </c>
      <c r="T152" s="28" t="str">
        <f t="shared" si="58"/>
        <v/>
      </c>
      <c r="U152" s="28" t="str">
        <f t="shared" si="59"/>
        <v/>
      </c>
      <c r="V152" s="28" t="str">
        <f t="shared" si="60"/>
        <v/>
      </c>
      <c r="W152" s="28" t="str">
        <f t="shared" si="61"/>
        <v/>
      </c>
      <c r="X152" s="29" t="str">
        <f t="shared" si="6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4"/>
        <v/>
      </c>
      <c r="M153" s="19" t="str">
        <f t="shared" si="55"/>
        <v/>
      </c>
      <c r="N153" s="19" t="str">
        <f t="shared" si="56"/>
        <v/>
      </c>
      <c r="O153" s="19" t="str">
        <f t="shared" si="41"/>
        <v/>
      </c>
      <c r="P153" s="19" t="str">
        <f t="shared" si="42"/>
        <v/>
      </c>
      <c r="Q153" s="19" t="str">
        <f t="shared" si="43"/>
        <v/>
      </c>
      <c r="R153" s="19" t="str">
        <f t="shared" si="53"/>
        <v/>
      </c>
      <c r="S153" s="27" t="str">
        <f t="shared" si="57"/>
        <v/>
      </c>
      <c r="T153" s="28" t="str">
        <f t="shared" si="58"/>
        <v/>
      </c>
      <c r="U153" s="28" t="str">
        <f t="shared" si="59"/>
        <v/>
      </c>
      <c r="V153" s="28" t="str">
        <f t="shared" si="60"/>
        <v/>
      </c>
      <c r="W153" s="28" t="str">
        <f t="shared" si="61"/>
        <v/>
      </c>
      <c r="X153" s="29" t="str">
        <f t="shared" si="62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AA9:AI9"/>
    <mergeCell ref="B5:D8"/>
    <mergeCell ref="E5:I5"/>
    <mergeCell ref="J5:Q5"/>
    <mergeCell ref="R5:V5"/>
    <mergeCell ref="W5:Y5"/>
    <mergeCell ref="R7:V7"/>
    <mergeCell ref="W7:Y7"/>
    <mergeCell ref="E8:I8"/>
    <mergeCell ref="J8:Q8"/>
    <mergeCell ref="B9:O9"/>
    <mergeCell ref="P9:Y9"/>
    <mergeCell ref="R6:V6"/>
    <mergeCell ref="W6:Y6"/>
    <mergeCell ref="E7:I7"/>
    <mergeCell ref="J7:Q7"/>
    <mergeCell ref="B13:B15"/>
    <mergeCell ref="R8:V8"/>
    <mergeCell ref="W8:Y8"/>
    <mergeCell ref="E6:I6"/>
    <mergeCell ref="J6:Q6"/>
    <mergeCell ref="J14:K14"/>
    <mergeCell ref="C13:K13"/>
    <mergeCell ref="L13:R14"/>
    <mergeCell ref="S13:X14"/>
    <mergeCell ref="B10:J12"/>
    <mergeCell ref="K10:S12"/>
    <mergeCell ref="T10:Y12"/>
    <mergeCell ref="Y13:Y15"/>
    <mergeCell ref="C14:E14"/>
    <mergeCell ref="F14:H14"/>
    <mergeCell ref="I14:I1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0">
    <pageSetUpPr fitToPage="1"/>
  </sheetPr>
  <dimension ref="A1:AI153"/>
  <sheetViews>
    <sheetView showGridLines="0" zoomScale="75" zoomScaleNormal="75" zoomScaleSheetLayoutView="40" workbookViewId="0">
      <pane ySplit="8" topLeftCell="A6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TZ-8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5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41626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>
        <v>50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41626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35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40">
        <f>J8-258</f>
        <v>70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328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41628</v>
      </c>
      <c r="C16" s="35">
        <v>12.678000000000001</v>
      </c>
      <c r="D16" s="36">
        <v>7.5579999999999998</v>
      </c>
      <c r="E16" s="36">
        <v>8.1150000000000002</v>
      </c>
      <c r="F16" s="37"/>
      <c r="G16" s="37"/>
      <c r="H16" s="37"/>
      <c r="I16" s="41">
        <v>101.315</v>
      </c>
      <c r="J16" s="39">
        <v>329</v>
      </c>
      <c r="K16" s="18">
        <f t="shared" ref="K16:K26" si="0">IF(ISBLANK(J16),"",(J16-$J$8))</f>
        <v>1</v>
      </c>
      <c r="L16" s="19">
        <f t="shared" ref="L16:L47" si="1">IF(ISBLANK(C16),"",(C16-C$16)*1000)</f>
        <v>0</v>
      </c>
      <c r="M16" s="19">
        <f t="shared" ref="M16:M27" si="2">IF(ISBLANK(D16),"",(D16-D$16)*1000)</f>
        <v>0</v>
      </c>
      <c r="N16" s="19">
        <f t="shared" ref="N16:N27" si="3">IF(ISBLANK(E16),"",(E16-E$16)*1000)</f>
        <v>0</v>
      </c>
      <c r="O16" s="20"/>
      <c r="P16" s="20"/>
      <c r="Q16" s="20"/>
      <c r="R16" s="21">
        <f t="shared" ref="R16:R2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41635</v>
      </c>
      <c r="C17" s="25">
        <v>12.675000000000001</v>
      </c>
      <c r="D17" s="26">
        <v>7.56</v>
      </c>
      <c r="E17" s="26">
        <v>8.1129999999999995</v>
      </c>
      <c r="F17" s="16"/>
      <c r="G17" s="16"/>
      <c r="H17" s="16"/>
      <c r="I17" s="44">
        <v>101.312</v>
      </c>
      <c r="J17" s="32">
        <v>332</v>
      </c>
      <c r="K17" s="18">
        <f t="shared" si="0"/>
        <v>4</v>
      </c>
      <c r="L17" s="19">
        <f t="shared" si="1"/>
        <v>-3.0000000000001137</v>
      </c>
      <c r="M17" s="19">
        <f t="shared" si="2"/>
        <v>1.9999999999997797</v>
      </c>
      <c r="N17" s="19">
        <f t="shared" si="3"/>
        <v>-2.0000000000006679</v>
      </c>
      <c r="O17" s="19" t="str">
        <f t="shared" ref="O17:O48" si="5">IF(ISBLANK(F17),"",(F17-F$16)*1000)</f>
        <v/>
      </c>
      <c r="P17" s="19" t="str">
        <f t="shared" ref="P17:P48" si="6">IF(ISBLANK(G17),"",(G17-G$16)*1000)</f>
        <v/>
      </c>
      <c r="Q17" s="19" t="str">
        <f t="shared" ref="Q17:Q48" si="7">IF(ISBLANK(H17),"",(H17-H$16)*1000)</f>
        <v/>
      </c>
      <c r="R17" s="19">
        <f t="shared" si="4"/>
        <v>-3.0000000000001137</v>
      </c>
      <c r="S17" s="27">
        <f t="shared" ref="S17:S48" si="8">IF(C17="","",((C17-C16)*1000)/($B17-$B16))</f>
        <v>-0.42857142857144481</v>
      </c>
      <c r="T17" s="28">
        <f t="shared" ref="T17:T48" si="9">IF(D17="","",((D17-D16)*1000)/($B17-$B16))</f>
        <v>0.28571428571425422</v>
      </c>
      <c r="U17" s="28">
        <f t="shared" ref="U17:U48" si="10">IF(E17="","",((E17-E16)*1000)/($B17-$B16))</f>
        <v>-0.28571428571438112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41641</v>
      </c>
      <c r="C18" s="25">
        <v>12.673</v>
      </c>
      <c r="D18" s="26">
        <v>7.5590000000000002</v>
      </c>
      <c r="E18" s="26">
        <v>8.1129999999999995</v>
      </c>
      <c r="F18" s="16"/>
      <c r="G18" s="16"/>
      <c r="H18" s="16"/>
      <c r="I18" s="44">
        <v>101.312</v>
      </c>
      <c r="J18" s="32">
        <v>332</v>
      </c>
      <c r="K18" s="18">
        <f t="shared" si="0"/>
        <v>4</v>
      </c>
      <c r="L18" s="19">
        <f t="shared" si="1"/>
        <v>-5.0000000000007816</v>
      </c>
      <c r="M18" s="19">
        <f t="shared" si="2"/>
        <v>1.000000000000334</v>
      </c>
      <c r="N18" s="19">
        <f t="shared" si="3"/>
        <v>-2.0000000000006679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-3.0000000000001137</v>
      </c>
      <c r="S18" s="27">
        <f t="shared" si="8"/>
        <v>-0.33333333333344467</v>
      </c>
      <c r="T18" s="28">
        <f t="shared" si="9"/>
        <v>-0.16666666666657429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41646</v>
      </c>
      <c r="C19" s="25">
        <v>12.673</v>
      </c>
      <c r="D19" s="26">
        <v>7.5590000000000002</v>
      </c>
      <c r="E19" s="26">
        <v>8.1129999999999995</v>
      </c>
      <c r="F19" s="16"/>
      <c r="G19" s="16"/>
      <c r="H19" s="16"/>
      <c r="I19" s="44">
        <v>101.312</v>
      </c>
      <c r="J19" s="32">
        <v>332</v>
      </c>
      <c r="K19" s="18">
        <f t="shared" si="0"/>
        <v>4</v>
      </c>
      <c r="L19" s="19">
        <f t="shared" si="1"/>
        <v>-5.0000000000007816</v>
      </c>
      <c r="M19" s="19">
        <f t="shared" si="2"/>
        <v>1.000000000000334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-3.0000000000001137</v>
      </c>
      <c r="S19" s="27">
        <f t="shared" si="8"/>
        <v>0</v>
      </c>
      <c r="T19" s="28">
        <f t="shared" si="9"/>
        <v>0</v>
      </c>
      <c r="U19" s="28">
        <f t="shared" si="10"/>
        <v>0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41647</v>
      </c>
      <c r="C20" s="25">
        <v>12.67</v>
      </c>
      <c r="D20" s="26">
        <v>7.5570000000000004</v>
      </c>
      <c r="E20" s="26">
        <v>8.1129999999999995</v>
      </c>
      <c r="F20" s="16"/>
      <c r="G20" s="16"/>
      <c r="H20" s="16"/>
      <c r="I20" s="44">
        <v>101.312</v>
      </c>
      <c r="J20" s="32">
        <v>336</v>
      </c>
      <c r="K20" s="18">
        <f t="shared" si="0"/>
        <v>8</v>
      </c>
      <c r="L20" s="19">
        <f t="shared" si="1"/>
        <v>-8.0000000000008953</v>
      </c>
      <c r="M20" s="19">
        <f t="shared" si="2"/>
        <v>-0.99999999999944578</v>
      </c>
      <c r="N20" s="19">
        <f t="shared" si="3"/>
        <v>-2.0000000000006679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-3.0000000000001137</v>
      </c>
      <c r="S20" s="27">
        <f t="shared" si="8"/>
        <v>-3.0000000000001137</v>
      </c>
      <c r="T20" s="28">
        <f t="shared" si="9"/>
        <v>-1.9999999999997797</v>
      </c>
      <c r="U20" s="28">
        <f t="shared" si="10"/>
        <v>0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41648</v>
      </c>
      <c r="C21" s="25">
        <v>12.669</v>
      </c>
      <c r="D21" s="26">
        <v>7.5579999999999998</v>
      </c>
      <c r="E21" s="26">
        <v>8.1129999999999995</v>
      </c>
      <c r="F21" s="16"/>
      <c r="G21" s="16"/>
      <c r="H21" s="16"/>
      <c r="I21" s="44">
        <v>101.31100000000001</v>
      </c>
      <c r="J21" s="32">
        <v>340</v>
      </c>
      <c r="K21" s="18">
        <f t="shared" si="0"/>
        <v>12</v>
      </c>
      <c r="L21" s="19">
        <f t="shared" si="1"/>
        <v>-9.0000000000003411</v>
      </c>
      <c r="M21" s="19">
        <f t="shared" si="2"/>
        <v>0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-3.9999999999906777</v>
      </c>
      <c r="S21" s="27">
        <f t="shared" si="8"/>
        <v>-0.99999999999944578</v>
      </c>
      <c r="T21" s="28">
        <f t="shared" si="9"/>
        <v>0.99999999999944578</v>
      </c>
      <c r="U21" s="28">
        <f t="shared" si="10"/>
        <v>0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41649</v>
      </c>
      <c r="C22" s="25">
        <v>12.667999999999999</v>
      </c>
      <c r="D22" s="26">
        <v>7.5579999999999998</v>
      </c>
      <c r="E22" s="26">
        <v>8.1129999999999995</v>
      </c>
      <c r="F22" s="16"/>
      <c r="G22" s="16"/>
      <c r="H22" s="16"/>
      <c r="I22" s="44">
        <v>101.31100000000001</v>
      </c>
      <c r="J22" s="32">
        <v>348</v>
      </c>
      <c r="K22" s="18">
        <f t="shared" si="0"/>
        <v>20</v>
      </c>
      <c r="L22" s="19">
        <f t="shared" si="1"/>
        <v>-10.000000000001563</v>
      </c>
      <c r="M22" s="19">
        <f t="shared" si="2"/>
        <v>0</v>
      </c>
      <c r="N22" s="19">
        <f t="shared" si="3"/>
        <v>-2.0000000000006679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-1.0000000000012221</v>
      </c>
      <c r="T22" s="28">
        <f t="shared" si="9"/>
        <v>0</v>
      </c>
      <c r="U22" s="28">
        <f t="shared" si="10"/>
        <v>0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41652</v>
      </c>
      <c r="C23" s="25">
        <v>12.667</v>
      </c>
      <c r="D23" s="26">
        <v>7.5570000000000004</v>
      </c>
      <c r="E23" s="26">
        <v>8.1129999999999995</v>
      </c>
      <c r="F23" s="16"/>
      <c r="G23" s="16"/>
      <c r="H23" s="16"/>
      <c r="I23" s="44">
        <v>101.31</v>
      </c>
      <c r="J23" s="32">
        <v>353</v>
      </c>
      <c r="K23" s="18">
        <f t="shared" si="0"/>
        <v>25</v>
      </c>
      <c r="L23" s="19">
        <f t="shared" si="1"/>
        <v>-11.000000000001009</v>
      </c>
      <c r="M23" s="19">
        <f t="shared" si="2"/>
        <v>-0.99999999999944578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-4.9999999999954525</v>
      </c>
      <c r="S23" s="27">
        <f t="shared" si="8"/>
        <v>-0.33333333333314857</v>
      </c>
      <c r="T23" s="28">
        <f t="shared" si="9"/>
        <v>-0.33333333333314857</v>
      </c>
      <c r="U23" s="28">
        <f t="shared" si="10"/>
        <v>0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41653</v>
      </c>
      <c r="C24" s="25">
        <v>12.664999999999999</v>
      </c>
      <c r="D24" s="26">
        <v>7.5570000000000004</v>
      </c>
      <c r="E24" s="26">
        <v>8.1120000000000001</v>
      </c>
      <c r="F24" s="16"/>
      <c r="G24" s="16"/>
      <c r="H24" s="16"/>
      <c r="I24" s="44">
        <v>101.309</v>
      </c>
      <c r="J24" s="32">
        <v>359.5</v>
      </c>
      <c r="K24" s="18">
        <f t="shared" si="0"/>
        <v>31.5</v>
      </c>
      <c r="L24" s="19">
        <f t="shared" si="1"/>
        <v>-13.000000000001677</v>
      </c>
      <c r="M24" s="19">
        <f t="shared" si="2"/>
        <v>-0.99999999999944578</v>
      </c>
      <c r="N24" s="19">
        <f t="shared" si="3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-6.0000000000002274</v>
      </c>
      <c r="S24" s="27">
        <f t="shared" si="8"/>
        <v>-2.0000000000006679</v>
      </c>
      <c r="T24" s="28">
        <f t="shared" si="9"/>
        <v>0</v>
      </c>
      <c r="U24" s="28">
        <f t="shared" si="10"/>
        <v>-0.99999999999944578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41654</v>
      </c>
      <c r="C25" s="25">
        <v>12.666</v>
      </c>
      <c r="D25" s="26">
        <v>7.5570000000000004</v>
      </c>
      <c r="E25" s="26">
        <v>8.1129999999999995</v>
      </c>
      <c r="F25" s="16"/>
      <c r="G25" s="16"/>
      <c r="H25" s="16"/>
      <c r="I25" s="44">
        <v>101.309</v>
      </c>
      <c r="J25" s="32">
        <v>366</v>
      </c>
      <c r="K25" s="18">
        <f t="shared" si="0"/>
        <v>38</v>
      </c>
      <c r="L25" s="19">
        <f t="shared" si="1"/>
        <v>-12.000000000000455</v>
      </c>
      <c r="M25" s="19">
        <f t="shared" si="2"/>
        <v>-0.99999999999944578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-6.0000000000002274</v>
      </c>
      <c r="S25" s="27">
        <f t="shared" si="8"/>
        <v>1.0000000000012221</v>
      </c>
      <c r="T25" s="28">
        <f t="shared" si="9"/>
        <v>0</v>
      </c>
      <c r="U25" s="28">
        <f t="shared" si="10"/>
        <v>0.99999999999944578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41655</v>
      </c>
      <c r="C26" s="25">
        <v>12.664999999999999</v>
      </c>
      <c r="D26" s="26">
        <v>7.5570000000000004</v>
      </c>
      <c r="E26" s="26">
        <v>8.1120000000000001</v>
      </c>
      <c r="F26" s="16"/>
      <c r="G26" s="16"/>
      <c r="H26" s="16"/>
      <c r="I26" s="44">
        <v>101.31</v>
      </c>
      <c r="J26" s="32">
        <v>373</v>
      </c>
      <c r="K26" s="18">
        <f t="shared" si="0"/>
        <v>45</v>
      </c>
      <c r="L26" s="19">
        <f t="shared" si="1"/>
        <v>-13.000000000001677</v>
      </c>
      <c r="M26" s="19">
        <f t="shared" si="2"/>
        <v>-0.99999999999944578</v>
      </c>
      <c r="N26" s="19">
        <f t="shared" si="3"/>
        <v>-3.0000000000001137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-4.9999999999954525</v>
      </c>
      <c r="S26" s="27">
        <f t="shared" si="8"/>
        <v>-1.0000000000012221</v>
      </c>
      <c r="T26" s="28">
        <f t="shared" si="9"/>
        <v>0</v>
      </c>
      <c r="U26" s="28">
        <f t="shared" si="10"/>
        <v>-0.99999999999944578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41656</v>
      </c>
      <c r="C27" s="25">
        <v>12.664</v>
      </c>
      <c r="D27" s="26">
        <v>7.5570000000000004</v>
      </c>
      <c r="E27" s="26">
        <v>8.1129999999999995</v>
      </c>
      <c r="F27" s="16"/>
      <c r="G27" s="16"/>
      <c r="H27" s="16"/>
      <c r="I27" s="44">
        <v>101.31100000000001</v>
      </c>
      <c r="J27" s="32">
        <v>376</v>
      </c>
      <c r="K27" s="18">
        <f t="shared" ref="K27:K42" si="14">IF(ISBLANK(J27),"",(J27-$J$8))</f>
        <v>48</v>
      </c>
      <c r="L27" s="19">
        <f t="shared" si="1"/>
        <v>-14.000000000001123</v>
      </c>
      <c r="M27" s="19">
        <f t="shared" si="2"/>
        <v>-0.99999999999944578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-3.9999999999906777</v>
      </c>
      <c r="S27" s="27">
        <f t="shared" si="8"/>
        <v>-0.99999999999944578</v>
      </c>
      <c r="T27" s="28">
        <f t="shared" si="9"/>
        <v>0</v>
      </c>
      <c r="U27" s="28">
        <f t="shared" si="10"/>
        <v>0.99999999999944578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41659</v>
      </c>
      <c r="C28" s="25">
        <v>12.664</v>
      </c>
      <c r="D28" s="45">
        <v>7.8239999999999998</v>
      </c>
      <c r="E28" s="45">
        <v>7.9320000000000004</v>
      </c>
      <c r="F28" s="16"/>
      <c r="G28" s="16"/>
      <c r="H28" s="16"/>
      <c r="I28" s="46">
        <v>101.354</v>
      </c>
      <c r="J28" s="32">
        <v>383</v>
      </c>
      <c r="K28" s="18">
        <f t="shared" si="14"/>
        <v>55</v>
      </c>
      <c r="L28" s="19">
        <f t="shared" si="1"/>
        <v>-14.000000000001123</v>
      </c>
      <c r="M28" s="19">
        <f>IF(ISBLANK(D28),"",((D28-D$28)*1000)+M$27)</f>
        <v>-0.99999999999944578</v>
      </c>
      <c r="N28" s="19">
        <f>IF(ISBLANK(E28),"",((E28-E$28)*1000)+N$27)</f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>IF(ISBLANK(I28),"",((I28-I$28)*1000)+R$27)</f>
        <v>-3.9999999999906777</v>
      </c>
      <c r="S28" s="27">
        <f t="shared" si="8"/>
        <v>0</v>
      </c>
      <c r="T28" s="28">
        <f t="shared" si="9"/>
        <v>88.999999999999815</v>
      </c>
      <c r="U28" s="28">
        <f t="shared" si="10"/>
        <v>-60.333333333333051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49" t="s">
        <v>36</v>
      </c>
    </row>
    <row r="29" spans="2:25" ht="15" customHeight="1" x14ac:dyDescent="0.2">
      <c r="B29" s="31">
        <v>41660</v>
      </c>
      <c r="C29" s="25">
        <v>12.666</v>
      </c>
      <c r="D29" s="26">
        <v>7.8230000000000004</v>
      </c>
      <c r="E29" s="26">
        <v>7.9340000000000002</v>
      </c>
      <c r="F29" s="47"/>
      <c r="G29" s="47"/>
      <c r="H29" s="47"/>
      <c r="I29" s="48">
        <v>101.354</v>
      </c>
      <c r="J29" s="32">
        <v>387</v>
      </c>
      <c r="K29" s="18">
        <f t="shared" si="14"/>
        <v>59</v>
      </c>
      <c r="L29" s="19">
        <f t="shared" si="1"/>
        <v>-12.000000000000455</v>
      </c>
      <c r="M29" s="19">
        <f t="shared" ref="M29:M92" si="15">IF(ISBLANK(D29),"",((D29-D$28)*1000)+M$27)</f>
        <v>-1.9999999999988916</v>
      </c>
      <c r="N29" s="19">
        <f t="shared" ref="N29:N92" si="16">IF(ISBLANK(E29),"",((E29-E$28)*1000)+N$27)</f>
        <v>-8.8817841970012523E-13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ref="R29:R92" si="17">IF(ISBLANK(I29),"",((I29-I$28)*1000)+R$27)</f>
        <v>-3.9999999999906777</v>
      </c>
      <c r="S29" s="27">
        <f t="shared" si="8"/>
        <v>2.0000000000006679</v>
      </c>
      <c r="T29" s="28">
        <f t="shared" si="9"/>
        <v>-0.99999999999944578</v>
      </c>
      <c r="U29" s="28">
        <f t="shared" si="10"/>
        <v>1.9999999999997797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41661</v>
      </c>
      <c r="C30" s="25">
        <v>12.663</v>
      </c>
      <c r="D30" s="26">
        <v>7.8220000000000001</v>
      </c>
      <c r="E30" s="26">
        <v>7.9320000000000004</v>
      </c>
      <c r="F30" s="47"/>
      <c r="G30" s="47"/>
      <c r="H30" s="47"/>
      <c r="I30" s="48">
        <v>101.35299999999999</v>
      </c>
      <c r="J30" s="32">
        <v>388.5</v>
      </c>
      <c r="K30" s="18">
        <f t="shared" si="14"/>
        <v>60.5</v>
      </c>
      <c r="L30" s="19">
        <f t="shared" si="1"/>
        <v>-15.000000000000568</v>
      </c>
      <c r="M30" s="19">
        <f t="shared" si="15"/>
        <v>-2.9999999999992255</v>
      </c>
      <c r="N30" s="19">
        <f t="shared" si="16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17"/>
        <v>-4.9999999999954525</v>
      </c>
      <c r="S30" s="27">
        <f t="shared" si="8"/>
        <v>-3.0000000000001137</v>
      </c>
      <c r="T30" s="28">
        <f t="shared" si="9"/>
        <v>-1.000000000000334</v>
      </c>
      <c r="U30" s="28">
        <f t="shared" si="10"/>
        <v>-1.9999999999997797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41662</v>
      </c>
      <c r="C31" s="25">
        <v>12.662000000000001</v>
      </c>
      <c r="D31" s="26">
        <v>7.8209999999999997</v>
      </c>
      <c r="E31" s="26">
        <v>7.9329999999999998</v>
      </c>
      <c r="F31" s="47"/>
      <c r="G31" s="47"/>
      <c r="H31" s="47"/>
      <c r="I31" s="48">
        <v>101.35299999999999</v>
      </c>
      <c r="J31" s="32">
        <v>392</v>
      </c>
      <c r="K31" s="18">
        <f t="shared" si="14"/>
        <v>64</v>
      </c>
      <c r="L31" s="19">
        <f t="shared" si="1"/>
        <v>-16.000000000000014</v>
      </c>
      <c r="M31" s="19">
        <f t="shared" si="15"/>
        <v>-3.9999999999995595</v>
      </c>
      <c r="N31" s="19">
        <f t="shared" si="16"/>
        <v>-1.0000000000012221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17"/>
        <v>-4.9999999999954525</v>
      </c>
      <c r="S31" s="27">
        <f t="shared" si="8"/>
        <v>-0.99999999999944578</v>
      </c>
      <c r="T31" s="28">
        <f t="shared" si="9"/>
        <v>-1.000000000000334</v>
      </c>
      <c r="U31" s="28">
        <f t="shared" si="10"/>
        <v>0.99999999999944578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41663</v>
      </c>
      <c r="C32" s="25">
        <v>12.662000000000001</v>
      </c>
      <c r="D32" s="26">
        <v>7.82</v>
      </c>
      <c r="E32" s="26">
        <v>7.9329999999999998</v>
      </c>
      <c r="F32" s="47"/>
      <c r="G32" s="47"/>
      <c r="H32" s="47"/>
      <c r="I32" s="48">
        <v>101.35299999999999</v>
      </c>
      <c r="J32" s="32">
        <v>393.5</v>
      </c>
      <c r="K32" s="18">
        <f t="shared" si="14"/>
        <v>65.5</v>
      </c>
      <c r="L32" s="19">
        <f t="shared" si="1"/>
        <v>-16.000000000000014</v>
      </c>
      <c r="M32" s="19">
        <f t="shared" si="15"/>
        <v>-4.9999999999990052</v>
      </c>
      <c r="N32" s="19">
        <f t="shared" si="16"/>
        <v>-1.0000000000012221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17"/>
        <v>-4.9999999999954525</v>
      </c>
      <c r="S32" s="27">
        <f t="shared" si="8"/>
        <v>0</v>
      </c>
      <c r="T32" s="28">
        <f t="shared" si="9"/>
        <v>-0.99999999999944578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41666</v>
      </c>
      <c r="C33" s="25">
        <v>12.661</v>
      </c>
      <c r="D33" s="26">
        <v>7.82</v>
      </c>
      <c r="E33" s="26">
        <v>7.9329999999999998</v>
      </c>
      <c r="F33" s="47"/>
      <c r="G33" s="47"/>
      <c r="H33" s="47"/>
      <c r="I33" s="48">
        <v>101.35299999999999</v>
      </c>
      <c r="J33" s="32">
        <v>396.5</v>
      </c>
      <c r="K33" s="18">
        <f t="shared" si="14"/>
        <v>68.5</v>
      </c>
      <c r="L33" s="19">
        <f t="shared" si="1"/>
        <v>-17.000000000001236</v>
      </c>
      <c r="M33" s="19">
        <f t="shared" si="15"/>
        <v>-4.9999999999990052</v>
      </c>
      <c r="N33" s="19">
        <f t="shared" si="16"/>
        <v>-1.0000000000012221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si="17"/>
        <v>-4.9999999999954525</v>
      </c>
      <c r="S33" s="27">
        <f t="shared" si="8"/>
        <v>-0.33333333333374071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41667</v>
      </c>
      <c r="C34" s="25">
        <v>12.661</v>
      </c>
      <c r="D34" s="26">
        <v>7.8209999999999997</v>
      </c>
      <c r="E34" s="26">
        <v>7.9329999999999998</v>
      </c>
      <c r="F34" s="47"/>
      <c r="G34" s="47"/>
      <c r="H34" s="47"/>
      <c r="I34" s="48">
        <v>101.35299999999999</v>
      </c>
      <c r="J34" s="32">
        <v>398.5</v>
      </c>
      <c r="K34" s="18">
        <f t="shared" si="14"/>
        <v>70.5</v>
      </c>
      <c r="L34" s="19">
        <f t="shared" si="1"/>
        <v>-17.000000000001236</v>
      </c>
      <c r="M34" s="19">
        <f t="shared" si="15"/>
        <v>-3.9999999999995595</v>
      </c>
      <c r="N34" s="19">
        <f t="shared" si="16"/>
        <v>-1.0000000000012221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7"/>
        <v>-4.9999999999954525</v>
      </c>
      <c r="S34" s="27">
        <f t="shared" si="8"/>
        <v>0</v>
      </c>
      <c r="T34" s="28">
        <f t="shared" si="9"/>
        <v>0.99999999999944578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41668</v>
      </c>
      <c r="C35" s="25">
        <v>12.661</v>
      </c>
      <c r="D35" s="26">
        <v>7.8209999999999997</v>
      </c>
      <c r="E35" s="26">
        <v>7.9329999999999998</v>
      </c>
      <c r="F35" s="47"/>
      <c r="G35" s="47"/>
      <c r="H35" s="47"/>
      <c r="I35" s="48">
        <v>101.35299999999999</v>
      </c>
      <c r="J35" s="32">
        <v>402</v>
      </c>
      <c r="K35" s="18">
        <f t="shared" si="14"/>
        <v>74</v>
      </c>
      <c r="L35" s="19">
        <f t="shared" si="1"/>
        <v>-17.000000000001236</v>
      </c>
      <c r="M35" s="19">
        <f t="shared" si="15"/>
        <v>-3.9999999999995595</v>
      </c>
      <c r="N35" s="19">
        <f t="shared" si="16"/>
        <v>-1.0000000000012221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7"/>
        <v>-4.9999999999954525</v>
      </c>
      <c r="S35" s="27">
        <f t="shared" si="8"/>
        <v>0</v>
      </c>
      <c r="T35" s="28">
        <f t="shared" si="9"/>
        <v>0</v>
      </c>
      <c r="U35" s="28">
        <f t="shared" si="10"/>
        <v>0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41669</v>
      </c>
      <c r="C36" s="25">
        <v>12.661</v>
      </c>
      <c r="D36" s="26">
        <v>7.82</v>
      </c>
      <c r="E36" s="26">
        <v>7.9329999999999998</v>
      </c>
      <c r="F36" s="47"/>
      <c r="G36" s="47"/>
      <c r="H36" s="47"/>
      <c r="I36" s="48">
        <v>101.35299999999999</v>
      </c>
      <c r="J36" s="32">
        <v>411</v>
      </c>
      <c r="K36" s="18">
        <f t="shared" si="14"/>
        <v>83</v>
      </c>
      <c r="L36" s="19">
        <f t="shared" si="1"/>
        <v>-17.000000000001236</v>
      </c>
      <c r="M36" s="19">
        <f t="shared" si="15"/>
        <v>-4.9999999999990052</v>
      </c>
      <c r="N36" s="19">
        <f t="shared" si="16"/>
        <v>-1.0000000000012221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7"/>
        <v>-4.9999999999954525</v>
      </c>
      <c r="S36" s="27">
        <f t="shared" si="8"/>
        <v>0</v>
      </c>
      <c r="T36" s="28">
        <f t="shared" si="9"/>
        <v>-0.99999999999944578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41670</v>
      </c>
      <c r="C37" s="25">
        <v>12.661</v>
      </c>
      <c r="D37" s="26">
        <v>7.82</v>
      </c>
      <c r="E37" s="26">
        <v>7.9329999999999998</v>
      </c>
      <c r="F37" s="47"/>
      <c r="G37" s="47"/>
      <c r="H37" s="47"/>
      <c r="I37" s="48">
        <v>101.352</v>
      </c>
      <c r="J37" s="32">
        <v>418.5</v>
      </c>
      <c r="K37" s="18">
        <f t="shared" si="14"/>
        <v>90.5</v>
      </c>
      <c r="L37" s="19">
        <f t="shared" si="1"/>
        <v>-17.000000000001236</v>
      </c>
      <c r="M37" s="19">
        <f t="shared" si="15"/>
        <v>-4.9999999999990052</v>
      </c>
      <c r="N37" s="19">
        <f t="shared" si="16"/>
        <v>-1.0000000000012221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7"/>
        <v>-5.9999999999860165</v>
      </c>
      <c r="S37" s="27">
        <f t="shared" si="8"/>
        <v>0</v>
      </c>
      <c r="T37" s="28">
        <f t="shared" si="9"/>
        <v>0</v>
      </c>
      <c r="U37" s="28">
        <f t="shared" si="10"/>
        <v>0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41673</v>
      </c>
      <c r="C38" s="25">
        <v>12.662000000000001</v>
      </c>
      <c r="D38" s="26">
        <v>7.82</v>
      </c>
      <c r="E38" s="26">
        <v>7.9329999999999998</v>
      </c>
      <c r="F38" s="47"/>
      <c r="G38" s="47"/>
      <c r="H38" s="47"/>
      <c r="I38" s="48">
        <v>101.352</v>
      </c>
      <c r="J38" s="32">
        <v>430</v>
      </c>
      <c r="K38" s="18">
        <f t="shared" si="14"/>
        <v>102</v>
      </c>
      <c r="L38" s="19">
        <f t="shared" si="1"/>
        <v>-16.000000000000014</v>
      </c>
      <c r="M38" s="19">
        <f t="shared" si="15"/>
        <v>-4.9999999999990052</v>
      </c>
      <c r="N38" s="19">
        <f t="shared" si="16"/>
        <v>-1.0000000000012221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7"/>
        <v>-5.9999999999860165</v>
      </c>
      <c r="S38" s="27">
        <f t="shared" si="8"/>
        <v>0.33333333333374071</v>
      </c>
      <c r="T38" s="28">
        <f t="shared" si="9"/>
        <v>0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/>
    </row>
    <row r="39" spans="2:25" ht="15" customHeight="1" x14ac:dyDescent="0.2">
      <c r="B39" s="31">
        <v>41674</v>
      </c>
      <c r="C39" s="25">
        <v>12.662000000000001</v>
      </c>
      <c r="D39" s="26">
        <v>7.82</v>
      </c>
      <c r="E39" s="26">
        <v>7.9320000000000004</v>
      </c>
      <c r="F39" s="47"/>
      <c r="G39" s="47"/>
      <c r="H39" s="47"/>
      <c r="I39" s="48">
        <v>101.352</v>
      </c>
      <c r="J39" s="32">
        <v>438</v>
      </c>
      <c r="K39" s="18">
        <f t="shared" si="14"/>
        <v>110</v>
      </c>
      <c r="L39" s="19">
        <f t="shared" si="1"/>
        <v>-16.000000000000014</v>
      </c>
      <c r="M39" s="19">
        <f t="shared" si="15"/>
        <v>-4.9999999999990052</v>
      </c>
      <c r="N39" s="19">
        <f t="shared" si="16"/>
        <v>-2.0000000000006679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7"/>
        <v>-5.9999999999860165</v>
      </c>
      <c r="S39" s="27">
        <f t="shared" si="8"/>
        <v>0</v>
      </c>
      <c r="T39" s="28">
        <f t="shared" si="9"/>
        <v>0</v>
      </c>
      <c r="U39" s="28">
        <f t="shared" si="10"/>
        <v>-0.99999999999944578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41675</v>
      </c>
      <c r="C40" s="25">
        <v>12.661</v>
      </c>
      <c r="D40" s="26">
        <v>7.82</v>
      </c>
      <c r="E40" s="26">
        <v>7.9320000000000004</v>
      </c>
      <c r="F40" s="47"/>
      <c r="G40" s="47"/>
      <c r="H40" s="47"/>
      <c r="I40" s="48">
        <v>101.352</v>
      </c>
      <c r="J40" s="32">
        <v>446</v>
      </c>
      <c r="K40" s="18">
        <f t="shared" si="14"/>
        <v>118</v>
      </c>
      <c r="L40" s="19">
        <f t="shared" si="1"/>
        <v>-17.000000000001236</v>
      </c>
      <c r="M40" s="19">
        <f t="shared" si="15"/>
        <v>-4.9999999999990052</v>
      </c>
      <c r="N40" s="19">
        <f t="shared" si="16"/>
        <v>-2.0000000000006679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7"/>
        <v>-5.9999999999860165</v>
      </c>
      <c r="S40" s="27">
        <f t="shared" si="8"/>
        <v>-1.0000000000012221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41676</v>
      </c>
      <c r="C41" s="25">
        <v>12.662000000000001</v>
      </c>
      <c r="D41" s="26">
        <v>7.82</v>
      </c>
      <c r="E41" s="26">
        <v>7.9320000000000004</v>
      </c>
      <c r="F41" s="47"/>
      <c r="G41" s="47"/>
      <c r="H41" s="47"/>
      <c r="I41" s="48">
        <v>101.352</v>
      </c>
      <c r="J41" s="32">
        <v>453</v>
      </c>
      <c r="K41" s="18">
        <f t="shared" si="14"/>
        <v>125</v>
      </c>
      <c r="L41" s="19">
        <f t="shared" si="1"/>
        <v>-16.000000000000014</v>
      </c>
      <c r="M41" s="19">
        <f t="shared" si="15"/>
        <v>-4.9999999999990052</v>
      </c>
      <c r="N41" s="19">
        <f t="shared" si="16"/>
        <v>-2.0000000000006679</v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>
        <f t="shared" si="17"/>
        <v>-5.9999999999860165</v>
      </c>
      <c r="S41" s="27">
        <f t="shared" si="8"/>
        <v>1.0000000000012221</v>
      </c>
      <c r="T41" s="28">
        <f t="shared" si="9"/>
        <v>0</v>
      </c>
      <c r="U41" s="28">
        <f t="shared" si="10"/>
        <v>0</v>
      </c>
      <c r="V41" s="28" t="str">
        <f t="shared" si="11"/>
        <v/>
      </c>
      <c r="W41" s="28" t="str">
        <f t="shared" si="12"/>
        <v/>
      </c>
      <c r="X41" s="29" t="str">
        <f t="shared" si="13"/>
        <v/>
      </c>
      <c r="Y41" s="24"/>
    </row>
    <row r="42" spans="2:25" ht="15" customHeight="1" x14ac:dyDescent="0.2">
      <c r="B42" s="31">
        <v>41684</v>
      </c>
      <c r="C42" s="25">
        <v>12.662000000000001</v>
      </c>
      <c r="D42" s="26">
        <v>7.82</v>
      </c>
      <c r="E42" s="26">
        <v>7.9320000000000004</v>
      </c>
      <c r="F42" s="47"/>
      <c r="G42" s="47"/>
      <c r="H42" s="47"/>
      <c r="I42" s="48">
        <v>101.352</v>
      </c>
      <c r="J42" s="32">
        <v>477</v>
      </c>
      <c r="K42" s="18">
        <f t="shared" si="14"/>
        <v>149</v>
      </c>
      <c r="L42" s="19">
        <f t="shared" si="1"/>
        <v>-16.000000000000014</v>
      </c>
      <c r="M42" s="19">
        <f t="shared" si="15"/>
        <v>-4.9999999999990052</v>
      </c>
      <c r="N42" s="19">
        <f t="shared" si="16"/>
        <v>-2.0000000000006679</v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>
        <f t="shared" si="17"/>
        <v>-5.9999999999860165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 t="str">
        <f t="shared" si="11"/>
        <v/>
      </c>
      <c r="W42" s="28" t="str">
        <f t="shared" si="12"/>
        <v/>
      </c>
      <c r="X42" s="29" t="str">
        <f t="shared" si="13"/>
        <v/>
      </c>
      <c r="Y42" s="24"/>
    </row>
    <row r="43" spans="2:25" ht="15" customHeight="1" x14ac:dyDescent="0.2">
      <c r="B43" s="31">
        <v>41690</v>
      </c>
      <c r="C43" s="25">
        <v>12.662000000000001</v>
      </c>
      <c r="D43" s="26">
        <v>7.82</v>
      </c>
      <c r="E43" s="26">
        <v>7.9320000000000004</v>
      </c>
      <c r="F43" s="47"/>
      <c r="G43" s="47"/>
      <c r="H43" s="47"/>
      <c r="I43" s="48">
        <v>101.352</v>
      </c>
      <c r="J43" s="32">
        <v>510</v>
      </c>
      <c r="K43" s="18">
        <f t="shared" ref="K43:K60" si="18">IF(ISBLANK(J43),"",(J43-$J$8))</f>
        <v>182</v>
      </c>
      <c r="L43" s="19">
        <f t="shared" si="1"/>
        <v>-16.000000000000014</v>
      </c>
      <c r="M43" s="19">
        <f t="shared" si="15"/>
        <v>-4.9999999999990052</v>
      </c>
      <c r="N43" s="19">
        <f t="shared" si="16"/>
        <v>-2.0000000000006679</v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>
        <f t="shared" si="17"/>
        <v>-5.9999999999860165</v>
      </c>
      <c r="S43" s="27">
        <f t="shared" si="8"/>
        <v>0</v>
      </c>
      <c r="T43" s="28">
        <f t="shared" si="9"/>
        <v>0</v>
      </c>
      <c r="U43" s="28">
        <f t="shared" si="10"/>
        <v>0</v>
      </c>
      <c r="V43" s="28" t="str">
        <f t="shared" si="11"/>
        <v/>
      </c>
      <c r="W43" s="28" t="str">
        <f t="shared" si="12"/>
        <v/>
      </c>
      <c r="X43" s="29" t="str">
        <f t="shared" si="13"/>
        <v/>
      </c>
      <c r="Y43" s="24"/>
    </row>
    <row r="44" spans="2:25" ht="15" customHeight="1" x14ac:dyDescent="0.2">
      <c r="B44" s="31">
        <v>41697</v>
      </c>
      <c r="C44" s="25">
        <v>12.661</v>
      </c>
      <c r="D44" s="26">
        <v>7.82</v>
      </c>
      <c r="E44" s="26">
        <v>7.931</v>
      </c>
      <c r="F44" s="47"/>
      <c r="G44" s="47"/>
      <c r="H44" s="47"/>
      <c r="I44" s="48">
        <v>101.351</v>
      </c>
      <c r="J44" s="58">
        <v>547.5</v>
      </c>
      <c r="K44" s="18">
        <f t="shared" si="18"/>
        <v>219.5</v>
      </c>
      <c r="L44" s="19">
        <f t="shared" si="1"/>
        <v>-17.000000000001236</v>
      </c>
      <c r="M44" s="19">
        <f t="shared" si="15"/>
        <v>-4.9999999999990052</v>
      </c>
      <c r="N44" s="19">
        <f t="shared" si="16"/>
        <v>-3.0000000000010019</v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>
        <f t="shared" si="17"/>
        <v>-6.9999999999907914</v>
      </c>
      <c r="S44" s="27">
        <f t="shared" si="8"/>
        <v>-0.14285714285731746</v>
      </c>
      <c r="T44" s="28">
        <f t="shared" si="9"/>
        <v>0</v>
      </c>
      <c r="U44" s="28">
        <f t="shared" si="10"/>
        <v>-0.14285714285719056</v>
      </c>
      <c r="V44" s="28" t="str">
        <f t="shared" si="11"/>
        <v/>
      </c>
      <c r="W44" s="28" t="str">
        <f t="shared" si="12"/>
        <v/>
      </c>
      <c r="X44" s="29" t="str">
        <f t="shared" si="13"/>
        <v/>
      </c>
      <c r="Y44" s="24"/>
    </row>
    <row r="45" spans="2:25" ht="15" customHeight="1" x14ac:dyDescent="0.2">
      <c r="B45" s="31">
        <v>41723</v>
      </c>
      <c r="C45" s="25">
        <v>12.659000000000001</v>
      </c>
      <c r="D45" s="26">
        <v>7.819</v>
      </c>
      <c r="E45" s="26">
        <v>7.9320000000000004</v>
      </c>
      <c r="F45" s="47"/>
      <c r="G45" s="47"/>
      <c r="H45" s="47"/>
      <c r="I45" s="48">
        <v>101.352</v>
      </c>
      <c r="J45" s="32">
        <v>308</v>
      </c>
      <c r="K45" s="18">
        <f t="shared" si="18"/>
        <v>-20</v>
      </c>
      <c r="L45" s="19">
        <f t="shared" si="1"/>
        <v>-19.000000000000128</v>
      </c>
      <c r="M45" s="19">
        <f t="shared" si="15"/>
        <v>-5.9999999999993392</v>
      </c>
      <c r="N45" s="19">
        <f t="shared" si="16"/>
        <v>-2.0000000000006679</v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>
        <f t="shared" si="17"/>
        <v>-5.9999999999860165</v>
      </c>
      <c r="S45" s="27">
        <f t="shared" si="8"/>
        <v>-7.6923076923034295E-2</v>
      </c>
      <c r="T45" s="28">
        <f t="shared" si="9"/>
        <v>-3.8461538461551308E-2</v>
      </c>
      <c r="U45" s="28">
        <f t="shared" si="10"/>
        <v>3.8461538461551308E-2</v>
      </c>
      <c r="V45" s="28" t="str">
        <f t="shared" si="11"/>
        <v/>
      </c>
      <c r="W45" s="28" t="str">
        <f t="shared" si="12"/>
        <v/>
      </c>
      <c r="X45" s="29" t="str">
        <f t="shared" si="13"/>
        <v/>
      </c>
      <c r="Y45" s="24" t="s">
        <v>23</v>
      </c>
    </row>
    <row r="46" spans="2:25" ht="15" customHeight="1" x14ac:dyDescent="0.2">
      <c r="B46" s="31">
        <v>41724</v>
      </c>
      <c r="C46" s="25">
        <v>12.654</v>
      </c>
      <c r="D46" s="26">
        <v>7.8179999999999996</v>
      </c>
      <c r="E46" s="26">
        <v>7.931</v>
      </c>
      <c r="F46" s="47"/>
      <c r="G46" s="47"/>
      <c r="H46" s="47"/>
      <c r="I46" s="48">
        <v>101.34699999999999</v>
      </c>
      <c r="J46" s="32">
        <v>319</v>
      </c>
      <c r="K46" s="18">
        <f t="shared" si="18"/>
        <v>-9</v>
      </c>
      <c r="L46" s="19">
        <f t="shared" si="1"/>
        <v>-24.000000000000909</v>
      </c>
      <c r="M46" s="19">
        <f t="shared" si="15"/>
        <v>-6.9999999999996732</v>
      </c>
      <c r="N46" s="19">
        <f t="shared" si="16"/>
        <v>-3.0000000000010019</v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>
        <f t="shared" si="17"/>
        <v>-10.99999999999568</v>
      </c>
      <c r="S46" s="27">
        <f t="shared" si="8"/>
        <v>-5.0000000000007816</v>
      </c>
      <c r="T46" s="28">
        <f t="shared" si="9"/>
        <v>-1.000000000000334</v>
      </c>
      <c r="U46" s="28">
        <f t="shared" si="10"/>
        <v>-1.000000000000334</v>
      </c>
      <c r="V46" s="28" t="str">
        <f t="shared" si="11"/>
        <v/>
      </c>
      <c r="W46" s="28" t="str">
        <f t="shared" si="12"/>
        <v/>
      </c>
      <c r="X46" s="29" t="str">
        <f t="shared" si="13"/>
        <v/>
      </c>
      <c r="Y46" s="24"/>
    </row>
    <row r="47" spans="2:25" ht="15" customHeight="1" x14ac:dyDescent="0.2">
      <c r="B47" s="31">
        <v>41725</v>
      </c>
      <c r="C47" s="25">
        <v>12.64</v>
      </c>
      <c r="D47" s="26">
        <v>7.8159999999999998</v>
      </c>
      <c r="E47" s="26">
        <v>7.9279999999999999</v>
      </c>
      <c r="F47" s="47"/>
      <c r="G47" s="47"/>
      <c r="H47" s="47"/>
      <c r="I47" s="48">
        <v>101.345</v>
      </c>
      <c r="J47" s="32">
        <v>327</v>
      </c>
      <c r="K47" s="18">
        <f t="shared" si="18"/>
        <v>-1</v>
      </c>
      <c r="L47" s="19">
        <f t="shared" si="1"/>
        <v>-38.000000000000256</v>
      </c>
      <c r="M47" s="19">
        <f t="shared" si="15"/>
        <v>-8.9999999999994529</v>
      </c>
      <c r="N47" s="19">
        <f t="shared" si="16"/>
        <v>-6.0000000000011156</v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>
        <f t="shared" si="17"/>
        <v>-12.999999999991019</v>
      </c>
      <c r="S47" s="27">
        <f t="shared" si="8"/>
        <v>-13.999999999999346</v>
      </c>
      <c r="T47" s="28">
        <f t="shared" si="9"/>
        <v>-1.9999999999997797</v>
      </c>
      <c r="U47" s="28">
        <f t="shared" si="10"/>
        <v>-3.0000000000001137</v>
      </c>
      <c r="V47" s="28" t="str">
        <f t="shared" si="11"/>
        <v/>
      </c>
      <c r="W47" s="28" t="str">
        <f t="shared" si="12"/>
        <v/>
      </c>
      <c r="X47" s="29" t="str">
        <f t="shared" si="13"/>
        <v/>
      </c>
      <c r="Y47" s="24"/>
    </row>
    <row r="48" spans="2:25" ht="15" customHeight="1" x14ac:dyDescent="0.2">
      <c r="B48" s="31">
        <v>41726</v>
      </c>
      <c r="C48" s="25">
        <v>12.638999999999999</v>
      </c>
      <c r="D48" s="26">
        <v>7.8159999999999998</v>
      </c>
      <c r="E48" s="26">
        <v>7.9279999999999999</v>
      </c>
      <c r="F48" s="47"/>
      <c r="G48" s="47"/>
      <c r="H48" s="47"/>
      <c r="I48" s="48">
        <v>101.345</v>
      </c>
      <c r="J48" s="32">
        <v>340</v>
      </c>
      <c r="K48" s="18">
        <f t="shared" si="18"/>
        <v>12</v>
      </c>
      <c r="L48" s="19">
        <f t="shared" ref="L48:L79" si="19">IF(ISBLANK(C48),"",(C48-C$16)*1000)</f>
        <v>-39.000000000001478</v>
      </c>
      <c r="M48" s="19">
        <f t="shared" si="15"/>
        <v>-8.9999999999994529</v>
      </c>
      <c r="N48" s="19">
        <f t="shared" si="16"/>
        <v>-6.0000000000011156</v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>
        <f t="shared" si="17"/>
        <v>-12.999999999991019</v>
      </c>
      <c r="S48" s="27">
        <f t="shared" si="8"/>
        <v>-1.0000000000012221</v>
      </c>
      <c r="T48" s="28">
        <f t="shared" si="9"/>
        <v>0</v>
      </c>
      <c r="U48" s="28">
        <f t="shared" si="10"/>
        <v>0</v>
      </c>
      <c r="V48" s="28" t="str">
        <f t="shared" si="11"/>
        <v/>
      </c>
      <c r="W48" s="28" t="str">
        <f t="shared" si="12"/>
        <v/>
      </c>
      <c r="X48" s="29" t="str">
        <f t="shared" si="13"/>
        <v/>
      </c>
      <c r="Y48" s="24"/>
    </row>
    <row r="49" spans="2:25" ht="15" customHeight="1" x14ac:dyDescent="0.2">
      <c r="B49" s="31">
        <v>41729</v>
      </c>
      <c r="C49" s="25">
        <v>12.638</v>
      </c>
      <c r="D49" s="26">
        <v>7.8159999999999998</v>
      </c>
      <c r="E49" s="26">
        <v>7.9279999999999999</v>
      </c>
      <c r="F49" s="47">
        <v>13.263</v>
      </c>
      <c r="G49" s="47">
        <v>9.8879999999999999</v>
      </c>
      <c r="H49" s="47">
        <v>10.292</v>
      </c>
      <c r="I49" s="48">
        <v>101.343</v>
      </c>
      <c r="J49" s="32">
        <v>350</v>
      </c>
      <c r="K49" s="18">
        <f t="shared" si="18"/>
        <v>22</v>
      </c>
      <c r="L49" s="19">
        <f t="shared" si="19"/>
        <v>-40.000000000000924</v>
      </c>
      <c r="M49" s="19">
        <f t="shared" si="15"/>
        <v>-8.9999999999994529</v>
      </c>
      <c r="N49" s="19">
        <f t="shared" si="16"/>
        <v>-6.0000000000011156</v>
      </c>
      <c r="O49" s="19">
        <f>IF(ISBLANK(F49),"",((F49-F$49)*1000)+L$49)</f>
        <v>-40.000000000000924</v>
      </c>
      <c r="P49" s="19">
        <f>IF(ISBLANK(G49),"",((G49-G$49)*1000)+M$49)</f>
        <v>-8.9999999999994529</v>
      </c>
      <c r="Q49" s="19">
        <f>IF(ISBLANK(H49),"",((H49-H$49)*1000)+N$49)</f>
        <v>-6.0000000000011156</v>
      </c>
      <c r="R49" s="19">
        <f t="shared" si="17"/>
        <v>-14.999999999986358</v>
      </c>
      <c r="S49" s="27">
        <f t="shared" ref="S49:S80" si="20">IF(C49="","",((C49-C48)*1000)/($B49-$B48))</f>
        <v>-0.33333333333314857</v>
      </c>
      <c r="T49" s="28">
        <f t="shared" ref="T49:T80" si="21">IF(D49="","",((D49-D48)*1000)/($B49-$B48))</f>
        <v>0</v>
      </c>
      <c r="U49" s="28">
        <f t="shared" ref="U49:U80" si="22">IF(E49="","",((E49-E48)*1000)/($B49-$B48))</f>
        <v>0</v>
      </c>
      <c r="V49" s="28"/>
      <c r="W49" s="28"/>
      <c r="X49" s="29"/>
      <c r="Y49" s="24"/>
    </row>
    <row r="50" spans="2:25" ht="15" customHeight="1" x14ac:dyDescent="0.2">
      <c r="B50" s="31">
        <v>41730</v>
      </c>
      <c r="C50" s="25">
        <v>12.637</v>
      </c>
      <c r="D50" s="26">
        <v>7.8150000000000004</v>
      </c>
      <c r="E50" s="26">
        <v>7.9279999999999999</v>
      </c>
      <c r="F50" s="47">
        <v>13.262</v>
      </c>
      <c r="G50" s="47">
        <v>9.8870000000000005</v>
      </c>
      <c r="H50" s="47">
        <v>10.291</v>
      </c>
      <c r="I50" s="48">
        <v>101.342</v>
      </c>
      <c r="J50" s="32">
        <v>364</v>
      </c>
      <c r="K50" s="18">
        <f t="shared" si="18"/>
        <v>36</v>
      </c>
      <c r="L50" s="19">
        <f t="shared" si="19"/>
        <v>-41.000000000000369</v>
      </c>
      <c r="M50" s="19">
        <f t="shared" si="15"/>
        <v>-9.9999999999988987</v>
      </c>
      <c r="N50" s="19">
        <f t="shared" si="16"/>
        <v>-6.0000000000011156</v>
      </c>
      <c r="O50" s="19">
        <f t="shared" ref="O50:O113" si="23">IF(ISBLANK(F50),"",((F50-F$49)*1000)+L$49)</f>
        <v>-41.000000000000369</v>
      </c>
      <c r="P50" s="19">
        <f t="shared" ref="P50:P113" si="24">IF(ISBLANK(G50),"",((G50-G$49)*1000)+M$49)</f>
        <v>-9.9999999999988987</v>
      </c>
      <c r="Q50" s="19">
        <f t="shared" ref="Q50:Q113" si="25">IF(ISBLANK(H50),"",((H50-H$49)*1000)+N$49)</f>
        <v>-7.0000000000005613</v>
      </c>
      <c r="R50" s="19">
        <f t="shared" si="17"/>
        <v>-15.999999999991132</v>
      </c>
      <c r="S50" s="27">
        <f t="shared" si="20"/>
        <v>-0.99999999999944578</v>
      </c>
      <c r="T50" s="28">
        <f t="shared" si="21"/>
        <v>-0.99999999999944578</v>
      </c>
      <c r="U50" s="28">
        <f t="shared" si="22"/>
        <v>0</v>
      </c>
      <c r="V50" s="28">
        <f t="shared" ref="V50:V80" si="26">IF(F50="","",((F50-F49)*1000)/($B50-$B49))</f>
        <v>-0.99999999999944578</v>
      </c>
      <c r="W50" s="28">
        <f t="shared" ref="W50:W80" si="27">IF(G50="","",((G50-G49)*1000)/($B50-$B49))</f>
        <v>-0.99999999999944578</v>
      </c>
      <c r="X50" s="29">
        <f t="shared" ref="X50:X80" si="28">IF(H50="","",((H50-H49)*1000)/($B50-$B49))</f>
        <v>-0.99999999999944578</v>
      </c>
      <c r="Y50" s="24"/>
    </row>
    <row r="51" spans="2:25" ht="15" customHeight="1" x14ac:dyDescent="0.2">
      <c r="B51" s="31">
        <v>41731</v>
      </c>
      <c r="C51" s="25">
        <v>12.637</v>
      </c>
      <c r="D51" s="26">
        <v>7.8159999999999998</v>
      </c>
      <c r="E51" s="26">
        <v>7.9269999999999996</v>
      </c>
      <c r="F51" s="47">
        <v>13.263</v>
      </c>
      <c r="G51" s="47">
        <v>9.8879999999999999</v>
      </c>
      <c r="H51" s="47">
        <v>10.291</v>
      </c>
      <c r="I51" s="48">
        <v>101.342</v>
      </c>
      <c r="J51" s="32">
        <v>364</v>
      </c>
      <c r="K51" s="18">
        <f t="shared" si="18"/>
        <v>36</v>
      </c>
      <c r="L51" s="19">
        <f t="shared" si="19"/>
        <v>-41.000000000000369</v>
      </c>
      <c r="M51" s="19">
        <f t="shared" si="15"/>
        <v>-8.9999999999994529</v>
      </c>
      <c r="N51" s="19">
        <f t="shared" si="16"/>
        <v>-7.0000000000014495</v>
      </c>
      <c r="O51" s="19">
        <f t="shared" si="23"/>
        <v>-40.000000000000924</v>
      </c>
      <c r="P51" s="19">
        <f t="shared" si="24"/>
        <v>-8.9999999999994529</v>
      </c>
      <c r="Q51" s="19">
        <f t="shared" si="25"/>
        <v>-7.0000000000005613</v>
      </c>
      <c r="R51" s="19">
        <f t="shared" si="17"/>
        <v>-15.999999999991132</v>
      </c>
      <c r="S51" s="27">
        <f t="shared" si="20"/>
        <v>0</v>
      </c>
      <c r="T51" s="28">
        <f t="shared" si="21"/>
        <v>0.99999999999944578</v>
      </c>
      <c r="U51" s="28">
        <f t="shared" si="22"/>
        <v>-1.000000000000334</v>
      </c>
      <c r="V51" s="28">
        <f t="shared" si="26"/>
        <v>0.99999999999944578</v>
      </c>
      <c r="W51" s="28">
        <f t="shared" si="27"/>
        <v>0.99999999999944578</v>
      </c>
      <c r="X51" s="29">
        <f t="shared" si="28"/>
        <v>0</v>
      </c>
      <c r="Y51" s="24"/>
    </row>
    <row r="52" spans="2:25" ht="15" customHeight="1" x14ac:dyDescent="0.2">
      <c r="B52" s="31">
        <v>41732</v>
      </c>
      <c r="C52" s="25">
        <v>12.637</v>
      </c>
      <c r="D52" s="26">
        <v>7.8150000000000004</v>
      </c>
      <c r="E52" s="26">
        <v>7.9279999999999999</v>
      </c>
      <c r="F52" s="47">
        <v>13.262</v>
      </c>
      <c r="G52" s="47">
        <v>9.8879999999999999</v>
      </c>
      <c r="H52" s="47">
        <v>10.29</v>
      </c>
      <c r="I52" s="48">
        <v>101.342</v>
      </c>
      <c r="J52" s="32">
        <v>387</v>
      </c>
      <c r="K52" s="18">
        <f t="shared" si="18"/>
        <v>59</v>
      </c>
      <c r="L52" s="19">
        <f t="shared" si="19"/>
        <v>-41.000000000000369</v>
      </c>
      <c r="M52" s="19">
        <f t="shared" si="15"/>
        <v>-9.9999999999988987</v>
      </c>
      <c r="N52" s="19">
        <f t="shared" si="16"/>
        <v>-6.0000000000011156</v>
      </c>
      <c r="O52" s="19">
        <f t="shared" si="23"/>
        <v>-41.000000000000369</v>
      </c>
      <c r="P52" s="19">
        <f t="shared" si="24"/>
        <v>-8.9999999999994529</v>
      </c>
      <c r="Q52" s="19">
        <f t="shared" si="25"/>
        <v>-8.0000000000017835</v>
      </c>
      <c r="R52" s="19">
        <f t="shared" si="17"/>
        <v>-15.999999999991132</v>
      </c>
      <c r="S52" s="27">
        <f t="shared" si="20"/>
        <v>0</v>
      </c>
      <c r="T52" s="28">
        <f t="shared" si="21"/>
        <v>-0.99999999999944578</v>
      </c>
      <c r="U52" s="28">
        <f t="shared" si="22"/>
        <v>1.000000000000334</v>
      </c>
      <c r="V52" s="28">
        <f t="shared" si="26"/>
        <v>-0.99999999999944578</v>
      </c>
      <c r="W52" s="28">
        <f t="shared" si="27"/>
        <v>0</v>
      </c>
      <c r="X52" s="29">
        <f t="shared" si="28"/>
        <v>-1.0000000000012221</v>
      </c>
      <c r="Y52" s="24"/>
    </row>
    <row r="53" spans="2:25" ht="15" customHeight="1" x14ac:dyDescent="0.2">
      <c r="B53" s="31">
        <v>41733</v>
      </c>
      <c r="C53" s="25">
        <v>12.637</v>
      </c>
      <c r="D53" s="26">
        <v>7.8150000000000004</v>
      </c>
      <c r="E53" s="26">
        <v>7.9279999999999999</v>
      </c>
      <c r="F53" s="47">
        <v>13.262</v>
      </c>
      <c r="G53" s="47">
        <v>9.8879999999999999</v>
      </c>
      <c r="H53" s="47">
        <v>10.29</v>
      </c>
      <c r="I53" s="48">
        <v>101.342</v>
      </c>
      <c r="J53" s="32">
        <v>395</v>
      </c>
      <c r="K53" s="18">
        <f t="shared" si="18"/>
        <v>67</v>
      </c>
      <c r="L53" s="19">
        <f t="shared" si="19"/>
        <v>-41.000000000000369</v>
      </c>
      <c r="M53" s="19">
        <f t="shared" si="15"/>
        <v>-9.9999999999988987</v>
      </c>
      <c r="N53" s="19">
        <f t="shared" si="16"/>
        <v>-6.0000000000011156</v>
      </c>
      <c r="O53" s="19">
        <f t="shared" si="23"/>
        <v>-41.000000000000369</v>
      </c>
      <c r="P53" s="19">
        <f t="shared" si="24"/>
        <v>-8.9999999999994529</v>
      </c>
      <c r="Q53" s="19">
        <f t="shared" si="25"/>
        <v>-8.0000000000017835</v>
      </c>
      <c r="R53" s="19">
        <f t="shared" si="17"/>
        <v>-15.999999999991132</v>
      </c>
      <c r="S53" s="27">
        <f t="shared" si="20"/>
        <v>0</v>
      </c>
      <c r="T53" s="28">
        <f t="shared" si="21"/>
        <v>0</v>
      </c>
      <c r="U53" s="28">
        <f t="shared" si="22"/>
        <v>0</v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41736</v>
      </c>
      <c r="C54" s="25"/>
      <c r="D54" s="26"/>
      <c r="E54" s="26"/>
      <c r="F54" s="47">
        <v>13.262</v>
      </c>
      <c r="G54" s="47">
        <v>9.8879999999999999</v>
      </c>
      <c r="H54" s="47">
        <v>10.29</v>
      </c>
      <c r="I54" s="48">
        <v>101.342</v>
      </c>
      <c r="J54" s="32">
        <v>408</v>
      </c>
      <c r="K54" s="18">
        <f t="shared" si="18"/>
        <v>80</v>
      </c>
      <c r="L54" s="19" t="str">
        <f t="shared" si="19"/>
        <v/>
      </c>
      <c r="M54" s="19" t="str">
        <f t="shared" si="15"/>
        <v/>
      </c>
      <c r="N54" s="19" t="str">
        <f t="shared" si="16"/>
        <v/>
      </c>
      <c r="O54" s="19">
        <f t="shared" si="23"/>
        <v>-41.000000000000369</v>
      </c>
      <c r="P54" s="19">
        <f t="shared" si="24"/>
        <v>-8.9999999999994529</v>
      </c>
      <c r="Q54" s="19">
        <f t="shared" si="25"/>
        <v>-8.0000000000017835</v>
      </c>
      <c r="R54" s="19">
        <f t="shared" si="17"/>
        <v>-15.999999999991132</v>
      </c>
      <c r="S54" s="27" t="str">
        <f t="shared" si="20"/>
        <v/>
      </c>
      <c r="T54" s="28" t="str">
        <f t="shared" si="21"/>
        <v/>
      </c>
      <c r="U54" s="28" t="str">
        <f t="shared" si="22"/>
        <v/>
      </c>
      <c r="V54" s="28">
        <f t="shared" si="26"/>
        <v>0</v>
      </c>
      <c r="W54" s="28">
        <f t="shared" si="27"/>
        <v>0</v>
      </c>
      <c r="X54" s="29">
        <f t="shared" si="28"/>
        <v>0</v>
      </c>
      <c r="Y54" s="24"/>
    </row>
    <row r="55" spans="2:25" ht="15" customHeight="1" x14ac:dyDescent="0.2">
      <c r="B55" s="31">
        <v>41737</v>
      </c>
      <c r="C55" s="25"/>
      <c r="D55" s="26"/>
      <c r="E55" s="26"/>
      <c r="F55" s="47">
        <v>13.260999999999999</v>
      </c>
      <c r="G55" s="47">
        <v>9.8879999999999999</v>
      </c>
      <c r="H55" s="47">
        <v>10.29</v>
      </c>
      <c r="I55" s="48">
        <v>101.342</v>
      </c>
      <c r="J55" s="32">
        <v>436</v>
      </c>
      <c r="K55" s="18">
        <f t="shared" si="18"/>
        <v>108</v>
      </c>
      <c r="L55" s="19" t="str">
        <f t="shared" si="19"/>
        <v/>
      </c>
      <c r="M55" s="19" t="str">
        <f t="shared" si="15"/>
        <v/>
      </c>
      <c r="N55" s="19" t="str">
        <f t="shared" si="16"/>
        <v/>
      </c>
      <c r="O55" s="19">
        <f t="shared" si="23"/>
        <v>-42.000000000001592</v>
      </c>
      <c r="P55" s="19">
        <f t="shared" si="24"/>
        <v>-8.9999999999994529</v>
      </c>
      <c r="Q55" s="19">
        <f t="shared" si="25"/>
        <v>-8.0000000000017835</v>
      </c>
      <c r="R55" s="19">
        <f t="shared" si="17"/>
        <v>-15.999999999991132</v>
      </c>
      <c r="S55" s="27" t="str">
        <f t="shared" si="20"/>
        <v/>
      </c>
      <c r="T55" s="28" t="str">
        <f t="shared" si="21"/>
        <v/>
      </c>
      <c r="U55" s="28" t="str">
        <f t="shared" si="22"/>
        <v/>
      </c>
      <c r="V55" s="28">
        <f t="shared" si="26"/>
        <v>-1.0000000000012221</v>
      </c>
      <c r="W55" s="28">
        <f t="shared" si="27"/>
        <v>0</v>
      </c>
      <c r="X55" s="29">
        <f t="shared" si="28"/>
        <v>0</v>
      </c>
      <c r="Y55" s="24"/>
    </row>
    <row r="56" spans="2:25" ht="15" customHeight="1" x14ac:dyDescent="0.2">
      <c r="B56" s="31">
        <v>41738</v>
      </c>
      <c r="C56" s="25"/>
      <c r="D56" s="26"/>
      <c r="E56" s="26"/>
      <c r="F56" s="47">
        <v>13.260999999999999</v>
      </c>
      <c r="G56" s="47">
        <v>9.8879999999999999</v>
      </c>
      <c r="H56" s="47">
        <v>10.29</v>
      </c>
      <c r="I56" s="48">
        <v>101.342</v>
      </c>
      <c r="J56" s="32">
        <v>450</v>
      </c>
      <c r="K56" s="18">
        <f t="shared" si="18"/>
        <v>122</v>
      </c>
      <c r="L56" s="19" t="str">
        <f t="shared" si="19"/>
        <v/>
      </c>
      <c r="M56" s="19" t="str">
        <f t="shared" si="15"/>
        <v/>
      </c>
      <c r="N56" s="19" t="str">
        <f t="shared" si="16"/>
        <v/>
      </c>
      <c r="O56" s="19">
        <f t="shared" si="23"/>
        <v>-42.000000000001592</v>
      </c>
      <c r="P56" s="19">
        <f t="shared" si="24"/>
        <v>-8.9999999999994529</v>
      </c>
      <c r="Q56" s="19">
        <f t="shared" si="25"/>
        <v>-8.0000000000017835</v>
      </c>
      <c r="R56" s="19">
        <f t="shared" si="17"/>
        <v>-15.999999999991132</v>
      </c>
      <c r="S56" s="27" t="str">
        <f t="shared" si="20"/>
        <v/>
      </c>
      <c r="T56" s="28" t="str">
        <f t="shared" si="21"/>
        <v/>
      </c>
      <c r="U56" s="28" t="str">
        <f t="shared" si="22"/>
        <v/>
      </c>
      <c r="V56" s="28">
        <f t="shared" si="26"/>
        <v>0</v>
      </c>
      <c r="W56" s="28">
        <f t="shared" si="27"/>
        <v>0</v>
      </c>
      <c r="X56" s="29">
        <f t="shared" si="28"/>
        <v>0</v>
      </c>
      <c r="Y56" s="24"/>
    </row>
    <row r="57" spans="2:25" ht="15" customHeight="1" x14ac:dyDescent="0.2">
      <c r="B57" s="31">
        <v>41739</v>
      </c>
      <c r="C57" s="25"/>
      <c r="D57" s="26"/>
      <c r="E57" s="26"/>
      <c r="F57" s="47">
        <v>13.26</v>
      </c>
      <c r="G57" s="47">
        <v>9.8879999999999999</v>
      </c>
      <c r="H57" s="47">
        <v>10.29</v>
      </c>
      <c r="I57" s="48">
        <v>101.342</v>
      </c>
      <c r="J57" s="32">
        <v>457</v>
      </c>
      <c r="K57" s="18">
        <f t="shared" si="18"/>
        <v>129</v>
      </c>
      <c r="L57" s="19" t="str">
        <f t="shared" si="19"/>
        <v/>
      </c>
      <c r="M57" s="19" t="str">
        <f t="shared" si="15"/>
        <v/>
      </c>
      <c r="N57" s="19" t="str">
        <f t="shared" si="16"/>
        <v/>
      </c>
      <c r="O57" s="19">
        <f t="shared" si="23"/>
        <v>-43.000000000001037</v>
      </c>
      <c r="P57" s="19">
        <f t="shared" si="24"/>
        <v>-8.9999999999994529</v>
      </c>
      <c r="Q57" s="19">
        <f t="shared" si="25"/>
        <v>-8.0000000000017835</v>
      </c>
      <c r="R57" s="19">
        <f t="shared" si="17"/>
        <v>-15.999999999991132</v>
      </c>
      <c r="S57" s="27" t="str">
        <f t="shared" si="20"/>
        <v/>
      </c>
      <c r="T57" s="28" t="str">
        <f t="shared" si="21"/>
        <v/>
      </c>
      <c r="U57" s="28" t="str">
        <f t="shared" si="22"/>
        <v/>
      </c>
      <c r="V57" s="28">
        <f t="shared" si="26"/>
        <v>-0.99999999999944578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41745</v>
      </c>
      <c r="C58" s="25"/>
      <c r="D58" s="26"/>
      <c r="E58" s="26"/>
      <c r="F58" s="47">
        <v>13.260999999999999</v>
      </c>
      <c r="G58" s="47">
        <v>9.8870000000000005</v>
      </c>
      <c r="H58" s="47">
        <v>10.291</v>
      </c>
      <c r="I58" s="48">
        <v>101.342</v>
      </c>
      <c r="J58" s="32">
        <v>516</v>
      </c>
      <c r="K58" s="18">
        <f t="shared" si="18"/>
        <v>188</v>
      </c>
      <c r="L58" s="19" t="str">
        <f t="shared" si="19"/>
        <v/>
      </c>
      <c r="M58" s="19" t="str">
        <f t="shared" si="15"/>
        <v/>
      </c>
      <c r="N58" s="19" t="str">
        <f t="shared" si="16"/>
        <v/>
      </c>
      <c r="O58" s="19">
        <f t="shared" si="23"/>
        <v>-42.000000000001592</v>
      </c>
      <c r="P58" s="19">
        <f t="shared" si="24"/>
        <v>-9.9999999999988987</v>
      </c>
      <c r="Q58" s="19">
        <f t="shared" si="25"/>
        <v>-7.0000000000005613</v>
      </c>
      <c r="R58" s="19">
        <f t="shared" si="17"/>
        <v>-15.999999999991132</v>
      </c>
      <c r="S58" s="27" t="str">
        <f t="shared" si="20"/>
        <v/>
      </c>
      <c r="T58" s="28" t="str">
        <f t="shared" si="21"/>
        <v/>
      </c>
      <c r="U58" s="28" t="str">
        <f t="shared" si="22"/>
        <v/>
      </c>
      <c r="V58" s="28">
        <f t="shared" si="26"/>
        <v>0.16666666666657429</v>
      </c>
      <c r="W58" s="28">
        <f t="shared" si="27"/>
        <v>-0.16666666666657429</v>
      </c>
      <c r="X58" s="29">
        <f t="shared" si="28"/>
        <v>0.16666666666687036</v>
      </c>
      <c r="Y58" s="24"/>
    </row>
    <row r="59" spans="2:25" ht="15" customHeight="1" x14ac:dyDescent="0.2">
      <c r="B59" s="31">
        <v>41752</v>
      </c>
      <c r="C59" s="25"/>
      <c r="D59" s="26"/>
      <c r="E59" s="26"/>
      <c r="F59" s="47">
        <v>13.26</v>
      </c>
      <c r="G59" s="47">
        <v>9.8870000000000005</v>
      </c>
      <c r="H59" s="47">
        <v>10.291</v>
      </c>
      <c r="I59" s="48">
        <v>101.342</v>
      </c>
      <c r="J59" s="32">
        <v>534.5</v>
      </c>
      <c r="K59" s="18">
        <f t="shared" si="18"/>
        <v>206.5</v>
      </c>
      <c r="L59" s="19" t="str">
        <f t="shared" si="19"/>
        <v/>
      </c>
      <c r="M59" s="19" t="str">
        <f t="shared" si="15"/>
        <v/>
      </c>
      <c r="N59" s="19" t="str">
        <f t="shared" si="16"/>
        <v/>
      </c>
      <c r="O59" s="19">
        <f t="shared" si="23"/>
        <v>-43.000000000001037</v>
      </c>
      <c r="P59" s="19">
        <f t="shared" si="24"/>
        <v>-9.9999999999988987</v>
      </c>
      <c r="Q59" s="19">
        <f t="shared" si="25"/>
        <v>-7.0000000000005613</v>
      </c>
      <c r="R59" s="19">
        <f t="shared" si="17"/>
        <v>-15.999999999991132</v>
      </c>
      <c r="S59" s="27" t="str">
        <f t="shared" si="20"/>
        <v/>
      </c>
      <c r="T59" s="28" t="str">
        <f t="shared" si="21"/>
        <v/>
      </c>
      <c r="U59" s="28" t="str">
        <f t="shared" si="22"/>
        <v/>
      </c>
      <c r="V59" s="28">
        <f t="shared" si="26"/>
        <v>-0.14285714285706369</v>
      </c>
      <c r="W59" s="28">
        <f t="shared" si="27"/>
        <v>0</v>
      </c>
      <c r="X59" s="29">
        <f t="shared" si="28"/>
        <v>0</v>
      </c>
      <c r="Y59" s="24" t="s">
        <v>35</v>
      </c>
    </row>
    <row r="60" spans="2:25" ht="15" customHeight="1" x14ac:dyDescent="0.2">
      <c r="B60" s="31">
        <v>41759</v>
      </c>
      <c r="C60" s="25"/>
      <c r="D60" s="26"/>
      <c r="E60" s="26"/>
      <c r="F60" s="47">
        <v>13.260999999999999</v>
      </c>
      <c r="G60" s="47">
        <v>9.8870000000000005</v>
      </c>
      <c r="H60" s="47">
        <v>10.291</v>
      </c>
      <c r="I60" s="48">
        <v>101.342</v>
      </c>
      <c r="J60" s="32">
        <v>534.5</v>
      </c>
      <c r="K60" s="18">
        <f t="shared" si="18"/>
        <v>206.5</v>
      </c>
      <c r="L60" s="19" t="str">
        <f t="shared" si="19"/>
        <v/>
      </c>
      <c r="M60" s="19" t="str">
        <f t="shared" si="15"/>
        <v/>
      </c>
      <c r="N60" s="19" t="str">
        <f t="shared" si="16"/>
        <v/>
      </c>
      <c r="O60" s="19">
        <f t="shared" si="23"/>
        <v>-42.000000000001592</v>
      </c>
      <c r="P60" s="19">
        <f t="shared" si="24"/>
        <v>-9.9999999999988987</v>
      </c>
      <c r="Q60" s="19">
        <f t="shared" si="25"/>
        <v>-7.0000000000005613</v>
      </c>
      <c r="R60" s="19">
        <f t="shared" si="17"/>
        <v>-15.999999999991132</v>
      </c>
      <c r="S60" s="27" t="str">
        <f t="shared" si="20"/>
        <v/>
      </c>
      <c r="T60" s="28" t="str">
        <f t="shared" si="21"/>
        <v/>
      </c>
      <c r="U60" s="28" t="str">
        <f t="shared" si="22"/>
        <v/>
      </c>
      <c r="V60" s="28">
        <f t="shared" si="26"/>
        <v>0.14285714285706369</v>
      </c>
      <c r="W60" s="28">
        <f t="shared" si="27"/>
        <v>0</v>
      </c>
      <c r="X60" s="29">
        <f t="shared" si="28"/>
        <v>0</v>
      </c>
      <c r="Y60" s="24"/>
    </row>
    <row r="61" spans="2:25" ht="15" customHeight="1" x14ac:dyDescent="0.2">
      <c r="B61" s="31">
        <v>41781</v>
      </c>
      <c r="C61" s="25"/>
      <c r="D61" s="26"/>
      <c r="E61" s="26"/>
      <c r="F61" s="47">
        <v>13.260999999999999</v>
      </c>
      <c r="G61" s="47">
        <v>9.8859999999999992</v>
      </c>
      <c r="H61" s="47">
        <v>10.291</v>
      </c>
      <c r="I61" s="48">
        <v>101.342</v>
      </c>
      <c r="J61" s="58">
        <v>792</v>
      </c>
      <c r="K61" s="18">
        <f t="shared" ref="K61:K66" si="29">IF(ISBLANK(J61),"",(J61-$J$8))</f>
        <v>464</v>
      </c>
      <c r="L61" s="19" t="str">
        <f t="shared" si="19"/>
        <v/>
      </c>
      <c r="M61" s="19" t="str">
        <f t="shared" si="15"/>
        <v/>
      </c>
      <c r="N61" s="19" t="str">
        <f t="shared" si="16"/>
        <v/>
      </c>
      <c r="O61" s="19">
        <f t="shared" si="23"/>
        <v>-42.000000000001592</v>
      </c>
      <c r="P61" s="19">
        <f t="shared" si="24"/>
        <v>-11.000000000000121</v>
      </c>
      <c r="Q61" s="19">
        <f t="shared" si="25"/>
        <v>-7.0000000000005613</v>
      </c>
      <c r="R61" s="19">
        <f t="shared" si="17"/>
        <v>-15.999999999991132</v>
      </c>
      <c r="S61" s="27" t="str">
        <f t="shared" si="20"/>
        <v/>
      </c>
      <c r="T61" s="28" t="str">
        <f t="shared" si="21"/>
        <v/>
      </c>
      <c r="U61" s="28" t="str">
        <f t="shared" si="22"/>
        <v/>
      </c>
      <c r="V61" s="28">
        <f t="shared" si="26"/>
        <v>0</v>
      </c>
      <c r="W61" s="28">
        <f t="shared" si="27"/>
        <v>-4.5454545454601009E-2</v>
      </c>
      <c r="X61" s="29">
        <f t="shared" si="28"/>
        <v>0</v>
      </c>
      <c r="Y61" s="24"/>
    </row>
    <row r="62" spans="2:25" ht="15" customHeight="1" x14ac:dyDescent="0.2">
      <c r="B62" s="31">
        <v>41843</v>
      </c>
      <c r="C62" s="25"/>
      <c r="D62" s="26"/>
      <c r="E62" s="26"/>
      <c r="F62" s="47">
        <v>13.260999999999999</v>
      </c>
      <c r="G62" s="47">
        <v>9.8870000000000005</v>
      </c>
      <c r="H62" s="47">
        <v>10.291</v>
      </c>
      <c r="I62" s="48">
        <v>101.342</v>
      </c>
      <c r="J62" s="58">
        <v>943</v>
      </c>
      <c r="K62" s="18">
        <f t="shared" si="29"/>
        <v>615</v>
      </c>
      <c r="L62" s="19" t="str">
        <f t="shared" si="19"/>
        <v/>
      </c>
      <c r="M62" s="19" t="str">
        <f t="shared" si="15"/>
        <v/>
      </c>
      <c r="N62" s="19" t="str">
        <f t="shared" si="16"/>
        <v/>
      </c>
      <c r="O62" s="19">
        <f t="shared" si="23"/>
        <v>-42.000000000001592</v>
      </c>
      <c r="P62" s="19">
        <f t="shared" si="24"/>
        <v>-9.9999999999988987</v>
      </c>
      <c r="Q62" s="19">
        <f t="shared" si="25"/>
        <v>-7.0000000000005613</v>
      </c>
      <c r="R62" s="19">
        <f t="shared" si="17"/>
        <v>-15.999999999991132</v>
      </c>
      <c r="S62" s="27" t="str">
        <f t="shared" si="20"/>
        <v/>
      </c>
      <c r="T62" s="28" t="str">
        <f t="shared" si="21"/>
        <v/>
      </c>
      <c r="U62" s="28" t="str">
        <f t="shared" si="22"/>
        <v/>
      </c>
      <c r="V62" s="28">
        <f t="shared" si="26"/>
        <v>0</v>
      </c>
      <c r="W62" s="28">
        <f t="shared" si="27"/>
        <v>1.6129032258084229E-2</v>
      </c>
      <c r="X62" s="29">
        <f t="shared" si="28"/>
        <v>0</v>
      </c>
      <c r="Y62" s="24"/>
    </row>
    <row r="63" spans="2:25" ht="15" customHeight="1" x14ac:dyDescent="0.2">
      <c r="B63" s="31">
        <v>41933</v>
      </c>
      <c r="C63" s="25">
        <v>12.632999999999999</v>
      </c>
      <c r="D63" s="26">
        <v>7.8150000000000004</v>
      </c>
      <c r="E63" s="26">
        <v>7.9279999999999999</v>
      </c>
      <c r="F63" s="47">
        <v>13.26</v>
      </c>
      <c r="G63" s="47">
        <v>9.8870000000000005</v>
      </c>
      <c r="H63" s="47">
        <v>10.292</v>
      </c>
      <c r="I63" s="48">
        <v>101.342</v>
      </c>
      <c r="J63" s="58">
        <v>943</v>
      </c>
      <c r="K63" s="18">
        <f t="shared" si="29"/>
        <v>615</v>
      </c>
      <c r="L63" s="19">
        <f t="shared" si="19"/>
        <v>-45.000000000001705</v>
      </c>
      <c r="M63" s="19">
        <f t="shared" si="15"/>
        <v>-9.9999999999988987</v>
      </c>
      <c r="N63" s="19">
        <f t="shared" si="16"/>
        <v>-6.0000000000011156</v>
      </c>
      <c r="O63" s="19">
        <f t="shared" si="23"/>
        <v>-43.000000000001037</v>
      </c>
      <c r="P63" s="19">
        <f t="shared" si="24"/>
        <v>-9.9999999999988987</v>
      </c>
      <c r="Q63" s="19">
        <f t="shared" si="25"/>
        <v>-6.0000000000011156</v>
      </c>
      <c r="R63" s="19">
        <f t="shared" si="17"/>
        <v>-15.999999999991132</v>
      </c>
      <c r="S63" s="27"/>
      <c r="T63" s="28"/>
      <c r="U63" s="28"/>
      <c r="V63" s="28">
        <f t="shared" si="26"/>
        <v>-1.1111111111104953E-2</v>
      </c>
      <c r="W63" s="28">
        <f t="shared" si="27"/>
        <v>0</v>
      </c>
      <c r="X63" s="29">
        <f t="shared" si="28"/>
        <v>1.1111111111104953E-2</v>
      </c>
      <c r="Y63" s="24"/>
    </row>
    <row r="64" spans="2:25" ht="15" customHeight="1" x14ac:dyDescent="0.2">
      <c r="B64" s="31">
        <v>42025</v>
      </c>
      <c r="C64" s="25"/>
      <c r="D64" s="26"/>
      <c r="E64" s="26"/>
      <c r="F64" s="47">
        <v>13.260999999999999</v>
      </c>
      <c r="G64" s="47">
        <v>9.8870000000000005</v>
      </c>
      <c r="H64" s="47">
        <v>10.292</v>
      </c>
      <c r="I64" s="48">
        <v>101.342</v>
      </c>
      <c r="J64" s="58">
        <v>943</v>
      </c>
      <c r="K64" s="18">
        <f t="shared" si="29"/>
        <v>615</v>
      </c>
      <c r="L64" s="19" t="str">
        <f t="shared" si="19"/>
        <v/>
      </c>
      <c r="M64" s="19" t="str">
        <f t="shared" si="15"/>
        <v/>
      </c>
      <c r="N64" s="19" t="str">
        <f t="shared" si="16"/>
        <v/>
      </c>
      <c r="O64" s="19">
        <f t="shared" si="23"/>
        <v>-42.000000000001592</v>
      </c>
      <c r="P64" s="19">
        <f t="shared" si="24"/>
        <v>-9.9999999999988987</v>
      </c>
      <c r="Q64" s="19">
        <f t="shared" si="25"/>
        <v>-6.0000000000011156</v>
      </c>
      <c r="R64" s="19">
        <f t="shared" si="17"/>
        <v>-15.999999999991132</v>
      </c>
      <c r="S64" s="27" t="str">
        <f t="shared" si="20"/>
        <v/>
      </c>
      <c r="T64" s="28" t="str">
        <f t="shared" si="21"/>
        <v/>
      </c>
      <c r="U64" s="28" t="str">
        <f t="shared" si="22"/>
        <v/>
      </c>
      <c r="V64" s="28">
        <f t="shared" si="26"/>
        <v>1.0869565217385279E-2</v>
      </c>
      <c r="W64" s="28">
        <f t="shared" si="27"/>
        <v>0</v>
      </c>
      <c r="X64" s="29">
        <f t="shared" si="28"/>
        <v>0</v>
      </c>
      <c r="Y64" s="24"/>
    </row>
    <row r="65" spans="2:25" ht="15" customHeight="1" x14ac:dyDescent="0.2">
      <c r="B65" s="31">
        <v>42109</v>
      </c>
      <c r="C65" s="25"/>
      <c r="D65" s="26"/>
      <c r="E65" s="26"/>
      <c r="F65" s="47">
        <v>13.255000000000001</v>
      </c>
      <c r="G65" s="47">
        <v>9.8859999999999992</v>
      </c>
      <c r="H65" s="47">
        <v>10.289</v>
      </c>
      <c r="I65" s="48">
        <v>101.33799999999999</v>
      </c>
      <c r="J65" s="58">
        <v>943</v>
      </c>
      <c r="K65" s="18">
        <f t="shared" si="29"/>
        <v>615</v>
      </c>
      <c r="L65" s="19" t="str">
        <f t="shared" si="19"/>
        <v/>
      </c>
      <c r="M65" s="19" t="str">
        <f t="shared" si="15"/>
        <v/>
      </c>
      <c r="N65" s="19" t="str">
        <f t="shared" si="16"/>
        <v/>
      </c>
      <c r="O65" s="19">
        <f t="shared" si="23"/>
        <v>-48.000000000000043</v>
      </c>
      <c r="P65" s="19">
        <f t="shared" si="24"/>
        <v>-11.000000000000121</v>
      </c>
      <c r="Q65" s="19">
        <f t="shared" si="25"/>
        <v>-9.0000000000012292</v>
      </c>
      <c r="R65" s="19">
        <f t="shared" si="17"/>
        <v>-19.999999999996021</v>
      </c>
      <c r="S65" s="27" t="str">
        <f t="shared" si="20"/>
        <v/>
      </c>
      <c r="T65" s="28" t="str">
        <f t="shared" si="21"/>
        <v/>
      </c>
      <c r="U65" s="28" t="str">
        <f t="shared" si="22"/>
        <v/>
      </c>
      <c r="V65" s="28">
        <f t="shared" si="26"/>
        <v>-7.1428571428552995E-2</v>
      </c>
      <c r="W65" s="28">
        <f t="shared" si="27"/>
        <v>-1.1904761904776453E-2</v>
      </c>
      <c r="X65" s="29">
        <f t="shared" si="28"/>
        <v>-3.5714285714287065E-2</v>
      </c>
      <c r="Y65" s="24"/>
    </row>
    <row r="66" spans="2:25" ht="15" customHeight="1" x14ac:dyDescent="0.2">
      <c r="B66" s="31">
        <v>42221</v>
      </c>
      <c r="C66" s="33"/>
      <c r="D66" s="16"/>
      <c r="E66" s="16"/>
      <c r="F66" s="16">
        <v>13.257999999999999</v>
      </c>
      <c r="G66" s="16">
        <v>9.8849999999999998</v>
      </c>
      <c r="H66" s="16">
        <v>10.29</v>
      </c>
      <c r="I66" s="16">
        <v>101.339</v>
      </c>
      <c r="J66" s="32">
        <v>1253</v>
      </c>
      <c r="K66" s="18">
        <f t="shared" si="29"/>
        <v>925</v>
      </c>
      <c r="L66" s="19" t="str">
        <f t="shared" si="19"/>
        <v/>
      </c>
      <c r="M66" s="19" t="str">
        <f t="shared" si="15"/>
        <v/>
      </c>
      <c r="N66" s="19" t="str">
        <f t="shared" si="16"/>
        <v/>
      </c>
      <c r="O66" s="19">
        <f t="shared" si="23"/>
        <v>-45.000000000001705</v>
      </c>
      <c r="P66" s="19">
        <f t="shared" si="24"/>
        <v>-11.999999999999567</v>
      </c>
      <c r="Q66" s="19">
        <f t="shared" si="25"/>
        <v>-8.0000000000017835</v>
      </c>
      <c r="R66" s="19">
        <f t="shared" si="17"/>
        <v>-18.999999999991246</v>
      </c>
      <c r="S66" s="27" t="str">
        <f t="shared" si="20"/>
        <v/>
      </c>
      <c r="T66" s="28" t="str">
        <f t="shared" si="21"/>
        <v/>
      </c>
      <c r="U66" s="28" t="str">
        <f t="shared" si="22"/>
        <v/>
      </c>
      <c r="V66" s="28">
        <f t="shared" si="26"/>
        <v>2.6785714285699442E-2</v>
      </c>
      <c r="W66" s="28">
        <f t="shared" si="27"/>
        <v>-8.9285714285664806E-3</v>
      </c>
      <c r="X66" s="29">
        <f t="shared" si="28"/>
        <v>8.9285714285664806E-3</v>
      </c>
      <c r="Y66" s="24"/>
    </row>
    <row r="67" spans="2:25" ht="15" customHeight="1" x14ac:dyDescent="0.2">
      <c r="B67" s="31">
        <v>42317</v>
      </c>
      <c r="C67" s="33"/>
      <c r="D67" s="16"/>
      <c r="E67" s="16"/>
      <c r="F67" s="16">
        <v>13.257</v>
      </c>
      <c r="G67" s="16">
        <v>9.8849999999999998</v>
      </c>
      <c r="H67" s="16">
        <v>10.29</v>
      </c>
      <c r="I67" s="16">
        <v>101.337</v>
      </c>
      <c r="J67" s="32">
        <v>2215</v>
      </c>
      <c r="K67" s="18">
        <f t="shared" ref="K67:K69" si="30">IF(ISBLANK(J67),"",(J67-$J$8))</f>
        <v>1887</v>
      </c>
      <c r="L67" s="19" t="str">
        <f t="shared" si="19"/>
        <v/>
      </c>
      <c r="M67" s="19" t="str">
        <f t="shared" si="15"/>
        <v/>
      </c>
      <c r="N67" s="19" t="str">
        <f t="shared" si="16"/>
        <v/>
      </c>
      <c r="O67" s="19">
        <f t="shared" si="23"/>
        <v>-46.000000000001151</v>
      </c>
      <c r="P67" s="19">
        <f t="shared" si="24"/>
        <v>-11.999999999999567</v>
      </c>
      <c r="Q67" s="19">
        <f t="shared" si="25"/>
        <v>-8.0000000000017835</v>
      </c>
      <c r="R67" s="19">
        <f t="shared" si="17"/>
        <v>-20.999999999986585</v>
      </c>
      <c r="S67" s="27" t="str">
        <f t="shared" si="20"/>
        <v/>
      </c>
      <c r="T67" s="28" t="str">
        <f t="shared" si="21"/>
        <v/>
      </c>
      <c r="U67" s="28" t="str">
        <f t="shared" si="22"/>
        <v/>
      </c>
      <c r="V67" s="28">
        <f t="shared" si="26"/>
        <v>-1.0416666666660893E-2</v>
      </c>
      <c r="W67" s="28">
        <f t="shared" si="27"/>
        <v>0</v>
      </c>
      <c r="X67" s="29">
        <f t="shared" si="28"/>
        <v>0</v>
      </c>
      <c r="Y67" s="24"/>
    </row>
    <row r="68" spans="2:25" ht="15" customHeight="1" x14ac:dyDescent="0.2">
      <c r="B68" s="31">
        <v>42404</v>
      </c>
      <c r="C68" s="25">
        <v>12.631</v>
      </c>
      <c r="D68" s="26">
        <v>7.8129999999999997</v>
      </c>
      <c r="E68" s="26">
        <v>7.9260000000000002</v>
      </c>
      <c r="F68" s="16">
        <v>13.255000000000001</v>
      </c>
      <c r="G68" s="16">
        <v>9.8859999999999992</v>
      </c>
      <c r="H68" s="16">
        <v>10.289</v>
      </c>
      <c r="I68" s="16">
        <v>101.339</v>
      </c>
      <c r="J68" s="58">
        <v>2484</v>
      </c>
      <c r="K68" s="18">
        <f t="shared" si="30"/>
        <v>2156</v>
      </c>
      <c r="L68" s="19">
        <f t="shared" si="19"/>
        <v>-47.000000000000597</v>
      </c>
      <c r="M68" s="19">
        <f t="shared" si="15"/>
        <v>-11.999999999999567</v>
      </c>
      <c r="N68" s="19">
        <f t="shared" si="16"/>
        <v>-8.0000000000008953</v>
      </c>
      <c r="O68" s="19">
        <f t="shared" si="23"/>
        <v>-48.000000000000043</v>
      </c>
      <c r="P68" s="19">
        <f t="shared" si="24"/>
        <v>-11.000000000000121</v>
      </c>
      <c r="Q68" s="19">
        <f t="shared" si="25"/>
        <v>-9.0000000000012292</v>
      </c>
      <c r="R68" s="19">
        <f t="shared" si="17"/>
        <v>-18.999999999991246</v>
      </c>
      <c r="S68" s="27"/>
      <c r="T68" s="28"/>
      <c r="U68" s="28"/>
      <c r="V68" s="28">
        <f t="shared" si="26"/>
        <v>-2.2988505747113697E-2</v>
      </c>
      <c r="W68" s="28">
        <f t="shared" si="27"/>
        <v>1.1494252873556848E-2</v>
      </c>
      <c r="X68" s="29">
        <f t="shared" si="28"/>
        <v>-1.1494252873556848E-2</v>
      </c>
      <c r="Y68" s="24"/>
    </row>
    <row r="69" spans="2:25" ht="15" customHeight="1" x14ac:dyDescent="0.2">
      <c r="B69" s="31">
        <v>42529</v>
      </c>
      <c r="C69" s="25">
        <v>12.63</v>
      </c>
      <c r="D69" s="26">
        <v>7.8129999999999997</v>
      </c>
      <c r="E69" s="26">
        <v>7.9249999999999998</v>
      </c>
      <c r="F69" s="16">
        <v>13.254</v>
      </c>
      <c r="G69" s="16">
        <v>9.8840000000000003</v>
      </c>
      <c r="H69" s="16">
        <v>10.289</v>
      </c>
      <c r="I69" s="16">
        <v>101.33799999999999</v>
      </c>
      <c r="J69" s="58">
        <v>2603</v>
      </c>
      <c r="K69" s="18">
        <f t="shared" si="30"/>
        <v>2275</v>
      </c>
      <c r="L69" s="19">
        <f t="shared" si="19"/>
        <v>-48.000000000000043</v>
      </c>
      <c r="M69" s="19">
        <f t="shared" si="15"/>
        <v>-11.999999999999567</v>
      </c>
      <c r="N69" s="19">
        <f t="shared" si="16"/>
        <v>-9.0000000000012292</v>
      </c>
      <c r="O69" s="19">
        <f t="shared" si="23"/>
        <v>-49.000000000001265</v>
      </c>
      <c r="P69" s="19">
        <f t="shared" si="24"/>
        <v>-12.999999999999012</v>
      </c>
      <c r="Q69" s="19">
        <f t="shared" si="25"/>
        <v>-9.0000000000012292</v>
      </c>
      <c r="R69" s="19">
        <f t="shared" si="17"/>
        <v>-19.999999999996021</v>
      </c>
      <c r="S69" s="27">
        <f t="shared" si="20"/>
        <v>-7.9999999999955662E-3</v>
      </c>
      <c r="T69" s="28">
        <f t="shared" si="21"/>
        <v>0</v>
      </c>
      <c r="U69" s="28">
        <f t="shared" si="22"/>
        <v>-8.0000000000026716E-3</v>
      </c>
      <c r="V69" s="28">
        <f t="shared" si="26"/>
        <v>-8.0000000000097771E-3</v>
      </c>
      <c r="W69" s="28">
        <f t="shared" si="27"/>
        <v>-1.5999999999991132E-2</v>
      </c>
      <c r="X69" s="29">
        <f t="shared" si="28"/>
        <v>0</v>
      </c>
      <c r="Y69" s="24"/>
    </row>
    <row r="70" spans="2:25" ht="15" customHeight="1" x14ac:dyDescent="0.2">
      <c r="B70" s="31"/>
      <c r="C70" s="25"/>
      <c r="D70" s="26"/>
      <c r="E70" s="26"/>
      <c r="F70" s="16"/>
      <c r="G70" s="16"/>
      <c r="H70" s="16"/>
      <c r="I70" s="16"/>
      <c r="J70" s="58"/>
      <c r="K70" s="18"/>
      <c r="L70" s="19" t="str">
        <f t="shared" si="19"/>
        <v/>
      </c>
      <c r="M70" s="19" t="str">
        <f t="shared" si="15"/>
        <v/>
      </c>
      <c r="N70" s="19" t="str">
        <f t="shared" si="16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17"/>
        <v/>
      </c>
      <c r="S70" s="27" t="str">
        <f t="shared" si="20"/>
        <v/>
      </c>
      <c r="T70" s="28" t="str">
        <f t="shared" si="21"/>
        <v/>
      </c>
      <c r="U70" s="28" t="str">
        <f t="shared" si="22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25"/>
      <c r="D71" s="26"/>
      <c r="E71" s="26"/>
      <c r="F71" s="16"/>
      <c r="G71" s="16"/>
      <c r="H71" s="16"/>
      <c r="I71" s="16"/>
      <c r="J71" s="58"/>
      <c r="K71" s="18"/>
      <c r="L71" s="19" t="str">
        <f t="shared" si="19"/>
        <v/>
      </c>
      <c r="M71" s="19" t="str">
        <f t="shared" si="15"/>
        <v/>
      </c>
      <c r="N71" s="19" t="str">
        <f t="shared" si="16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17"/>
        <v/>
      </c>
      <c r="S71" s="27" t="str">
        <f t="shared" si="20"/>
        <v/>
      </c>
      <c r="T71" s="28" t="str">
        <f t="shared" si="21"/>
        <v/>
      </c>
      <c r="U71" s="28" t="str">
        <f t="shared" si="22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15"/>
        <v/>
      </c>
      <c r="N72" s="19" t="str">
        <f t="shared" si="16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17"/>
        <v/>
      </c>
      <c r="S72" s="27" t="str">
        <f t="shared" si="20"/>
        <v/>
      </c>
      <c r="T72" s="28" t="str">
        <f t="shared" si="21"/>
        <v/>
      </c>
      <c r="U72" s="28" t="str">
        <f t="shared" si="22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15"/>
        <v/>
      </c>
      <c r="N73" s="19" t="str">
        <f t="shared" si="16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17"/>
        <v/>
      </c>
      <c r="S73" s="27" t="str">
        <f t="shared" si="20"/>
        <v/>
      </c>
      <c r="T73" s="28" t="str">
        <f t="shared" si="21"/>
        <v/>
      </c>
      <c r="U73" s="28" t="str">
        <f t="shared" si="22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15"/>
        <v/>
      </c>
      <c r="N74" s="19" t="str">
        <f t="shared" si="16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17"/>
        <v/>
      </c>
      <c r="S74" s="27" t="str">
        <f t="shared" si="20"/>
        <v/>
      </c>
      <c r="T74" s="28" t="str">
        <f t="shared" si="21"/>
        <v/>
      </c>
      <c r="U74" s="28" t="str">
        <f t="shared" si="22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15"/>
        <v/>
      </c>
      <c r="N75" s="19" t="str">
        <f t="shared" si="16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17"/>
        <v/>
      </c>
      <c r="S75" s="27" t="str">
        <f t="shared" si="20"/>
        <v/>
      </c>
      <c r="T75" s="28" t="str">
        <f t="shared" si="21"/>
        <v/>
      </c>
      <c r="U75" s="28" t="str">
        <f t="shared" si="22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15"/>
        <v/>
      </c>
      <c r="N76" s="19" t="str">
        <f t="shared" si="16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17"/>
        <v/>
      </c>
      <c r="S76" s="27" t="str">
        <f t="shared" si="20"/>
        <v/>
      </c>
      <c r="T76" s="28" t="str">
        <f t="shared" si="21"/>
        <v/>
      </c>
      <c r="U76" s="28" t="str">
        <f t="shared" si="22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15"/>
        <v/>
      </c>
      <c r="N77" s="19" t="str">
        <f t="shared" si="16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17"/>
        <v/>
      </c>
      <c r="S77" s="27" t="str">
        <f t="shared" si="20"/>
        <v/>
      </c>
      <c r="T77" s="28" t="str">
        <f t="shared" si="21"/>
        <v/>
      </c>
      <c r="U77" s="28" t="str">
        <f t="shared" si="22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15"/>
        <v/>
      </c>
      <c r="N78" s="19" t="str">
        <f t="shared" si="16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17"/>
        <v/>
      </c>
      <c r="S78" s="27" t="str">
        <f t="shared" si="20"/>
        <v/>
      </c>
      <c r="T78" s="28" t="str">
        <f t="shared" si="21"/>
        <v/>
      </c>
      <c r="U78" s="28" t="str">
        <f t="shared" si="22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15"/>
        <v/>
      </c>
      <c r="N79" s="19" t="str">
        <f t="shared" si="16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17"/>
        <v/>
      </c>
      <c r="S79" s="27" t="str">
        <f t="shared" si="20"/>
        <v/>
      </c>
      <c r="T79" s="28" t="str">
        <f t="shared" si="21"/>
        <v/>
      </c>
      <c r="U79" s="28" t="str">
        <f t="shared" si="22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1">IF(ISBLANK(C80),"",(C80-C$16)*1000)</f>
        <v/>
      </c>
      <c r="M80" s="19" t="str">
        <f t="shared" si="15"/>
        <v/>
      </c>
      <c r="N80" s="19" t="str">
        <f t="shared" si="16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17"/>
        <v/>
      </c>
      <c r="S80" s="27" t="str">
        <f t="shared" si="20"/>
        <v/>
      </c>
      <c r="T80" s="28" t="str">
        <f t="shared" si="21"/>
        <v/>
      </c>
      <c r="U80" s="28" t="str">
        <f t="shared" si="22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1"/>
        <v/>
      </c>
      <c r="M81" s="19" t="str">
        <f t="shared" si="15"/>
        <v/>
      </c>
      <c r="N81" s="19" t="str">
        <f t="shared" si="16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17"/>
        <v/>
      </c>
      <c r="S81" s="27" t="str">
        <f t="shared" ref="S81:S112" si="32">IF(C81="","",((C81-C80)*1000)/($B81-$B80))</f>
        <v/>
      </c>
      <c r="T81" s="28" t="str">
        <f t="shared" ref="T81:T112" si="33">IF(D81="","",((D81-D80)*1000)/($B81-$B80))</f>
        <v/>
      </c>
      <c r="U81" s="28" t="str">
        <f t="shared" ref="U81:U112" si="34">IF(E81="","",((E81-E80)*1000)/($B81-$B80))</f>
        <v/>
      </c>
      <c r="V81" s="28" t="str">
        <f t="shared" ref="V81:V112" si="35">IF(F81="","",((F81-F80)*1000)/($B81-$B80))</f>
        <v/>
      </c>
      <c r="W81" s="28" t="str">
        <f t="shared" ref="W81:W112" si="36">IF(G81="","",((G81-G80)*1000)/($B81-$B80))</f>
        <v/>
      </c>
      <c r="X81" s="29" t="str">
        <f t="shared" ref="X81:X112" si="37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1"/>
        <v/>
      </c>
      <c r="M82" s="19" t="str">
        <f t="shared" si="15"/>
        <v/>
      </c>
      <c r="N82" s="19" t="str">
        <f t="shared" si="16"/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17"/>
        <v/>
      </c>
      <c r="S82" s="27" t="str">
        <f t="shared" si="32"/>
        <v/>
      </c>
      <c r="T82" s="28" t="str">
        <f t="shared" si="33"/>
        <v/>
      </c>
      <c r="U82" s="28" t="str">
        <f t="shared" si="34"/>
        <v/>
      </c>
      <c r="V82" s="28" t="str">
        <f t="shared" si="35"/>
        <v/>
      </c>
      <c r="W82" s="28" t="str">
        <f t="shared" si="36"/>
        <v/>
      </c>
      <c r="X82" s="29" t="str">
        <f t="shared" si="3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1"/>
        <v/>
      </c>
      <c r="M83" s="19" t="str">
        <f t="shared" si="15"/>
        <v/>
      </c>
      <c r="N83" s="19" t="str">
        <f t="shared" si="1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17"/>
        <v/>
      </c>
      <c r="S83" s="27" t="str">
        <f t="shared" si="32"/>
        <v/>
      </c>
      <c r="T83" s="28" t="str">
        <f t="shared" si="33"/>
        <v/>
      </c>
      <c r="U83" s="28" t="str">
        <f t="shared" si="34"/>
        <v/>
      </c>
      <c r="V83" s="28" t="str">
        <f t="shared" si="35"/>
        <v/>
      </c>
      <c r="W83" s="28" t="str">
        <f t="shared" si="36"/>
        <v/>
      </c>
      <c r="X83" s="29" t="str">
        <f t="shared" si="3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1"/>
        <v/>
      </c>
      <c r="M84" s="19" t="str">
        <f t="shared" si="15"/>
        <v/>
      </c>
      <c r="N84" s="19" t="str">
        <f t="shared" si="1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17"/>
        <v/>
      </c>
      <c r="S84" s="27" t="str">
        <f t="shared" si="32"/>
        <v/>
      </c>
      <c r="T84" s="28" t="str">
        <f t="shared" si="33"/>
        <v/>
      </c>
      <c r="U84" s="28" t="str">
        <f t="shared" si="34"/>
        <v/>
      </c>
      <c r="V84" s="28" t="str">
        <f t="shared" si="35"/>
        <v/>
      </c>
      <c r="W84" s="28" t="str">
        <f t="shared" si="36"/>
        <v/>
      </c>
      <c r="X84" s="29" t="str">
        <f t="shared" si="3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1"/>
        <v/>
      </c>
      <c r="M85" s="19" t="str">
        <f t="shared" si="15"/>
        <v/>
      </c>
      <c r="N85" s="19" t="str">
        <f t="shared" si="1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17"/>
        <v/>
      </c>
      <c r="S85" s="27" t="str">
        <f t="shared" si="32"/>
        <v/>
      </c>
      <c r="T85" s="28" t="str">
        <f t="shared" si="33"/>
        <v/>
      </c>
      <c r="U85" s="28" t="str">
        <f t="shared" si="34"/>
        <v/>
      </c>
      <c r="V85" s="28" t="str">
        <f t="shared" si="35"/>
        <v/>
      </c>
      <c r="W85" s="28" t="str">
        <f t="shared" si="36"/>
        <v/>
      </c>
      <c r="X85" s="29" t="str">
        <f t="shared" si="3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1"/>
        <v/>
      </c>
      <c r="M86" s="19" t="str">
        <f t="shared" si="15"/>
        <v/>
      </c>
      <c r="N86" s="19" t="str">
        <f t="shared" si="1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17"/>
        <v/>
      </c>
      <c r="S86" s="27" t="str">
        <f t="shared" si="32"/>
        <v/>
      </c>
      <c r="T86" s="28" t="str">
        <f t="shared" si="33"/>
        <v/>
      </c>
      <c r="U86" s="28" t="str">
        <f t="shared" si="34"/>
        <v/>
      </c>
      <c r="V86" s="28" t="str">
        <f t="shared" si="35"/>
        <v/>
      </c>
      <c r="W86" s="28" t="str">
        <f t="shared" si="36"/>
        <v/>
      </c>
      <c r="X86" s="29" t="str">
        <f t="shared" si="3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1"/>
        <v/>
      </c>
      <c r="M87" s="19" t="str">
        <f t="shared" si="15"/>
        <v/>
      </c>
      <c r="N87" s="19" t="str">
        <f t="shared" si="1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17"/>
        <v/>
      </c>
      <c r="S87" s="27" t="str">
        <f t="shared" si="32"/>
        <v/>
      </c>
      <c r="T87" s="28" t="str">
        <f t="shared" si="33"/>
        <v/>
      </c>
      <c r="U87" s="28" t="str">
        <f t="shared" si="34"/>
        <v/>
      </c>
      <c r="V87" s="28" t="str">
        <f t="shared" si="35"/>
        <v/>
      </c>
      <c r="W87" s="28" t="str">
        <f t="shared" si="36"/>
        <v/>
      </c>
      <c r="X87" s="29" t="str">
        <f t="shared" si="3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1"/>
        <v/>
      </c>
      <c r="M88" s="19" t="str">
        <f t="shared" si="15"/>
        <v/>
      </c>
      <c r="N88" s="19" t="str">
        <f t="shared" si="1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17"/>
        <v/>
      </c>
      <c r="S88" s="27" t="str">
        <f t="shared" si="32"/>
        <v/>
      </c>
      <c r="T88" s="28" t="str">
        <f t="shared" si="33"/>
        <v/>
      </c>
      <c r="U88" s="28" t="str">
        <f t="shared" si="34"/>
        <v/>
      </c>
      <c r="V88" s="28" t="str">
        <f t="shared" si="35"/>
        <v/>
      </c>
      <c r="W88" s="28" t="str">
        <f t="shared" si="36"/>
        <v/>
      </c>
      <c r="X88" s="29" t="str">
        <f t="shared" si="3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1"/>
        <v/>
      </c>
      <c r="M89" s="19" t="str">
        <f t="shared" si="15"/>
        <v/>
      </c>
      <c r="N89" s="19" t="str">
        <f t="shared" si="1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17"/>
        <v/>
      </c>
      <c r="S89" s="27" t="str">
        <f t="shared" si="32"/>
        <v/>
      </c>
      <c r="T89" s="28" t="str">
        <f t="shared" si="33"/>
        <v/>
      </c>
      <c r="U89" s="28" t="str">
        <f t="shared" si="34"/>
        <v/>
      </c>
      <c r="V89" s="28" t="str">
        <f t="shared" si="35"/>
        <v/>
      </c>
      <c r="W89" s="28" t="str">
        <f t="shared" si="36"/>
        <v/>
      </c>
      <c r="X89" s="29" t="str">
        <f t="shared" si="3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1"/>
        <v/>
      </c>
      <c r="M90" s="19" t="str">
        <f t="shared" si="15"/>
        <v/>
      </c>
      <c r="N90" s="19" t="str">
        <f t="shared" si="1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17"/>
        <v/>
      </c>
      <c r="S90" s="27" t="str">
        <f t="shared" si="32"/>
        <v/>
      </c>
      <c r="T90" s="28" t="str">
        <f t="shared" si="33"/>
        <v/>
      </c>
      <c r="U90" s="28" t="str">
        <f t="shared" si="34"/>
        <v/>
      </c>
      <c r="V90" s="28" t="str">
        <f t="shared" si="35"/>
        <v/>
      </c>
      <c r="W90" s="28" t="str">
        <f t="shared" si="36"/>
        <v/>
      </c>
      <c r="X90" s="29" t="str">
        <f t="shared" si="3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1"/>
        <v/>
      </c>
      <c r="M91" s="19" t="str">
        <f t="shared" si="15"/>
        <v/>
      </c>
      <c r="N91" s="19" t="str">
        <f t="shared" si="1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17"/>
        <v/>
      </c>
      <c r="S91" s="27" t="str">
        <f t="shared" si="32"/>
        <v/>
      </c>
      <c r="T91" s="28" t="str">
        <f t="shared" si="33"/>
        <v/>
      </c>
      <c r="U91" s="28" t="str">
        <f t="shared" si="34"/>
        <v/>
      </c>
      <c r="V91" s="28" t="str">
        <f t="shared" si="35"/>
        <v/>
      </c>
      <c r="W91" s="28" t="str">
        <f t="shared" si="36"/>
        <v/>
      </c>
      <c r="X91" s="29" t="str">
        <f t="shared" si="3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1"/>
        <v/>
      </c>
      <c r="M92" s="19" t="str">
        <f t="shared" si="15"/>
        <v/>
      </c>
      <c r="N92" s="19" t="str">
        <f t="shared" si="1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17"/>
        <v/>
      </c>
      <c r="S92" s="27" t="str">
        <f t="shared" si="32"/>
        <v/>
      </c>
      <c r="T92" s="28" t="str">
        <f t="shared" si="33"/>
        <v/>
      </c>
      <c r="U92" s="28" t="str">
        <f t="shared" si="34"/>
        <v/>
      </c>
      <c r="V92" s="28" t="str">
        <f t="shared" si="35"/>
        <v/>
      </c>
      <c r="W92" s="28" t="str">
        <f t="shared" si="36"/>
        <v/>
      </c>
      <c r="X92" s="29" t="str">
        <f t="shared" si="3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1"/>
        <v/>
      </c>
      <c r="M93" s="19" t="str">
        <f t="shared" ref="M93:M153" si="38">IF(ISBLANK(D93),"",((D93-D$28)*1000)+M$27)</f>
        <v/>
      </c>
      <c r="N93" s="19" t="str">
        <f t="shared" ref="N93:N153" si="39">IF(ISBLANK(E93),"",((E93-E$28)*1000)+N$27)</f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ref="R93:R153" si="40">IF(ISBLANK(I93),"",((I93-I$28)*1000)+R$27)</f>
        <v/>
      </c>
      <c r="S93" s="27" t="str">
        <f t="shared" si="32"/>
        <v/>
      </c>
      <c r="T93" s="28" t="str">
        <f t="shared" si="33"/>
        <v/>
      </c>
      <c r="U93" s="28" t="str">
        <f t="shared" si="34"/>
        <v/>
      </c>
      <c r="V93" s="28" t="str">
        <f t="shared" si="35"/>
        <v/>
      </c>
      <c r="W93" s="28" t="str">
        <f t="shared" si="36"/>
        <v/>
      </c>
      <c r="X93" s="29" t="str">
        <f t="shared" si="3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1"/>
        <v/>
      </c>
      <c r="M94" s="19" t="str">
        <f t="shared" si="38"/>
        <v/>
      </c>
      <c r="N94" s="19" t="str">
        <f t="shared" si="39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40"/>
        <v/>
      </c>
      <c r="S94" s="27" t="str">
        <f t="shared" si="32"/>
        <v/>
      </c>
      <c r="T94" s="28" t="str">
        <f t="shared" si="33"/>
        <v/>
      </c>
      <c r="U94" s="28" t="str">
        <f t="shared" si="34"/>
        <v/>
      </c>
      <c r="V94" s="28" t="str">
        <f t="shared" si="35"/>
        <v/>
      </c>
      <c r="W94" s="28" t="str">
        <f t="shared" si="36"/>
        <v/>
      </c>
      <c r="X94" s="29" t="str">
        <f t="shared" si="3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1"/>
        <v/>
      </c>
      <c r="M95" s="19" t="str">
        <f t="shared" si="38"/>
        <v/>
      </c>
      <c r="N95" s="19" t="str">
        <f t="shared" si="39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40"/>
        <v/>
      </c>
      <c r="S95" s="27" t="str">
        <f t="shared" si="32"/>
        <v/>
      </c>
      <c r="T95" s="28" t="str">
        <f t="shared" si="33"/>
        <v/>
      </c>
      <c r="U95" s="28" t="str">
        <f t="shared" si="34"/>
        <v/>
      </c>
      <c r="V95" s="28" t="str">
        <f t="shared" si="35"/>
        <v/>
      </c>
      <c r="W95" s="28" t="str">
        <f t="shared" si="36"/>
        <v/>
      </c>
      <c r="X95" s="29" t="str">
        <f t="shared" si="3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1"/>
        <v/>
      </c>
      <c r="M96" s="19" t="str">
        <f t="shared" si="38"/>
        <v/>
      </c>
      <c r="N96" s="19" t="str">
        <f t="shared" si="39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40"/>
        <v/>
      </c>
      <c r="S96" s="27" t="str">
        <f t="shared" si="32"/>
        <v/>
      </c>
      <c r="T96" s="28" t="str">
        <f t="shared" si="33"/>
        <v/>
      </c>
      <c r="U96" s="28" t="str">
        <f t="shared" si="34"/>
        <v/>
      </c>
      <c r="V96" s="28" t="str">
        <f t="shared" si="35"/>
        <v/>
      </c>
      <c r="W96" s="28" t="str">
        <f t="shared" si="36"/>
        <v/>
      </c>
      <c r="X96" s="29" t="str">
        <f t="shared" si="3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1"/>
        <v/>
      </c>
      <c r="M97" s="19" t="str">
        <f t="shared" si="38"/>
        <v/>
      </c>
      <c r="N97" s="19" t="str">
        <f t="shared" si="39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40"/>
        <v/>
      </c>
      <c r="S97" s="27" t="str">
        <f t="shared" si="32"/>
        <v/>
      </c>
      <c r="T97" s="28" t="str">
        <f t="shared" si="33"/>
        <v/>
      </c>
      <c r="U97" s="28" t="str">
        <f t="shared" si="34"/>
        <v/>
      </c>
      <c r="V97" s="28" t="str">
        <f t="shared" si="35"/>
        <v/>
      </c>
      <c r="W97" s="28" t="str">
        <f t="shared" si="36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1"/>
        <v/>
      </c>
      <c r="M98" s="19" t="str">
        <f t="shared" si="38"/>
        <v/>
      </c>
      <c r="N98" s="19" t="str">
        <f t="shared" si="39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40"/>
        <v/>
      </c>
      <c r="S98" s="27" t="str">
        <f t="shared" si="32"/>
        <v/>
      </c>
      <c r="T98" s="28" t="str">
        <f t="shared" si="33"/>
        <v/>
      </c>
      <c r="U98" s="28" t="str">
        <f t="shared" si="34"/>
        <v/>
      </c>
      <c r="V98" s="28" t="str">
        <f t="shared" si="35"/>
        <v/>
      </c>
      <c r="W98" s="28" t="str">
        <f t="shared" si="36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1"/>
        <v/>
      </c>
      <c r="M99" s="19" t="str">
        <f t="shared" si="38"/>
        <v/>
      </c>
      <c r="N99" s="19" t="str">
        <f t="shared" si="39"/>
        <v/>
      </c>
      <c r="O99" s="19" t="str">
        <f t="shared" si="23"/>
        <v/>
      </c>
      <c r="P99" s="19" t="str">
        <f t="shared" si="24"/>
        <v/>
      </c>
      <c r="Q99" s="19" t="str">
        <f t="shared" si="25"/>
        <v/>
      </c>
      <c r="R99" s="19" t="str">
        <f t="shared" si="40"/>
        <v/>
      </c>
      <c r="S99" s="27" t="str">
        <f t="shared" si="32"/>
        <v/>
      </c>
      <c r="T99" s="28" t="str">
        <f t="shared" si="33"/>
        <v/>
      </c>
      <c r="U99" s="28" t="str">
        <f t="shared" si="34"/>
        <v/>
      </c>
      <c r="V99" s="28" t="str">
        <f t="shared" si="35"/>
        <v/>
      </c>
      <c r="W99" s="28" t="str">
        <f t="shared" si="36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1"/>
        <v/>
      </c>
      <c r="M100" s="19" t="str">
        <f t="shared" si="38"/>
        <v/>
      </c>
      <c r="N100" s="19" t="str">
        <f t="shared" si="39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40"/>
        <v/>
      </c>
      <c r="S100" s="27" t="str">
        <f t="shared" si="32"/>
        <v/>
      </c>
      <c r="T100" s="28" t="str">
        <f t="shared" si="33"/>
        <v/>
      </c>
      <c r="U100" s="28" t="str">
        <f t="shared" si="34"/>
        <v/>
      </c>
      <c r="V100" s="28" t="str">
        <f t="shared" si="35"/>
        <v/>
      </c>
      <c r="W100" s="28" t="str">
        <f t="shared" si="36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1"/>
        <v/>
      </c>
      <c r="M101" s="19" t="str">
        <f t="shared" si="38"/>
        <v/>
      </c>
      <c r="N101" s="19" t="str">
        <f t="shared" si="39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40"/>
        <v/>
      </c>
      <c r="S101" s="27" t="str">
        <f t="shared" si="32"/>
        <v/>
      </c>
      <c r="T101" s="28" t="str">
        <f t="shared" si="33"/>
        <v/>
      </c>
      <c r="U101" s="28" t="str">
        <f t="shared" si="34"/>
        <v/>
      </c>
      <c r="V101" s="28" t="str">
        <f t="shared" si="35"/>
        <v/>
      </c>
      <c r="W101" s="28" t="str">
        <f t="shared" si="36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1"/>
        <v/>
      </c>
      <c r="M102" s="19" t="str">
        <f t="shared" si="38"/>
        <v/>
      </c>
      <c r="N102" s="19" t="str">
        <f t="shared" si="39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40"/>
        <v/>
      </c>
      <c r="S102" s="27" t="str">
        <f t="shared" si="32"/>
        <v/>
      </c>
      <c r="T102" s="28" t="str">
        <f t="shared" si="33"/>
        <v/>
      </c>
      <c r="U102" s="28" t="str">
        <f t="shared" si="34"/>
        <v/>
      </c>
      <c r="V102" s="28" t="str">
        <f t="shared" si="35"/>
        <v/>
      </c>
      <c r="W102" s="28" t="str">
        <f t="shared" si="36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1"/>
        <v/>
      </c>
      <c r="M103" s="19" t="str">
        <f t="shared" si="38"/>
        <v/>
      </c>
      <c r="N103" s="19" t="str">
        <f t="shared" si="39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40"/>
        <v/>
      </c>
      <c r="S103" s="27" t="str">
        <f t="shared" si="32"/>
        <v/>
      </c>
      <c r="T103" s="28" t="str">
        <f t="shared" si="33"/>
        <v/>
      </c>
      <c r="U103" s="28" t="str">
        <f t="shared" si="34"/>
        <v/>
      </c>
      <c r="V103" s="28" t="str">
        <f t="shared" si="35"/>
        <v/>
      </c>
      <c r="W103" s="28" t="str">
        <f t="shared" si="36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1"/>
        <v/>
      </c>
      <c r="M104" s="19" t="str">
        <f t="shared" si="38"/>
        <v/>
      </c>
      <c r="N104" s="19" t="str">
        <f t="shared" si="39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40"/>
        <v/>
      </c>
      <c r="S104" s="27" t="str">
        <f t="shared" si="32"/>
        <v/>
      </c>
      <c r="T104" s="28" t="str">
        <f t="shared" si="33"/>
        <v/>
      </c>
      <c r="U104" s="28" t="str">
        <f t="shared" si="34"/>
        <v/>
      </c>
      <c r="V104" s="28" t="str">
        <f t="shared" si="35"/>
        <v/>
      </c>
      <c r="W104" s="28" t="str">
        <f t="shared" si="36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1"/>
        <v/>
      </c>
      <c r="M105" s="19" t="str">
        <f t="shared" si="38"/>
        <v/>
      </c>
      <c r="N105" s="19" t="str">
        <f t="shared" si="39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40"/>
        <v/>
      </c>
      <c r="S105" s="27" t="str">
        <f t="shared" si="32"/>
        <v/>
      </c>
      <c r="T105" s="28" t="str">
        <f t="shared" si="33"/>
        <v/>
      </c>
      <c r="U105" s="28" t="str">
        <f t="shared" si="34"/>
        <v/>
      </c>
      <c r="V105" s="28" t="str">
        <f t="shared" si="35"/>
        <v/>
      </c>
      <c r="W105" s="28" t="str">
        <f t="shared" si="36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1"/>
        <v/>
      </c>
      <c r="M106" s="19" t="str">
        <f t="shared" si="38"/>
        <v/>
      </c>
      <c r="N106" s="19" t="str">
        <f t="shared" si="39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40"/>
        <v/>
      </c>
      <c r="S106" s="27" t="str">
        <f t="shared" si="32"/>
        <v/>
      </c>
      <c r="T106" s="28" t="str">
        <f t="shared" si="33"/>
        <v/>
      </c>
      <c r="U106" s="28" t="str">
        <f t="shared" si="34"/>
        <v/>
      </c>
      <c r="V106" s="28" t="str">
        <f t="shared" si="35"/>
        <v/>
      </c>
      <c r="W106" s="28" t="str">
        <f t="shared" si="36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1"/>
        <v/>
      </c>
      <c r="M107" s="19" t="str">
        <f t="shared" si="38"/>
        <v/>
      </c>
      <c r="N107" s="19" t="str">
        <f t="shared" si="39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40"/>
        <v/>
      </c>
      <c r="S107" s="27" t="str">
        <f t="shared" si="32"/>
        <v/>
      </c>
      <c r="T107" s="28" t="str">
        <f t="shared" si="33"/>
        <v/>
      </c>
      <c r="U107" s="28" t="str">
        <f t="shared" si="34"/>
        <v/>
      </c>
      <c r="V107" s="28" t="str">
        <f t="shared" si="35"/>
        <v/>
      </c>
      <c r="W107" s="28" t="str">
        <f t="shared" si="36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1"/>
        <v/>
      </c>
      <c r="M108" s="19" t="str">
        <f t="shared" si="38"/>
        <v/>
      </c>
      <c r="N108" s="19" t="str">
        <f t="shared" si="39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40"/>
        <v/>
      </c>
      <c r="S108" s="27" t="str">
        <f t="shared" si="32"/>
        <v/>
      </c>
      <c r="T108" s="28" t="str">
        <f t="shared" si="33"/>
        <v/>
      </c>
      <c r="U108" s="28" t="str">
        <f t="shared" si="34"/>
        <v/>
      </c>
      <c r="V108" s="28" t="str">
        <f t="shared" si="35"/>
        <v/>
      </c>
      <c r="W108" s="28" t="str">
        <f t="shared" si="36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1"/>
        <v/>
      </c>
      <c r="M109" s="19" t="str">
        <f t="shared" si="38"/>
        <v/>
      </c>
      <c r="N109" s="19" t="str">
        <f t="shared" si="39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40"/>
        <v/>
      </c>
      <c r="S109" s="27" t="str">
        <f t="shared" si="32"/>
        <v/>
      </c>
      <c r="T109" s="28" t="str">
        <f t="shared" si="33"/>
        <v/>
      </c>
      <c r="U109" s="28" t="str">
        <f t="shared" si="34"/>
        <v/>
      </c>
      <c r="V109" s="28" t="str">
        <f t="shared" si="35"/>
        <v/>
      </c>
      <c r="W109" s="28" t="str">
        <f t="shared" si="36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1"/>
        <v/>
      </c>
      <c r="M110" s="19" t="str">
        <f t="shared" si="38"/>
        <v/>
      </c>
      <c r="N110" s="19" t="str">
        <f t="shared" si="39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40"/>
        <v/>
      </c>
      <c r="S110" s="27" t="str">
        <f t="shared" si="32"/>
        <v/>
      </c>
      <c r="T110" s="28" t="str">
        <f t="shared" si="33"/>
        <v/>
      </c>
      <c r="U110" s="28" t="str">
        <f t="shared" si="34"/>
        <v/>
      </c>
      <c r="V110" s="28" t="str">
        <f t="shared" si="35"/>
        <v/>
      </c>
      <c r="W110" s="28" t="str">
        <f t="shared" si="36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1"/>
        <v/>
      </c>
      <c r="M111" s="19" t="str">
        <f t="shared" si="38"/>
        <v/>
      </c>
      <c r="N111" s="19" t="str">
        <f t="shared" si="39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40"/>
        <v/>
      </c>
      <c r="S111" s="27" t="str">
        <f t="shared" si="32"/>
        <v/>
      </c>
      <c r="T111" s="28" t="str">
        <f t="shared" si="33"/>
        <v/>
      </c>
      <c r="U111" s="28" t="str">
        <f t="shared" si="34"/>
        <v/>
      </c>
      <c r="V111" s="28" t="str">
        <f t="shared" si="35"/>
        <v/>
      </c>
      <c r="W111" s="28" t="str">
        <f t="shared" si="36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1">IF(ISBLANK(C112),"",(C112-C$16)*1000)</f>
        <v/>
      </c>
      <c r="M112" s="19" t="str">
        <f t="shared" si="38"/>
        <v/>
      </c>
      <c r="N112" s="19" t="str">
        <f t="shared" si="39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40"/>
        <v/>
      </c>
      <c r="S112" s="27" t="str">
        <f t="shared" si="32"/>
        <v/>
      </c>
      <c r="T112" s="28" t="str">
        <f t="shared" si="33"/>
        <v/>
      </c>
      <c r="U112" s="28" t="str">
        <f t="shared" si="34"/>
        <v/>
      </c>
      <c r="V112" s="28" t="str">
        <f t="shared" si="35"/>
        <v/>
      </c>
      <c r="W112" s="28" t="str">
        <f t="shared" si="36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1"/>
        <v/>
      </c>
      <c r="M113" s="19" t="str">
        <f t="shared" si="38"/>
        <v/>
      </c>
      <c r="N113" s="19" t="str">
        <f t="shared" si="39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40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1"/>
        <v/>
      </c>
      <c r="M114" s="19" t="str">
        <f t="shared" si="38"/>
        <v/>
      </c>
      <c r="N114" s="19" t="str">
        <f t="shared" si="39"/>
        <v/>
      </c>
      <c r="O114" s="19" t="str">
        <f t="shared" ref="O114:O153" si="48">IF(ISBLANK(F114),"",((F114-F$49)*1000)+L$49)</f>
        <v/>
      </c>
      <c r="P114" s="19" t="str">
        <f t="shared" ref="P114:P153" si="49">IF(ISBLANK(G114),"",((G114-G$49)*1000)+M$49)</f>
        <v/>
      </c>
      <c r="Q114" s="19" t="str">
        <f t="shared" ref="Q114:Q153" si="50">IF(ISBLANK(H114),"",((H114-H$49)*1000)+N$49)</f>
        <v/>
      </c>
      <c r="R114" s="19" t="str">
        <f t="shared" si="40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1"/>
        <v/>
      </c>
      <c r="M115" s="19" t="str">
        <f t="shared" si="38"/>
        <v/>
      </c>
      <c r="N115" s="19" t="str">
        <f t="shared" si="39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0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1"/>
        <v/>
      </c>
      <c r="M116" s="19" t="str">
        <f t="shared" si="38"/>
        <v/>
      </c>
      <c r="N116" s="19" t="str">
        <f t="shared" si="39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0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1"/>
        <v/>
      </c>
      <c r="M117" s="19" t="str">
        <f t="shared" si="38"/>
        <v/>
      </c>
      <c r="N117" s="19" t="str">
        <f t="shared" si="39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0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1"/>
        <v/>
      </c>
      <c r="M118" s="19" t="str">
        <f t="shared" si="38"/>
        <v/>
      </c>
      <c r="N118" s="19" t="str">
        <f t="shared" si="39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0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1"/>
        <v/>
      </c>
      <c r="M119" s="19" t="str">
        <f t="shared" si="38"/>
        <v/>
      </c>
      <c r="N119" s="19" t="str">
        <f t="shared" si="39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0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1"/>
        <v/>
      </c>
      <c r="M120" s="19" t="str">
        <f t="shared" si="38"/>
        <v/>
      </c>
      <c r="N120" s="19" t="str">
        <f t="shared" si="39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0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1"/>
        <v/>
      </c>
      <c r="M121" s="19" t="str">
        <f t="shared" si="38"/>
        <v/>
      </c>
      <c r="N121" s="19" t="str">
        <f t="shared" si="39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0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1"/>
        <v/>
      </c>
      <c r="M122" s="19" t="str">
        <f t="shared" si="38"/>
        <v/>
      </c>
      <c r="N122" s="19" t="str">
        <f t="shared" si="39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0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1"/>
        <v/>
      </c>
      <c r="M123" s="19" t="str">
        <f t="shared" si="38"/>
        <v/>
      </c>
      <c r="N123" s="19" t="str">
        <f t="shared" si="39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0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1"/>
        <v/>
      </c>
      <c r="M124" s="19" t="str">
        <f t="shared" si="38"/>
        <v/>
      </c>
      <c r="N124" s="19" t="str">
        <f t="shared" si="39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0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1"/>
        <v/>
      </c>
      <c r="M125" s="19" t="str">
        <f t="shared" si="38"/>
        <v/>
      </c>
      <c r="N125" s="19" t="str">
        <f t="shared" si="39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0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1"/>
        <v/>
      </c>
      <c r="M126" s="19" t="str">
        <f t="shared" si="38"/>
        <v/>
      </c>
      <c r="N126" s="19" t="str">
        <f t="shared" si="39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0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1"/>
        <v/>
      </c>
      <c r="M127" s="19" t="str">
        <f t="shared" si="38"/>
        <v/>
      </c>
      <c r="N127" s="19" t="str">
        <f t="shared" si="39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0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1"/>
        <v/>
      </c>
      <c r="M128" s="19" t="str">
        <f t="shared" si="38"/>
        <v/>
      </c>
      <c r="N128" s="19" t="str">
        <f t="shared" si="39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0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1"/>
        <v/>
      </c>
      <c r="M129" s="19" t="str">
        <f t="shared" si="38"/>
        <v/>
      </c>
      <c r="N129" s="19" t="str">
        <f t="shared" si="39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0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1"/>
        <v/>
      </c>
      <c r="M130" s="19" t="str">
        <f t="shared" si="38"/>
        <v/>
      </c>
      <c r="N130" s="19" t="str">
        <f t="shared" si="39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0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1"/>
        <v/>
      </c>
      <c r="M131" s="19" t="str">
        <f t="shared" si="38"/>
        <v/>
      </c>
      <c r="N131" s="19" t="str">
        <f t="shared" si="39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0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1"/>
        <v/>
      </c>
      <c r="M132" s="19" t="str">
        <f t="shared" si="38"/>
        <v/>
      </c>
      <c r="N132" s="19" t="str">
        <f t="shared" si="39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0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1"/>
        <v/>
      </c>
      <c r="M133" s="19" t="str">
        <f t="shared" si="38"/>
        <v/>
      </c>
      <c r="N133" s="19" t="str">
        <f t="shared" si="39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0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1"/>
        <v/>
      </c>
      <c r="M134" s="19" t="str">
        <f t="shared" si="38"/>
        <v/>
      </c>
      <c r="N134" s="19" t="str">
        <f t="shared" si="39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0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1"/>
        <v/>
      </c>
      <c r="M135" s="19" t="str">
        <f t="shared" si="38"/>
        <v/>
      </c>
      <c r="N135" s="19" t="str">
        <f t="shared" si="39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0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1"/>
        <v/>
      </c>
      <c r="M136" s="19" t="str">
        <f t="shared" si="38"/>
        <v/>
      </c>
      <c r="N136" s="19" t="str">
        <f t="shared" si="39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0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1"/>
        <v/>
      </c>
      <c r="M137" s="19" t="str">
        <f t="shared" si="38"/>
        <v/>
      </c>
      <c r="N137" s="19" t="str">
        <f t="shared" si="39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0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1"/>
        <v/>
      </c>
      <c r="M138" s="19" t="str">
        <f t="shared" si="38"/>
        <v/>
      </c>
      <c r="N138" s="19" t="str">
        <f t="shared" si="39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0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1"/>
        <v/>
      </c>
      <c r="M139" s="19" t="str">
        <f t="shared" si="38"/>
        <v/>
      </c>
      <c r="N139" s="19" t="str">
        <f t="shared" si="39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0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1"/>
        <v/>
      </c>
      <c r="M140" s="19" t="str">
        <f t="shared" si="38"/>
        <v/>
      </c>
      <c r="N140" s="19" t="str">
        <f t="shared" si="39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0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1"/>
        <v/>
      </c>
      <c r="M141" s="19" t="str">
        <f t="shared" si="38"/>
        <v/>
      </c>
      <c r="N141" s="19" t="str">
        <f t="shared" si="39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0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1"/>
        <v/>
      </c>
      <c r="M142" s="19" t="str">
        <f t="shared" si="38"/>
        <v/>
      </c>
      <c r="N142" s="19" t="str">
        <f t="shared" si="39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0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1"/>
        <v/>
      </c>
      <c r="M143" s="19" t="str">
        <f t="shared" si="38"/>
        <v/>
      </c>
      <c r="N143" s="19" t="str">
        <f t="shared" si="39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0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1">IF(ISBLANK(C144),"",(C144-C$16)*1000)</f>
        <v/>
      </c>
      <c r="M144" s="19" t="str">
        <f t="shared" si="38"/>
        <v/>
      </c>
      <c r="N144" s="19" t="str">
        <f t="shared" si="39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0"/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38"/>
        <v/>
      </c>
      <c r="N145" s="19" t="str">
        <f t="shared" si="39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0"/>
        <v/>
      </c>
      <c r="S145" s="27" t="str">
        <f t="shared" ref="S145:S153" si="52">IF(C145="","",((C145-C144)*1000)/($B145-$B144))</f>
        <v/>
      </c>
      <c r="T145" s="28" t="str">
        <f t="shared" ref="T145:T153" si="53">IF(D145="","",((D145-D144)*1000)/($B145-$B144))</f>
        <v/>
      </c>
      <c r="U145" s="28" t="str">
        <f t="shared" ref="U145:U153" si="54">IF(E145="","",((E145-E144)*1000)/($B145-$B144))</f>
        <v/>
      </c>
      <c r="V145" s="28" t="str">
        <f t="shared" ref="V145:V153" si="55">IF(F145="","",((F145-F144)*1000)/($B145-$B144))</f>
        <v/>
      </c>
      <c r="W145" s="28" t="str">
        <f t="shared" ref="W145:W153" si="56">IF(G145="","",((G145-G144)*1000)/($B145-$B144))</f>
        <v/>
      </c>
      <c r="X145" s="29" t="str">
        <f t="shared" ref="X145:X153" si="57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38"/>
        <v/>
      </c>
      <c r="N146" s="19" t="str">
        <f t="shared" si="39"/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si="40"/>
        <v/>
      </c>
      <c r="S146" s="27" t="str">
        <f t="shared" si="52"/>
        <v/>
      </c>
      <c r="T146" s="28" t="str">
        <f t="shared" si="53"/>
        <v/>
      </c>
      <c r="U146" s="28" t="str">
        <f t="shared" si="54"/>
        <v/>
      </c>
      <c r="V146" s="28" t="str">
        <f t="shared" si="55"/>
        <v/>
      </c>
      <c r="W146" s="28" t="str">
        <f t="shared" si="56"/>
        <v/>
      </c>
      <c r="X146" s="29" t="str">
        <f t="shared" si="5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38"/>
        <v/>
      </c>
      <c r="N147" s="19" t="str">
        <f t="shared" si="39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40"/>
        <v/>
      </c>
      <c r="S147" s="27" t="str">
        <f t="shared" si="52"/>
        <v/>
      </c>
      <c r="T147" s="28" t="str">
        <f t="shared" si="53"/>
        <v/>
      </c>
      <c r="U147" s="28" t="str">
        <f t="shared" si="54"/>
        <v/>
      </c>
      <c r="V147" s="28" t="str">
        <f t="shared" si="55"/>
        <v/>
      </c>
      <c r="W147" s="28" t="str">
        <f t="shared" si="56"/>
        <v/>
      </c>
      <c r="X147" s="29" t="str">
        <f t="shared" si="5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38"/>
        <v/>
      </c>
      <c r="N148" s="19" t="str">
        <f t="shared" si="39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40"/>
        <v/>
      </c>
      <c r="S148" s="27" t="str">
        <f t="shared" si="52"/>
        <v/>
      </c>
      <c r="T148" s="28" t="str">
        <f t="shared" si="53"/>
        <v/>
      </c>
      <c r="U148" s="28" t="str">
        <f t="shared" si="54"/>
        <v/>
      </c>
      <c r="V148" s="28" t="str">
        <f t="shared" si="55"/>
        <v/>
      </c>
      <c r="W148" s="28" t="str">
        <f t="shared" si="56"/>
        <v/>
      </c>
      <c r="X148" s="29" t="str">
        <f t="shared" si="5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38"/>
        <v/>
      </c>
      <c r="N149" s="19" t="str">
        <f t="shared" si="39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40"/>
        <v/>
      </c>
      <c r="S149" s="27" t="str">
        <f t="shared" si="52"/>
        <v/>
      </c>
      <c r="T149" s="28" t="str">
        <f t="shared" si="53"/>
        <v/>
      </c>
      <c r="U149" s="28" t="str">
        <f t="shared" si="54"/>
        <v/>
      </c>
      <c r="V149" s="28" t="str">
        <f t="shared" si="55"/>
        <v/>
      </c>
      <c r="W149" s="28" t="str">
        <f t="shared" si="56"/>
        <v/>
      </c>
      <c r="X149" s="29" t="str">
        <f t="shared" si="5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38"/>
        <v/>
      </c>
      <c r="N150" s="19" t="str">
        <f t="shared" si="39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40"/>
        <v/>
      </c>
      <c r="S150" s="27" t="str">
        <f t="shared" si="52"/>
        <v/>
      </c>
      <c r="T150" s="28" t="str">
        <f t="shared" si="53"/>
        <v/>
      </c>
      <c r="U150" s="28" t="str">
        <f t="shared" si="54"/>
        <v/>
      </c>
      <c r="V150" s="28" t="str">
        <f t="shared" si="55"/>
        <v/>
      </c>
      <c r="W150" s="28" t="str">
        <f t="shared" si="56"/>
        <v/>
      </c>
      <c r="X150" s="29" t="str">
        <f t="shared" si="5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38"/>
        <v/>
      </c>
      <c r="N151" s="19" t="str">
        <f t="shared" si="39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40"/>
        <v/>
      </c>
      <c r="S151" s="27" t="str">
        <f t="shared" si="52"/>
        <v/>
      </c>
      <c r="T151" s="28" t="str">
        <f t="shared" si="53"/>
        <v/>
      </c>
      <c r="U151" s="28" t="str">
        <f t="shared" si="54"/>
        <v/>
      </c>
      <c r="V151" s="28" t="str">
        <f t="shared" si="55"/>
        <v/>
      </c>
      <c r="W151" s="28" t="str">
        <f t="shared" si="56"/>
        <v/>
      </c>
      <c r="X151" s="29" t="str">
        <f t="shared" si="5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38"/>
        <v/>
      </c>
      <c r="N152" s="19" t="str">
        <f t="shared" si="39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40"/>
        <v/>
      </c>
      <c r="S152" s="27" t="str">
        <f t="shared" si="52"/>
        <v/>
      </c>
      <c r="T152" s="28" t="str">
        <f t="shared" si="53"/>
        <v/>
      </c>
      <c r="U152" s="28" t="str">
        <f t="shared" si="54"/>
        <v/>
      </c>
      <c r="V152" s="28" t="str">
        <f t="shared" si="55"/>
        <v/>
      </c>
      <c r="W152" s="28" t="str">
        <f t="shared" si="56"/>
        <v/>
      </c>
      <c r="X152" s="29" t="str">
        <f t="shared" si="5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38"/>
        <v/>
      </c>
      <c r="N153" s="19" t="str">
        <f t="shared" si="39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40"/>
        <v/>
      </c>
      <c r="S153" s="27" t="str">
        <f t="shared" si="52"/>
        <v/>
      </c>
      <c r="T153" s="28" t="str">
        <f t="shared" si="53"/>
        <v/>
      </c>
      <c r="U153" s="28" t="str">
        <f t="shared" si="54"/>
        <v/>
      </c>
      <c r="V153" s="28" t="str">
        <f t="shared" si="55"/>
        <v/>
      </c>
      <c r="W153" s="28" t="str">
        <f t="shared" si="56"/>
        <v/>
      </c>
      <c r="X153" s="29" t="str">
        <f t="shared" si="57"/>
        <v/>
      </c>
      <c r="Y153" s="24"/>
    </row>
  </sheetData>
  <sheetProtection selectLockedCells="1"/>
  <mergeCells count="38">
    <mergeCell ref="W6:Y6"/>
    <mergeCell ref="AA9:AI9"/>
    <mergeCell ref="B5:D8"/>
    <mergeCell ref="E5:I5"/>
    <mergeCell ref="J5:Q5"/>
    <mergeCell ref="R5:V5"/>
    <mergeCell ref="W5:Y5"/>
    <mergeCell ref="E6:I6"/>
    <mergeCell ref="J6:Q6"/>
    <mergeCell ref="R6:V6"/>
    <mergeCell ref="E8:I8"/>
    <mergeCell ref="R7:V7"/>
    <mergeCell ref="W7:Y7"/>
    <mergeCell ref="J8:Q8"/>
    <mergeCell ref="R8:V8"/>
    <mergeCell ref="W8:Y8"/>
    <mergeCell ref="B13:B15"/>
    <mergeCell ref="C13:K13"/>
    <mergeCell ref="L13:R14"/>
    <mergeCell ref="E7:I7"/>
    <mergeCell ref="J7:Q7"/>
    <mergeCell ref="B10:J12"/>
    <mergeCell ref="K10:S12"/>
    <mergeCell ref="B9:O9"/>
    <mergeCell ref="P9:Y9"/>
    <mergeCell ref="T10:Y12"/>
    <mergeCell ref="S13:X14"/>
    <mergeCell ref="Y13:Y15"/>
    <mergeCell ref="C14:E14"/>
    <mergeCell ref="F14:H14"/>
    <mergeCell ref="I14:I15"/>
    <mergeCell ref="J14:K14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>
    <pageSetUpPr fitToPage="1"/>
  </sheetPr>
  <dimension ref="A1:AI153"/>
  <sheetViews>
    <sheetView showGridLines="0" zoomScale="75" zoomScaleNormal="75" zoomScaleSheetLayoutView="40" workbookViewId="0">
      <pane ySplit="8" topLeftCell="A58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TZ-10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37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41649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>
        <v>36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41650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35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40">
        <f>J8-258</f>
        <v>90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348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41652</v>
      </c>
      <c r="C16" s="35">
        <v>12.766999999999999</v>
      </c>
      <c r="D16" s="36">
        <v>7.48</v>
      </c>
      <c r="E16" s="36">
        <v>8.202</v>
      </c>
      <c r="F16" s="37"/>
      <c r="G16" s="37"/>
      <c r="H16" s="37"/>
      <c r="I16" s="38">
        <v>101.529</v>
      </c>
      <c r="J16" s="39">
        <v>353</v>
      </c>
      <c r="K16" s="18">
        <f t="shared" ref="K16:K21" si="0">IF(ISBLANK(J16),"",(J16-$J$8))</f>
        <v>5</v>
      </c>
      <c r="L16" s="19">
        <f t="shared" ref="L16:L47" si="1">IF(ISBLANK(C16),"",(C16-C$16)*1000)</f>
        <v>0</v>
      </c>
      <c r="M16" s="19">
        <f t="shared" ref="M16:M47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41653</v>
      </c>
      <c r="C17" s="25">
        <v>12.766</v>
      </c>
      <c r="D17" s="26">
        <v>7.4790000000000001</v>
      </c>
      <c r="E17" s="26">
        <v>8.202</v>
      </c>
      <c r="F17" s="16"/>
      <c r="G17" s="16"/>
      <c r="H17" s="16"/>
      <c r="I17" s="17">
        <v>101.529</v>
      </c>
      <c r="J17" s="32">
        <v>359.5</v>
      </c>
      <c r="K17" s="18">
        <f t="shared" si="0"/>
        <v>11.5</v>
      </c>
      <c r="L17" s="19">
        <f t="shared" si="1"/>
        <v>-0.99999999999944578</v>
      </c>
      <c r="M17" s="19">
        <f t="shared" si="2"/>
        <v>-1.000000000000334</v>
      </c>
      <c r="N17" s="19">
        <f t="shared" si="3"/>
        <v>0</v>
      </c>
      <c r="O17" s="19" t="str">
        <f t="shared" ref="O17:O40" si="5">IF(ISBLANK(F17),"",(F17-F$16)*1000)</f>
        <v/>
      </c>
      <c r="P17" s="19" t="str">
        <f t="shared" ref="P17:P40" si="6">IF(ISBLANK(G17),"",(G17-G$16)*1000)</f>
        <v/>
      </c>
      <c r="Q17" s="19" t="str">
        <f t="shared" ref="Q17:Q40" si="7">IF(ISBLANK(H17),"",(H17-H$16)*1000)</f>
        <v/>
      </c>
      <c r="R17" s="19">
        <f t="shared" si="4"/>
        <v>0</v>
      </c>
      <c r="S17" s="27">
        <f t="shared" ref="S17:S48" si="8">IF(C17="","",((C17-C16)*1000)/($B17-$B16))</f>
        <v>-0.99999999999944578</v>
      </c>
      <c r="T17" s="28">
        <f t="shared" ref="T17:T48" si="9">IF(D17="","",((D17-D16)*1000)/($B17-$B16))</f>
        <v>-1.000000000000334</v>
      </c>
      <c r="U17" s="28">
        <f t="shared" ref="U17:U48" si="10">IF(E17="","",((E17-E16)*1000)/($B17-$B16))</f>
        <v>0</v>
      </c>
      <c r="V17" s="28" t="str">
        <f t="shared" ref="V17:V48" si="11">IF(F17="","",((F17-F16)*1000)/($B17-$B16))</f>
        <v/>
      </c>
      <c r="W17" s="28" t="str">
        <f t="shared" ref="W17:W48" si="12">IF(G17="","",((G17-G16)*1000)/($B17-$B16))</f>
        <v/>
      </c>
      <c r="X17" s="29" t="str">
        <f t="shared" ref="X17:X48" si="13">IF(H17="","",((H17-H16)*1000)/($B17-$B16))</f>
        <v/>
      </c>
      <c r="Y17" s="30"/>
    </row>
    <row r="18" spans="2:25" ht="15" customHeight="1" x14ac:dyDescent="0.2">
      <c r="B18" s="31">
        <v>41654</v>
      </c>
      <c r="C18" s="25">
        <v>12.766999999999999</v>
      </c>
      <c r="D18" s="26">
        <v>7.4790000000000001</v>
      </c>
      <c r="E18" s="26">
        <v>8.202</v>
      </c>
      <c r="F18" s="16"/>
      <c r="G18" s="16"/>
      <c r="H18" s="16"/>
      <c r="I18" s="17">
        <v>101.529</v>
      </c>
      <c r="J18" s="32">
        <v>366</v>
      </c>
      <c r="K18" s="18">
        <f t="shared" si="0"/>
        <v>18</v>
      </c>
      <c r="L18" s="19">
        <f t="shared" si="1"/>
        <v>0</v>
      </c>
      <c r="M18" s="19">
        <f t="shared" si="2"/>
        <v>-1.000000000000334</v>
      </c>
      <c r="N18" s="19">
        <f t="shared" si="3"/>
        <v>0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4"/>
        <v>0</v>
      </c>
      <c r="S18" s="27">
        <f t="shared" si="8"/>
        <v>0.99999999999944578</v>
      </c>
      <c r="T18" s="28">
        <f t="shared" si="9"/>
        <v>0</v>
      </c>
      <c r="U18" s="28">
        <f t="shared" si="10"/>
        <v>0</v>
      </c>
      <c r="V18" s="28" t="str">
        <f t="shared" si="11"/>
        <v/>
      </c>
      <c r="W18" s="28" t="str">
        <f t="shared" si="12"/>
        <v/>
      </c>
      <c r="X18" s="29" t="str">
        <f t="shared" si="13"/>
        <v/>
      </c>
      <c r="Y18" s="24"/>
    </row>
    <row r="19" spans="2:25" ht="15" customHeight="1" x14ac:dyDescent="0.2">
      <c r="B19" s="31">
        <v>41655</v>
      </c>
      <c r="C19" s="25">
        <v>12.763999999999999</v>
      </c>
      <c r="D19" s="26">
        <v>7.4779999999999998</v>
      </c>
      <c r="E19" s="26">
        <v>8.1999999999999993</v>
      </c>
      <c r="F19" s="16"/>
      <c r="G19" s="16"/>
      <c r="H19" s="16"/>
      <c r="I19" s="17">
        <v>101.529</v>
      </c>
      <c r="J19" s="32">
        <v>373</v>
      </c>
      <c r="K19" s="18">
        <f t="shared" si="0"/>
        <v>25</v>
      </c>
      <c r="L19" s="19">
        <f t="shared" si="1"/>
        <v>-3.0000000000001137</v>
      </c>
      <c r="M19" s="19">
        <f t="shared" si="2"/>
        <v>-2.0000000000006679</v>
      </c>
      <c r="N19" s="19">
        <f t="shared" si="3"/>
        <v>-2.0000000000006679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4"/>
        <v>0</v>
      </c>
      <c r="S19" s="27">
        <f t="shared" si="8"/>
        <v>-3.0000000000001137</v>
      </c>
      <c r="T19" s="28">
        <f t="shared" si="9"/>
        <v>-1.000000000000334</v>
      </c>
      <c r="U19" s="28">
        <f t="shared" si="10"/>
        <v>-2.0000000000006679</v>
      </c>
      <c r="V19" s="28" t="str">
        <f t="shared" si="11"/>
        <v/>
      </c>
      <c r="W19" s="28" t="str">
        <f t="shared" si="12"/>
        <v/>
      </c>
      <c r="X19" s="29" t="str">
        <f t="shared" si="13"/>
        <v/>
      </c>
      <c r="Y19" s="24"/>
    </row>
    <row r="20" spans="2:25" ht="15" customHeight="1" x14ac:dyDescent="0.2">
      <c r="B20" s="31">
        <v>41656</v>
      </c>
      <c r="C20" s="25">
        <v>12.765000000000001</v>
      </c>
      <c r="D20" s="26">
        <v>7.4779999999999998</v>
      </c>
      <c r="E20" s="26">
        <v>8.2010000000000005</v>
      </c>
      <c r="F20" s="16"/>
      <c r="G20" s="16"/>
      <c r="H20" s="16"/>
      <c r="I20" s="17">
        <v>101.529</v>
      </c>
      <c r="J20" s="32">
        <v>376</v>
      </c>
      <c r="K20" s="18">
        <f t="shared" si="0"/>
        <v>28</v>
      </c>
      <c r="L20" s="19">
        <f t="shared" si="1"/>
        <v>-1.9999999999988916</v>
      </c>
      <c r="M20" s="19">
        <f t="shared" si="2"/>
        <v>-2.0000000000006679</v>
      </c>
      <c r="N20" s="19">
        <f t="shared" si="3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4"/>
        <v>0</v>
      </c>
      <c r="S20" s="27">
        <f t="shared" si="8"/>
        <v>1.0000000000012221</v>
      </c>
      <c r="T20" s="28">
        <f t="shared" si="9"/>
        <v>0</v>
      </c>
      <c r="U20" s="28">
        <f t="shared" si="10"/>
        <v>1.0000000000012221</v>
      </c>
      <c r="V20" s="28" t="str">
        <f t="shared" si="11"/>
        <v/>
      </c>
      <c r="W20" s="28" t="str">
        <f t="shared" si="12"/>
        <v/>
      </c>
      <c r="X20" s="29" t="str">
        <f t="shared" si="13"/>
        <v/>
      </c>
      <c r="Y20" s="24"/>
    </row>
    <row r="21" spans="2:25" ht="15" customHeight="1" x14ac:dyDescent="0.2">
      <c r="B21" s="31">
        <v>41659</v>
      </c>
      <c r="C21" s="25">
        <v>12.763</v>
      </c>
      <c r="D21" s="26">
        <v>7.4779999999999998</v>
      </c>
      <c r="E21" s="26">
        <v>8.1999999999999993</v>
      </c>
      <c r="F21" s="16"/>
      <c r="G21" s="16"/>
      <c r="H21" s="16"/>
      <c r="I21" s="17">
        <v>101.529</v>
      </c>
      <c r="J21" s="32">
        <v>383</v>
      </c>
      <c r="K21" s="18">
        <f t="shared" si="0"/>
        <v>35</v>
      </c>
      <c r="L21" s="19">
        <f t="shared" si="1"/>
        <v>-3.9999999999995595</v>
      </c>
      <c r="M21" s="19">
        <f t="shared" si="2"/>
        <v>-2.0000000000006679</v>
      </c>
      <c r="N21" s="19">
        <f t="shared" si="3"/>
        <v>-2.0000000000006679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4"/>
        <v>0</v>
      </c>
      <c r="S21" s="27">
        <f t="shared" si="8"/>
        <v>-0.66666666666688934</v>
      </c>
      <c r="T21" s="28">
        <f t="shared" si="9"/>
        <v>0</v>
      </c>
      <c r="U21" s="28">
        <f t="shared" si="10"/>
        <v>-0.33333333333374071</v>
      </c>
      <c r="V21" s="28" t="str">
        <f t="shared" si="11"/>
        <v/>
      </c>
      <c r="W21" s="28" t="str">
        <f t="shared" si="12"/>
        <v/>
      </c>
      <c r="X21" s="29" t="str">
        <f t="shared" si="13"/>
        <v/>
      </c>
      <c r="Y21" s="24"/>
    </row>
    <row r="22" spans="2:25" ht="15" customHeight="1" x14ac:dyDescent="0.2">
      <c r="B22" s="31">
        <v>41660</v>
      </c>
      <c r="C22" s="25">
        <v>12.763</v>
      </c>
      <c r="D22" s="26">
        <v>7.476</v>
      </c>
      <c r="E22" s="26">
        <v>8.1980000000000004</v>
      </c>
      <c r="F22" s="16"/>
      <c r="G22" s="16"/>
      <c r="H22" s="16"/>
      <c r="I22" s="17">
        <v>101.52500000000001</v>
      </c>
      <c r="J22" s="32">
        <v>387</v>
      </c>
      <c r="K22" s="18">
        <f t="shared" ref="K22:K35" si="14">IF(ISBLANK(J22),"",(J22-$J$8))</f>
        <v>39</v>
      </c>
      <c r="L22" s="19">
        <f t="shared" si="1"/>
        <v>-3.9999999999995595</v>
      </c>
      <c r="M22" s="19">
        <f t="shared" si="2"/>
        <v>-4.0000000000004476</v>
      </c>
      <c r="N22" s="19">
        <f t="shared" si="3"/>
        <v>-3.9999999999995595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4"/>
        <v>-3.9999999999906777</v>
      </c>
      <c r="S22" s="27">
        <f t="shared" si="8"/>
        <v>0</v>
      </c>
      <c r="T22" s="28">
        <f t="shared" si="9"/>
        <v>-1.9999999999997797</v>
      </c>
      <c r="U22" s="28">
        <f t="shared" si="10"/>
        <v>-1.9999999999988916</v>
      </c>
      <c r="V22" s="28" t="str">
        <f t="shared" si="11"/>
        <v/>
      </c>
      <c r="W22" s="28" t="str">
        <f t="shared" si="12"/>
        <v/>
      </c>
      <c r="X22" s="29" t="str">
        <f t="shared" si="13"/>
        <v/>
      </c>
      <c r="Y22" s="24"/>
    </row>
    <row r="23" spans="2:25" ht="15" customHeight="1" x14ac:dyDescent="0.2">
      <c r="B23" s="31">
        <v>41661</v>
      </c>
      <c r="C23" s="25">
        <v>12.762</v>
      </c>
      <c r="D23" s="26">
        <v>7.4770000000000003</v>
      </c>
      <c r="E23" s="26">
        <v>8.1999999999999993</v>
      </c>
      <c r="F23" s="16"/>
      <c r="G23" s="16"/>
      <c r="H23" s="16"/>
      <c r="I23" s="17">
        <v>101.526</v>
      </c>
      <c r="J23" s="32">
        <v>388.5</v>
      </c>
      <c r="K23" s="18">
        <f t="shared" si="14"/>
        <v>40.5</v>
      </c>
      <c r="L23" s="19">
        <f t="shared" si="1"/>
        <v>-4.9999999999990052</v>
      </c>
      <c r="M23" s="19">
        <f t="shared" si="2"/>
        <v>-3.0000000000001137</v>
      </c>
      <c r="N23" s="19">
        <f t="shared" si="3"/>
        <v>-2.0000000000006679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4"/>
        <v>-3.0000000000001137</v>
      </c>
      <c r="S23" s="27">
        <f t="shared" si="8"/>
        <v>-0.99999999999944578</v>
      </c>
      <c r="T23" s="28">
        <f t="shared" si="9"/>
        <v>1.000000000000334</v>
      </c>
      <c r="U23" s="28">
        <f t="shared" si="10"/>
        <v>1.9999999999988916</v>
      </c>
      <c r="V23" s="28" t="str">
        <f t="shared" si="11"/>
        <v/>
      </c>
      <c r="W23" s="28" t="str">
        <f t="shared" si="12"/>
        <v/>
      </c>
      <c r="X23" s="29" t="str">
        <f t="shared" si="13"/>
        <v/>
      </c>
      <c r="Y23" s="24"/>
    </row>
    <row r="24" spans="2:25" ht="15" customHeight="1" x14ac:dyDescent="0.2">
      <c r="B24" s="31">
        <v>41662</v>
      </c>
      <c r="C24" s="25">
        <v>12.760999999999999</v>
      </c>
      <c r="D24" s="26">
        <v>7.476</v>
      </c>
      <c r="E24" s="26">
        <v>8.1999999999999993</v>
      </c>
      <c r="F24" s="16"/>
      <c r="G24" s="16"/>
      <c r="H24" s="16"/>
      <c r="I24" s="17">
        <v>101.526</v>
      </c>
      <c r="J24" s="32">
        <v>392</v>
      </c>
      <c r="K24" s="18">
        <f t="shared" si="14"/>
        <v>44</v>
      </c>
      <c r="L24" s="19">
        <f t="shared" si="1"/>
        <v>-6.0000000000002274</v>
      </c>
      <c r="M24" s="19">
        <f t="shared" si="2"/>
        <v>-4.0000000000004476</v>
      </c>
      <c r="N24" s="19">
        <f t="shared" si="3"/>
        <v>-2.0000000000006679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4"/>
        <v>-3.0000000000001137</v>
      </c>
      <c r="S24" s="27">
        <f t="shared" si="8"/>
        <v>-1.0000000000012221</v>
      </c>
      <c r="T24" s="28">
        <f t="shared" si="9"/>
        <v>-1.000000000000334</v>
      </c>
      <c r="U24" s="28">
        <f t="shared" si="10"/>
        <v>0</v>
      </c>
      <c r="V24" s="28" t="str">
        <f t="shared" si="11"/>
        <v/>
      </c>
      <c r="W24" s="28" t="str">
        <f t="shared" si="12"/>
        <v/>
      </c>
      <c r="X24" s="29" t="str">
        <f t="shared" si="13"/>
        <v/>
      </c>
      <c r="Y24" s="24"/>
    </row>
    <row r="25" spans="2:25" ht="15" customHeight="1" x14ac:dyDescent="0.2">
      <c r="B25" s="31">
        <v>41663</v>
      </c>
      <c r="C25" s="25">
        <v>12.760999999999999</v>
      </c>
      <c r="D25" s="26">
        <v>7.476</v>
      </c>
      <c r="E25" s="26">
        <v>8.1999999999999993</v>
      </c>
      <c r="F25" s="16"/>
      <c r="G25" s="16"/>
      <c r="H25" s="16"/>
      <c r="I25" s="17">
        <v>101.526</v>
      </c>
      <c r="J25" s="32">
        <v>393.5</v>
      </c>
      <c r="K25" s="18">
        <f t="shared" si="14"/>
        <v>45.5</v>
      </c>
      <c r="L25" s="19">
        <f t="shared" si="1"/>
        <v>-6.0000000000002274</v>
      </c>
      <c r="M25" s="19">
        <f t="shared" si="2"/>
        <v>-4.0000000000004476</v>
      </c>
      <c r="N25" s="19">
        <f t="shared" si="3"/>
        <v>-2.0000000000006679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4"/>
        <v>-3.0000000000001137</v>
      </c>
      <c r="S25" s="27">
        <f t="shared" si="8"/>
        <v>0</v>
      </c>
      <c r="T25" s="28">
        <f t="shared" si="9"/>
        <v>0</v>
      </c>
      <c r="U25" s="28">
        <f t="shared" si="10"/>
        <v>0</v>
      </c>
      <c r="V25" s="28" t="str">
        <f t="shared" si="11"/>
        <v/>
      </c>
      <c r="W25" s="28" t="str">
        <f t="shared" si="12"/>
        <v/>
      </c>
      <c r="X25" s="29" t="str">
        <f t="shared" si="13"/>
        <v/>
      </c>
      <c r="Y25" s="24"/>
    </row>
    <row r="26" spans="2:25" ht="15" customHeight="1" x14ac:dyDescent="0.2">
      <c r="B26" s="31">
        <v>41666</v>
      </c>
      <c r="C26" s="25">
        <v>12.760999999999999</v>
      </c>
      <c r="D26" s="26">
        <v>7.476</v>
      </c>
      <c r="E26" s="26">
        <v>8.1999999999999993</v>
      </c>
      <c r="F26" s="16"/>
      <c r="G26" s="16"/>
      <c r="H26" s="16"/>
      <c r="I26" s="17">
        <v>101.526</v>
      </c>
      <c r="J26" s="32">
        <v>396.5</v>
      </c>
      <c r="K26" s="18">
        <f t="shared" si="14"/>
        <v>48.5</v>
      </c>
      <c r="L26" s="19">
        <f t="shared" si="1"/>
        <v>-6.0000000000002274</v>
      </c>
      <c r="M26" s="19">
        <f t="shared" si="2"/>
        <v>-4.0000000000004476</v>
      </c>
      <c r="N26" s="19">
        <f t="shared" si="3"/>
        <v>-2.0000000000006679</v>
      </c>
      <c r="O26" s="19" t="str">
        <f t="shared" si="5"/>
        <v/>
      </c>
      <c r="P26" s="19" t="str">
        <f t="shared" si="6"/>
        <v/>
      </c>
      <c r="Q26" s="19" t="str">
        <f t="shared" si="7"/>
        <v/>
      </c>
      <c r="R26" s="19">
        <f t="shared" si="4"/>
        <v>-3.0000000000001137</v>
      </c>
      <c r="S26" s="27">
        <f t="shared" si="8"/>
        <v>0</v>
      </c>
      <c r="T26" s="28">
        <f t="shared" si="9"/>
        <v>0</v>
      </c>
      <c r="U26" s="28">
        <f t="shared" si="10"/>
        <v>0</v>
      </c>
      <c r="V26" s="28" t="str">
        <f t="shared" si="11"/>
        <v/>
      </c>
      <c r="W26" s="28" t="str">
        <f t="shared" si="12"/>
        <v/>
      </c>
      <c r="X26" s="29" t="str">
        <f t="shared" si="13"/>
        <v/>
      </c>
      <c r="Y26" s="24"/>
    </row>
    <row r="27" spans="2:25" ht="15" customHeight="1" x14ac:dyDescent="0.2">
      <c r="B27" s="31">
        <v>41667</v>
      </c>
      <c r="C27" s="25">
        <v>12.760999999999999</v>
      </c>
      <c r="D27" s="26">
        <v>7.4749999999999996</v>
      </c>
      <c r="E27" s="26">
        <v>8.1999999999999993</v>
      </c>
      <c r="F27" s="16"/>
      <c r="G27" s="16"/>
      <c r="H27" s="16"/>
      <c r="I27" s="17">
        <v>101.526</v>
      </c>
      <c r="J27" s="32">
        <v>398.5</v>
      </c>
      <c r="K27" s="18">
        <f t="shared" si="14"/>
        <v>50.5</v>
      </c>
      <c r="L27" s="19">
        <f t="shared" si="1"/>
        <v>-6.0000000000002274</v>
      </c>
      <c r="M27" s="19">
        <f t="shared" si="2"/>
        <v>-5.0000000000007816</v>
      </c>
      <c r="N27" s="19">
        <f t="shared" si="3"/>
        <v>-2.0000000000006679</v>
      </c>
      <c r="O27" s="19" t="str">
        <f t="shared" si="5"/>
        <v/>
      </c>
      <c r="P27" s="19" t="str">
        <f t="shared" si="6"/>
        <v/>
      </c>
      <c r="Q27" s="19" t="str">
        <f t="shared" si="7"/>
        <v/>
      </c>
      <c r="R27" s="19">
        <f t="shared" si="4"/>
        <v>-3.0000000000001137</v>
      </c>
      <c r="S27" s="27">
        <f t="shared" si="8"/>
        <v>0</v>
      </c>
      <c r="T27" s="28">
        <f t="shared" si="9"/>
        <v>-1.000000000000334</v>
      </c>
      <c r="U27" s="28">
        <f t="shared" si="10"/>
        <v>0</v>
      </c>
      <c r="V27" s="28" t="str">
        <f t="shared" si="11"/>
        <v/>
      </c>
      <c r="W27" s="28" t="str">
        <f t="shared" si="12"/>
        <v/>
      </c>
      <c r="X27" s="29" t="str">
        <f t="shared" si="13"/>
        <v/>
      </c>
      <c r="Y27" s="24"/>
    </row>
    <row r="28" spans="2:25" ht="15" customHeight="1" x14ac:dyDescent="0.2">
      <c r="B28" s="31">
        <v>41668</v>
      </c>
      <c r="C28" s="25">
        <v>12.760999999999999</v>
      </c>
      <c r="D28" s="26">
        <v>7.4740000000000002</v>
      </c>
      <c r="E28" s="26">
        <v>8.1999999999999993</v>
      </c>
      <c r="F28" s="16"/>
      <c r="G28" s="16"/>
      <c r="H28" s="16"/>
      <c r="I28" s="17">
        <v>101.526</v>
      </c>
      <c r="J28" s="32">
        <v>402</v>
      </c>
      <c r="K28" s="18">
        <f t="shared" si="14"/>
        <v>54</v>
      </c>
      <c r="L28" s="19">
        <f t="shared" si="1"/>
        <v>-6.0000000000002274</v>
      </c>
      <c r="M28" s="19">
        <f t="shared" si="2"/>
        <v>-6.0000000000002274</v>
      </c>
      <c r="N28" s="19">
        <f t="shared" si="3"/>
        <v>-2.0000000000006679</v>
      </c>
      <c r="O28" s="19" t="str">
        <f t="shared" si="5"/>
        <v/>
      </c>
      <c r="P28" s="19" t="str">
        <f t="shared" si="6"/>
        <v/>
      </c>
      <c r="Q28" s="19" t="str">
        <f t="shared" si="7"/>
        <v/>
      </c>
      <c r="R28" s="19">
        <f t="shared" si="4"/>
        <v>-3.0000000000001137</v>
      </c>
      <c r="S28" s="27">
        <f t="shared" si="8"/>
        <v>0</v>
      </c>
      <c r="T28" s="28">
        <f t="shared" si="9"/>
        <v>-0.99999999999944578</v>
      </c>
      <c r="U28" s="28">
        <f t="shared" si="10"/>
        <v>0</v>
      </c>
      <c r="V28" s="28" t="str">
        <f t="shared" si="11"/>
        <v/>
      </c>
      <c r="W28" s="28" t="str">
        <f t="shared" si="12"/>
        <v/>
      </c>
      <c r="X28" s="29" t="str">
        <f t="shared" si="13"/>
        <v/>
      </c>
      <c r="Y28" s="24"/>
    </row>
    <row r="29" spans="2:25" ht="15" customHeight="1" x14ac:dyDescent="0.2">
      <c r="B29" s="31">
        <v>41669</v>
      </c>
      <c r="C29" s="25">
        <v>12.760999999999999</v>
      </c>
      <c r="D29" s="26">
        <v>7.4740000000000002</v>
      </c>
      <c r="E29" s="26">
        <v>8.1999999999999993</v>
      </c>
      <c r="F29" s="16"/>
      <c r="G29" s="16"/>
      <c r="H29" s="16"/>
      <c r="I29" s="17">
        <v>101.526</v>
      </c>
      <c r="J29" s="32">
        <v>411</v>
      </c>
      <c r="K29" s="18">
        <f t="shared" si="14"/>
        <v>63</v>
      </c>
      <c r="L29" s="19">
        <f t="shared" si="1"/>
        <v>-6.0000000000002274</v>
      </c>
      <c r="M29" s="19">
        <f t="shared" si="2"/>
        <v>-6.0000000000002274</v>
      </c>
      <c r="N29" s="19">
        <f t="shared" si="3"/>
        <v>-2.0000000000006679</v>
      </c>
      <c r="O29" s="19" t="str">
        <f t="shared" si="5"/>
        <v/>
      </c>
      <c r="P29" s="19" t="str">
        <f t="shared" si="6"/>
        <v/>
      </c>
      <c r="Q29" s="19" t="str">
        <f t="shared" si="7"/>
        <v/>
      </c>
      <c r="R29" s="19">
        <f t="shared" si="4"/>
        <v>-3.0000000000001137</v>
      </c>
      <c r="S29" s="27">
        <f t="shared" si="8"/>
        <v>0</v>
      </c>
      <c r="T29" s="28">
        <f t="shared" si="9"/>
        <v>0</v>
      </c>
      <c r="U29" s="28">
        <f t="shared" si="10"/>
        <v>0</v>
      </c>
      <c r="V29" s="28" t="str">
        <f t="shared" si="11"/>
        <v/>
      </c>
      <c r="W29" s="28" t="str">
        <f t="shared" si="12"/>
        <v/>
      </c>
      <c r="X29" s="29" t="str">
        <f t="shared" si="13"/>
        <v/>
      </c>
      <c r="Y29" s="24"/>
    </row>
    <row r="30" spans="2:25" ht="15" customHeight="1" x14ac:dyDescent="0.2">
      <c r="B30" s="31">
        <v>41670</v>
      </c>
      <c r="C30" s="25">
        <v>12.760999999999999</v>
      </c>
      <c r="D30" s="26">
        <v>7.4740000000000002</v>
      </c>
      <c r="E30" s="26">
        <v>8.1999999999999993</v>
      </c>
      <c r="F30" s="16"/>
      <c r="G30" s="16"/>
      <c r="H30" s="16"/>
      <c r="I30" s="17">
        <v>101.526</v>
      </c>
      <c r="J30" s="32">
        <v>418.5</v>
      </c>
      <c r="K30" s="18">
        <f t="shared" si="14"/>
        <v>70.5</v>
      </c>
      <c r="L30" s="19">
        <f t="shared" si="1"/>
        <v>-6.0000000000002274</v>
      </c>
      <c r="M30" s="19">
        <f t="shared" si="2"/>
        <v>-6.0000000000002274</v>
      </c>
      <c r="N30" s="19">
        <f t="shared" si="3"/>
        <v>-2.0000000000006679</v>
      </c>
      <c r="O30" s="19" t="str">
        <f t="shared" si="5"/>
        <v/>
      </c>
      <c r="P30" s="19" t="str">
        <f t="shared" si="6"/>
        <v/>
      </c>
      <c r="Q30" s="19" t="str">
        <f t="shared" si="7"/>
        <v/>
      </c>
      <c r="R30" s="19">
        <f t="shared" si="4"/>
        <v>-3.0000000000001137</v>
      </c>
      <c r="S30" s="27">
        <f t="shared" si="8"/>
        <v>0</v>
      </c>
      <c r="T30" s="28">
        <f t="shared" si="9"/>
        <v>0</v>
      </c>
      <c r="U30" s="28">
        <f t="shared" si="10"/>
        <v>0</v>
      </c>
      <c r="V30" s="28" t="str">
        <f t="shared" si="11"/>
        <v/>
      </c>
      <c r="W30" s="28" t="str">
        <f t="shared" si="12"/>
        <v/>
      </c>
      <c r="X30" s="29" t="str">
        <f t="shared" si="13"/>
        <v/>
      </c>
      <c r="Y30" s="24"/>
    </row>
    <row r="31" spans="2:25" ht="15" customHeight="1" x14ac:dyDescent="0.2">
      <c r="B31" s="31">
        <v>41673</v>
      </c>
      <c r="C31" s="25">
        <v>12.760999999999999</v>
      </c>
      <c r="D31" s="26">
        <v>7.4749999999999996</v>
      </c>
      <c r="E31" s="26">
        <v>8.1999999999999993</v>
      </c>
      <c r="F31" s="16"/>
      <c r="G31" s="16"/>
      <c r="H31" s="16"/>
      <c r="I31" s="17">
        <v>101.526</v>
      </c>
      <c r="J31" s="32">
        <v>430</v>
      </c>
      <c r="K31" s="18">
        <f t="shared" si="14"/>
        <v>82</v>
      </c>
      <c r="L31" s="19">
        <f t="shared" si="1"/>
        <v>-6.0000000000002274</v>
      </c>
      <c r="M31" s="19">
        <f t="shared" si="2"/>
        <v>-5.0000000000007816</v>
      </c>
      <c r="N31" s="19">
        <f t="shared" si="3"/>
        <v>-2.0000000000006679</v>
      </c>
      <c r="O31" s="19" t="str">
        <f t="shared" si="5"/>
        <v/>
      </c>
      <c r="P31" s="19" t="str">
        <f t="shared" si="6"/>
        <v/>
      </c>
      <c r="Q31" s="19" t="str">
        <f t="shared" si="7"/>
        <v/>
      </c>
      <c r="R31" s="19">
        <f t="shared" si="4"/>
        <v>-3.0000000000001137</v>
      </c>
      <c r="S31" s="27">
        <f t="shared" si="8"/>
        <v>0</v>
      </c>
      <c r="T31" s="28">
        <f t="shared" si="9"/>
        <v>0.33333333333314857</v>
      </c>
      <c r="U31" s="28">
        <f t="shared" si="10"/>
        <v>0</v>
      </c>
      <c r="V31" s="28" t="str">
        <f t="shared" si="11"/>
        <v/>
      </c>
      <c r="W31" s="28" t="str">
        <f t="shared" si="12"/>
        <v/>
      </c>
      <c r="X31" s="29" t="str">
        <f t="shared" si="13"/>
        <v/>
      </c>
      <c r="Y31" s="24"/>
    </row>
    <row r="32" spans="2:25" ht="15" customHeight="1" x14ac:dyDescent="0.2">
      <c r="B32" s="31">
        <v>41674</v>
      </c>
      <c r="C32" s="25">
        <v>12.760999999999999</v>
      </c>
      <c r="D32" s="26">
        <v>7.4749999999999996</v>
      </c>
      <c r="E32" s="26">
        <v>8.1999999999999993</v>
      </c>
      <c r="F32" s="16"/>
      <c r="G32" s="16"/>
      <c r="H32" s="16"/>
      <c r="I32" s="17">
        <v>101.526</v>
      </c>
      <c r="J32" s="32">
        <v>438</v>
      </c>
      <c r="K32" s="18">
        <f t="shared" si="14"/>
        <v>90</v>
      </c>
      <c r="L32" s="19">
        <f t="shared" si="1"/>
        <v>-6.0000000000002274</v>
      </c>
      <c r="M32" s="19">
        <f t="shared" si="2"/>
        <v>-5.0000000000007816</v>
      </c>
      <c r="N32" s="19">
        <f t="shared" si="3"/>
        <v>-2.0000000000006679</v>
      </c>
      <c r="O32" s="19" t="str">
        <f t="shared" si="5"/>
        <v/>
      </c>
      <c r="P32" s="19" t="str">
        <f t="shared" si="6"/>
        <v/>
      </c>
      <c r="Q32" s="19" t="str">
        <f t="shared" si="7"/>
        <v/>
      </c>
      <c r="R32" s="19">
        <f t="shared" si="4"/>
        <v>-3.0000000000001137</v>
      </c>
      <c r="S32" s="27">
        <f t="shared" si="8"/>
        <v>0</v>
      </c>
      <c r="T32" s="28">
        <f t="shared" si="9"/>
        <v>0</v>
      </c>
      <c r="U32" s="28">
        <f t="shared" si="10"/>
        <v>0</v>
      </c>
      <c r="V32" s="28" t="str">
        <f t="shared" si="11"/>
        <v/>
      </c>
      <c r="W32" s="28" t="str">
        <f t="shared" si="12"/>
        <v/>
      </c>
      <c r="X32" s="29" t="str">
        <f t="shared" si="13"/>
        <v/>
      </c>
      <c r="Y32" s="24"/>
    </row>
    <row r="33" spans="2:25" ht="15" customHeight="1" x14ac:dyDescent="0.2">
      <c r="B33" s="31">
        <v>41675</v>
      </c>
      <c r="C33" s="25">
        <v>12.760999999999999</v>
      </c>
      <c r="D33" s="26">
        <v>7.4749999999999996</v>
      </c>
      <c r="E33" s="26">
        <v>8.1999999999999993</v>
      </c>
      <c r="F33" s="16"/>
      <c r="G33" s="16"/>
      <c r="H33" s="16"/>
      <c r="I33" s="17">
        <v>101.526</v>
      </c>
      <c r="J33" s="32">
        <v>446</v>
      </c>
      <c r="K33" s="18">
        <f t="shared" si="14"/>
        <v>98</v>
      </c>
      <c r="L33" s="19">
        <f t="shared" si="1"/>
        <v>-6.0000000000002274</v>
      </c>
      <c r="M33" s="19">
        <f t="shared" si="2"/>
        <v>-5.0000000000007816</v>
      </c>
      <c r="N33" s="19">
        <f t="shared" si="3"/>
        <v>-2.0000000000006679</v>
      </c>
      <c r="O33" s="19" t="str">
        <f t="shared" si="5"/>
        <v/>
      </c>
      <c r="P33" s="19" t="str">
        <f t="shared" si="6"/>
        <v/>
      </c>
      <c r="Q33" s="19" t="str">
        <f t="shared" si="7"/>
        <v/>
      </c>
      <c r="R33" s="19">
        <f t="shared" ref="R33:R64" si="15">IF(ISBLANK(I33),"",(I33-I$16)*1000)</f>
        <v>-3.0000000000001137</v>
      </c>
      <c r="S33" s="27">
        <f t="shared" si="8"/>
        <v>0</v>
      </c>
      <c r="T33" s="28">
        <f t="shared" si="9"/>
        <v>0</v>
      </c>
      <c r="U33" s="28">
        <f t="shared" si="10"/>
        <v>0</v>
      </c>
      <c r="V33" s="28" t="str">
        <f t="shared" si="11"/>
        <v/>
      </c>
      <c r="W33" s="28" t="str">
        <f t="shared" si="12"/>
        <v/>
      </c>
      <c r="X33" s="29" t="str">
        <f t="shared" si="13"/>
        <v/>
      </c>
      <c r="Y33" s="24"/>
    </row>
    <row r="34" spans="2:25" ht="15" customHeight="1" x14ac:dyDescent="0.2">
      <c r="B34" s="31">
        <v>41676</v>
      </c>
      <c r="C34" s="25">
        <v>12.760999999999999</v>
      </c>
      <c r="D34" s="26">
        <v>7.4749999999999996</v>
      </c>
      <c r="E34" s="26">
        <v>8.1999999999999993</v>
      </c>
      <c r="F34" s="16"/>
      <c r="G34" s="16"/>
      <c r="H34" s="16"/>
      <c r="I34" s="17">
        <v>101.526</v>
      </c>
      <c r="J34" s="32">
        <v>453</v>
      </c>
      <c r="K34" s="18">
        <f t="shared" si="14"/>
        <v>105</v>
      </c>
      <c r="L34" s="19">
        <f t="shared" si="1"/>
        <v>-6.0000000000002274</v>
      </c>
      <c r="M34" s="19">
        <f t="shared" si="2"/>
        <v>-5.0000000000007816</v>
      </c>
      <c r="N34" s="19">
        <f t="shared" si="3"/>
        <v>-2.0000000000006679</v>
      </c>
      <c r="O34" s="19" t="str">
        <f t="shared" si="5"/>
        <v/>
      </c>
      <c r="P34" s="19" t="str">
        <f t="shared" si="6"/>
        <v/>
      </c>
      <c r="Q34" s="19" t="str">
        <f t="shared" si="7"/>
        <v/>
      </c>
      <c r="R34" s="19">
        <f t="shared" si="15"/>
        <v>-3.0000000000001137</v>
      </c>
      <c r="S34" s="27">
        <f t="shared" si="8"/>
        <v>0</v>
      </c>
      <c r="T34" s="28">
        <f t="shared" si="9"/>
        <v>0</v>
      </c>
      <c r="U34" s="28">
        <f t="shared" si="10"/>
        <v>0</v>
      </c>
      <c r="V34" s="28" t="str">
        <f t="shared" si="11"/>
        <v/>
      </c>
      <c r="W34" s="28" t="str">
        <f t="shared" si="12"/>
        <v/>
      </c>
      <c r="X34" s="29" t="str">
        <f t="shared" si="13"/>
        <v/>
      </c>
      <c r="Y34" s="24"/>
    </row>
    <row r="35" spans="2:25" ht="15" customHeight="1" x14ac:dyDescent="0.2">
      <c r="B35" s="31">
        <v>41684</v>
      </c>
      <c r="C35" s="25">
        <v>12.76</v>
      </c>
      <c r="D35" s="26">
        <v>7.4749999999999996</v>
      </c>
      <c r="E35" s="26">
        <v>8.1989999999999998</v>
      </c>
      <c r="F35" s="16"/>
      <c r="G35" s="16"/>
      <c r="H35" s="16"/>
      <c r="I35" s="17">
        <v>101.526</v>
      </c>
      <c r="J35" s="32">
        <v>477</v>
      </c>
      <c r="K35" s="18">
        <f t="shared" si="14"/>
        <v>129</v>
      </c>
      <c r="L35" s="19">
        <f t="shared" si="1"/>
        <v>-6.9999999999996732</v>
      </c>
      <c r="M35" s="19">
        <f t="shared" si="2"/>
        <v>-5.0000000000007816</v>
      </c>
      <c r="N35" s="19">
        <f t="shared" si="3"/>
        <v>-3.0000000000001137</v>
      </c>
      <c r="O35" s="19" t="str">
        <f t="shared" si="5"/>
        <v/>
      </c>
      <c r="P35" s="19" t="str">
        <f t="shared" si="6"/>
        <v/>
      </c>
      <c r="Q35" s="19" t="str">
        <f t="shared" si="7"/>
        <v/>
      </c>
      <c r="R35" s="19">
        <f t="shared" si="15"/>
        <v>-3.0000000000001137</v>
      </c>
      <c r="S35" s="27">
        <f t="shared" si="8"/>
        <v>-0.12499999999993072</v>
      </c>
      <c r="T35" s="28">
        <f t="shared" si="9"/>
        <v>0</v>
      </c>
      <c r="U35" s="28">
        <f t="shared" si="10"/>
        <v>-0.12499999999993072</v>
      </c>
      <c r="V35" s="28" t="str">
        <f t="shared" si="11"/>
        <v/>
      </c>
      <c r="W35" s="28" t="str">
        <f t="shared" si="12"/>
        <v/>
      </c>
      <c r="X35" s="29" t="str">
        <f t="shared" si="13"/>
        <v/>
      </c>
      <c r="Y35" s="24"/>
    </row>
    <row r="36" spans="2:25" ht="15" customHeight="1" x14ac:dyDescent="0.2">
      <c r="B36" s="31">
        <v>41690</v>
      </c>
      <c r="C36" s="25">
        <v>12.759</v>
      </c>
      <c r="D36" s="26">
        <v>7.4749999999999996</v>
      </c>
      <c r="E36" s="26">
        <v>8.1989999999999998</v>
      </c>
      <c r="F36" s="16"/>
      <c r="G36" s="16"/>
      <c r="H36" s="16"/>
      <c r="I36" s="17">
        <v>101.526</v>
      </c>
      <c r="J36" s="32">
        <v>510</v>
      </c>
      <c r="K36" s="18">
        <f t="shared" ref="K36:K52" si="16">IF(ISBLANK(J36),"",(J36-$J$8))</f>
        <v>162</v>
      </c>
      <c r="L36" s="19">
        <f t="shared" si="1"/>
        <v>-7.9999999999991189</v>
      </c>
      <c r="M36" s="19">
        <f t="shared" si="2"/>
        <v>-5.0000000000007816</v>
      </c>
      <c r="N36" s="19">
        <f t="shared" si="3"/>
        <v>-3.0000000000001137</v>
      </c>
      <c r="O36" s="19" t="str">
        <f t="shared" si="5"/>
        <v/>
      </c>
      <c r="P36" s="19" t="str">
        <f t="shared" si="6"/>
        <v/>
      </c>
      <c r="Q36" s="19" t="str">
        <f t="shared" si="7"/>
        <v/>
      </c>
      <c r="R36" s="19">
        <f t="shared" si="15"/>
        <v>-3.0000000000001137</v>
      </c>
      <c r="S36" s="27">
        <f t="shared" si="8"/>
        <v>-0.16666666666657429</v>
      </c>
      <c r="T36" s="28">
        <f t="shared" si="9"/>
        <v>0</v>
      </c>
      <c r="U36" s="28">
        <f t="shared" si="10"/>
        <v>0</v>
      </c>
      <c r="V36" s="28" t="str">
        <f t="shared" si="11"/>
        <v/>
      </c>
      <c r="W36" s="28" t="str">
        <f t="shared" si="12"/>
        <v/>
      </c>
      <c r="X36" s="29" t="str">
        <f t="shared" si="13"/>
        <v/>
      </c>
      <c r="Y36" s="24"/>
    </row>
    <row r="37" spans="2:25" ht="15" customHeight="1" x14ac:dyDescent="0.2">
      <c r="B37" s="31">
        <v>41697</v>
      </c>
      <c r="C37" s="25">
        <v>12.759</v>
      </c>
      <c r="D37" s="26">
        <v>7.4749999999999996</v>
      </c>
      <c r="E37" s="26">
        <v>8.1980000000000004</v>
      </c>
      <c r="F37" s="16"/>
      <c r="G37" s="16"/>
      <c r="H37" s="16"/>
      <c r="I37" s="17">
        <v>101.526</v>
      </c>
      <c r="J37" s="58">
        <v>547.5</v>
      </c>
      <c r="K37" s="18">
        <f t="shared" si="16"/>
        <v>199.5</v>
      </c>
      <c r="L37" s="19">
        <f t="shared" si="1"/>
        <v>-7.9999999999991189</v>
      </c>
      <c r="M37" s="19">
        <f t="shared" si="2"/>
        <v>-5.0000000000007816</v>
      </c>
      <c r="N37" s="19">
        <f t="shared" si="3"/>
        <v>-3.9999999999995595</v>
      </c>
      <c r="O37" s="19" t="str">
        <f t="shared" si="5"/>
        <v/>
      </c>
      <c r="P37" s="19" t="str">
        <f t="shared" si="6"/>
        <v/>
      </c>
      <c r="Q37" s="19" t="str">
        <f t="shared" si="7"/>
        <v/>
      </c>
      <c r="R37" s="19">
        <f t="shared" si="15"/>
        <v>-3.0000000000001137</v>
      </c>
      <c r="S37" s="27">
        <f t="shared" si="8"/>
        <v>0</v>
      </c>
      <c r="T37" s="28">
        <f t="shared" si="9"/>
        <v>0</v>
      </c>
      <c r="U37" s="28">
        <f t="shared" si="10"/>
        <v>-0.14285714285706369</v>
      </c>
      <c r="V37" s="28" t="str">
        <f t="shared" si="11"/>
        <v/>
      </c>
      <c r="W37" s="28" t="str">
        <f t="shared" si="12"/>
        <v/>
      </c>
      <c r="X37" s="29" t="str">
        <f t="shared" si="13"/>
        <v/>
      </c>
      <c r="Y37" s="24"/>
    </row>
    <row r="38" spans="2:25" ht="15" customHeight="1" x14ac:dyDescent="0.2">
      <c r="B38" s="31">
        <v>41723</v>
      </c>
      <c r="C38" s="25">
        <v>12.759</v>
      </c>
      <c r="D38" s="26">
        <v>7.476</v>
      </c>
      <c r="E38" s="26">
        <v>8.1980000000000004</v>
      </c>
      <c r="F38" s="16"/>
      <c r="G38" s="16"/>
      <c r="H38" s="16"/>
      <c r="I38" s="17">
        <v>101.526</v>
      </c>
      <c r="J38" s="32">
        <v>308</v>
      </c>
      <c r="K38" s="18">
        <f t="shared" si="16"/>
        <v>-40</v>
      </c>
      <c r="L38" s="19">
        <f t="shared" si="1"/>
        <v>-7.9999999999991189</v>
      </c>
      <c r="M38" s="19">
        <f t="shared" si="2"/>
        <v>-4.0000000000004476</v>
      </c>
      <c r="N38" s="19">
        <f t="shared" si="3"/>
        <v>-3.9999999999995595</v>
      </c>
      <c r="O38" s="19" t="str">
        <f t="shared" si="5"/>
        <v/>
      </c>
      <c r="P38" s="19" t="str">
        <f t="shared" si="6"/>
        <v/>
      </c>
      <c r="Q38" s="19" t="str">
        <f t="shared" si="7"/>
        <v/>
      </c>
      <c r="R38" s="19">
        <f t="shared" si="15"/>
        <v>-3.0000000000001137</v>
      </c>
      <c r="S38" s="27">
        <f t="shared" si="8"/>
        <v>0</v>
      </c>
      <c r="T38" s="28">
        <f t="shared" si="9"/>
        <v>3.8461538461551308E-2</v>
      </c>
      <c r="U38" s="28">
        <f t="shared" si="10"/>
        <v>0</v>
      </c>
      <c r="V38" s="28" t="str">
        <f t="shared" si="11"/>
        <v/>
      </c>
      <c r="W38" s="28" t="str">
        <f t="shared" si="12"/>
        <v/>
      </c>
      <c r="X38" s="29" t="str">
        <f t="shared" si="13"/>
        <v/>
      </c>
      <c r="Y38" s="24" t="s">
        <v>23</v>
      </c>
    </row>
    <row r="39" spans="2:25" ht="15" customHeight="1" x14ac:dyDescent="0.2">
      <c r="B39" s="31">
        <v>41725</v>
      </c>
      <c r="C39" s="25">
        <v>12.757</v>
      </c>
      <c r="D39" s="26">
        <v>7.4749999999999996</v>
      </c>
      <c r="E39" s="26">
        <v>8.1980000000000004</v>
      </c>
      <c r="F39" s="16"/>
      <c r="G39" s="16"/>
      <c r="H39" s="16"/>
      <c r="I39" s="17">
        <v>101.521</v>
      </c>
      <c r="J39" s="32">
        <v>327</v>
      </c>
      <c r="K39" s="18">
        <f t="shared" si="16"/>
        <v>-21</v>
      </c>
      <c r="L39" s="19">
        <f t="shared" si="1"/>
        <v>-9.9999999999997868</v>
      </c>
      <c r="M39" s="19">
        <f t="shared" si="2"/>
        <v>-5.0000000000007816</v>
      </c>
      <c r="N39" s="19">
        <f t="shared" si="3"/>
        <v>-3.9999999999995595</v>
      </c>
      <c r="O39" s="19" t="str">
        <f t="shared" si="5"/>
        <v/>
      </c>
      <c r="P39" s="19" t="str">
        <f t="shared" si="6"/>
        <v/>
      </c>
      <c r="Q39" s="19" t="str">
        <f t="shared" si="7"/>
        <v/>
      </c>
      <c r="R39" s="19">
        <f t="shared" si="15"/>
        <v>-7.9999999999955662</v>
      </c>
      <c r="S39" s="27">
        <f t="shared" si="8"/>
        <v>-1.000000000000334</v>
      </c>
      <c r="T39" s="28">
        <f t="shared" si="9"/>
        <v>-0.50000000000016698</v>
      </c>
      <c r="U39" s="28">
        <f t="shared" si="10"/>
        <v>0</v>
      </c>
      <c r="V39" s="28" t="str">
        <f t="shared" si="11"/>
        <v/>
      </c>
      <c r="W39" s="28" t="str">
        <f t="shared" si="12"/>
        <v/>
      </c>
      <c r="X39" s="29" t="str">
        <f t="shared" si="13"/>
        <v/>
      </c>
      <c r="Y39" s="24"/>
    </row>
    <row r="40" spans="2:25" ht="15" customHeight="1" x14ac:dyDescent="0.2">
      <c r="B40" s="31">
        <v>41726</v>
      </c>
      <c r="C40" s="25">
        <v>12.757</v>
      </c>
      <c r="D40" s="26">
        <v>7.4749999999999996</v>
      </c>
      <c r="E40" s="26">
        <v>8.1980000000000004</v>
      </c>
      <c r="F40" s="16"/>
      <c r="G40" s="16"/>
      <c r="H40" s="16"/>
      <c r="I40" s="17">
        <v>101.521</v>
      </c>
      <c r="J40" s="32">
        <v>340</v>
      </c>
      <c r="K40" s="18">
        <f t="shared" si="16"/>
        <v>-8</v>
      </c>
      <c r="L40" s="19">
        <f t="shared" si="1"/>
        <v>-9.9999999999997868</v>
      </c>
      <c r="M40" s="19">
        <f t="shared" si="2"/>
        <v>-5.0000000000007816</v>
      </c>
      <c r="N40" s="19">
        <f t="shared" si="3"/>
        <v>-3.9999999999995595</v>
      </c>
      <c r="O40" s="19" t="str">
        <f t="shared" si="5"/>
        <v/>
      </c>
      <c r="P40" s="19" t="str">
        <f t="shared" si="6"/>
        <v/>
      </c>
      <c r="Q40" s="19" t="str">
        <f t="shared" si="7"/>
        <v/>
      </c>
      <c r="R40" s="19">
        <f t="shared" si="15"/>
        <v>-7.9999999999955662</v>
      </c>
      <c r="S40" s="27">
        <f t="shared" si="8"/>
        <v>0</v>
      </c>
      <c r="T40" s="28">
        <f t="shared" si="9"/>
        <v>0</v>
      </c>
      <c r="U40" s="28">
        <f t="shared" si="10"/>
        <v>0</v>
      </c>
      <c r="V40" s="28" t="str">
        <f t="shared" si="11"/>
        <v/>
      </c>
      <c r="W40" s="28" t="str">
        <f t="shared" si="12"/>
        <v/>
      </c>
      <c r="X40" s="29" t="str">
        <f t="shared" si="13"/>
        <v/>
      </c>
      <c r="Y40" s="24"/>
    </row>
    <row r="41" spans="2:25" ht="15" customHeight="1" x14ac:dyDescent="0.2">
      <c r="B41" s="31">
        <v>41729</v>
      </c>
      <c r="C41" s="64">
        <v>12.747999999999999</v>
      </c>
      <c r="D41" s="65">
        <v>7.4720000000000004</v>
      </c>
      <c r="E41" s="65">
        <v>8.1969999999999992</v>
      </c>
      <c r="F41" s="16">
        <v>12.989000000000001</v>
      </c>
      <c r="G41" s="16">
        <v>10.045</v>
      </c>
      <c r="H41" s="16">
        <v>10.657999999999999</v>
      </c>
      <c r="I41" s="17">
        <v>101.518</v>
      </c>
      <c r="J41" s="32">
        <v>350</v>
      </c>
      <c r="K41" s="18">
        <f t="shared" si="16"/>
        <v>2</v>
      </c>
      <c r="L41" s="19">
        <f t="shared" si="1"/>
        <v>-19.000000000000128</v>
      </c>
      <c r="M41" s="19">
        <f t="shared" si="2"/>
        <v>-8.0000000000000071</v>
      </c>
      <c r="N41" s="19">
        <f t="shared" si="3"/>
        <v>-5.0000000000007816</v>
      </c>
      <c r="O41" s="19">
        <f>IF(ISBLANK(F41),"",((F41-F$41)*1000)+L$41)</f>
        <v>-19.000000000000128</v>
      </c>
      <c r="P41" s="19">
        <f>IF(ISBLANK(G41),"",((G41-G$41)*1000)+M$41)</f>
        <v>-8.0000000000000071</v>
      </c>
      <c r="Q41" s="19">
        <f>IF(ISBLANK(H41),"",((H41-H$41)*1000)+N$41)</f>
        <v>-5.0000000000007816</v>
      </c>
      <c r="R41" s="19">
        <f t="shared" si="15"/>
        <v>-10.99999999999568</v>
      </c>
      <c r="S41" s="27">
        <f t="shared" si="8"/>
        <v>-3.0000000000001137</v>
      </c>
      <c r="T41" s="28">
        <f t="shared" si="9"/>
        <v>-0.99999999999974187</v>
      </c>
      <c r="U41" s="28">
        <f t="shared" si="10"/>
        <v>-0.33333333333374071</v>
      </c>
      <c r="V41" s="28"/>
      <c r="W41" s="28"/>
      <c r="X41" s="29"/>
      <c r="Y41" s="24"/>
    </row>
    <row r="42" spans="2:25" ht="15" customHeight="1" x14ac:dyDescent="0.2">
      <c r="B42" s="31">
        <v>41730</v>
      </c>
      <c r="C42" s="25">
        <v>12.747999999999999</v>
      </c>
      <c r="D42" s="26">
        <v>7.4720000000000004</v>
      </c>
      <c r="E42" s="26">
        <v>8.1969999999999992</v>
      </c>
      <c r="F42" s="16">
        <v>12.989000000000001</v>
      </c>
      <c r="G42" s="16">
        <v>10.045</v>
      </c>
      <c r="H42" s="16">
        <v>10.657999999999999</v>
      </c>
      <c r="I42" s="17">
        <v>101.518</v>
      </c>
      <c r="J42" s="32">
        <v>364</v>
      </c>
      <c r="K42" s="18">
        <f t="shared" si="16"/>
        <v>16</v>
      </c>
      <c r="L42" s="19">
        <f t="shared" si="1"/>
        <v>-19.000000000000128</v>
      </c>
      <c r="M42" s="19">
        <f t="shared" si="2"/>
        <v>-8.0000000000000071</v>
      </c>
      <c r="N42" s="19">
        <f t="shared" si="3"/>
        <v>-5.0000000000007816</v>
      </c>
      <c r="O42" s="19">
        <f t="shared" ref="O42:O105" si="17">IF(ISBLANK(F42),"",((F42-F$41)*1000)+L$41)</f>
        <v>-19.000000000000128</v>
      </c>
      <c r="P42" s="19">
        <f t="shared" ref="P42:P105" si="18">IF(ISBLANK(G42),"",((G42-G$41)*1000)+M$41)</f>
        <v>-8.0000000000000071</v>
      </c>
      <c r="Q42" s="19">
        <f t="shared" ref="Q42:Q105" si="19">IF(ISBLANK(H42),"",((H42-H$41)*1000)+N$41)</f>
        <v>-5.0000000000007816</v>
      </c>
      <c r="R42" s="19">
        <f t="shared" si="15"/>
        <v>-10.99999999999568</v>
      </c>
      <c r="S42" s="27">
        <f t="shared" si="8"/>
        <v>0</v>
      </c>
      <c r="T42" s="28">
        <f t="shared" si="9"/>
        <v>0</v>
      </c>
      <c r="U42" s="28">
        <f t="shared" si="10"/>
        <v>0</v>
      </c>
      <c r="V42" s="28">
        <f t="shared" si="11"/>
        <v>0</v>
      </c>
      <c r="W42" s="28">
        <f t="shared" si="12"/>
        <v>0</v>
      </c>
      <c r="X42" s="29">
        <f t="shared" si="13"/>
        <v>0</v>
      </c>
      <c r="Y42" s="24"/>
    </row>
    <row r="43" spans="2:25" ht="15" customHeight="1" x14ac:dyDescent="0.2">
      <c r="B43" s="31">
        <v>41731</v>
      </c>
      <c r="C43" s="25"/>
      <c r="D43" s="26"/>
      <c r="E43" s="26"/>
      <c r="F43" s="16">
        <v>12.989000000000001</v>
      </c>
      <c r="G43" s="16">
        <v>10.045</v>
      </c>
      <c r="H43" s="16">
        <v>10.657999999999999</v>
      </c>
      <c r="I43" s="17">
        <v>101.518</v>
      </c>
      <c r="J43" s="32">
        <v>375</v>
      </c>
      <c r="K43" s="18">
        <f t="shared" si="16"/>
        <v>27</v>
      </c>
      <c r="L43" s="19" t="str">
        <f t="shared" si="1"/>
        <v/>
      </c>
      <c r="M43" s="19" t="str">
        <f t="shared" si="2"/>
        <v/>
      </c>
      <c r="N43" s="19" t="str">
        <f t="shared" si="3"/>
        <v/>
      </c>
      <c r="O43" s="19">
        <f t="shared" si="17"/>
        <v>-19.000000000000128</v>
      </c>
      <c r="P43" s="19">
        <f t="shared" si="18"/>
        <v>-8.0000000000000071</v>
      </c>
      <c r="Q43" s="19">
        <f t="shared" si="19"/>
        <v>-5.0000000000007816</v>
      </c>
      <c r="R43" s="19">
        <f t="shared" si="15"/>
        <v>-10.99999999999568</v>
      </c>
      <c r="S43" s="27" t="str">
        <f t="shared" si="8"/>
        <v/>
      </c>
      <c r="T43" s="28" t="str">
        <f t="shared" si="9"/>
        <v/>
      </c>
      <c r="U43" s="28" t="str">
        <f t="shared" si="10"/>
        <v/>
      </c>
      <c r="V43" s="28">
        <f t="shared" si="11"/>
        <v>0</v>
      </c>
      <c r="W43" s="28">
        <f t="shared" si="12"/>
        <v>0</v>
      </c>
      <c r="X43" s="29">
        <f t="shared" si="13"/>
        <v>0</v>
      </c>
      <c r="Y43" s="24"/>
    </row>
    <row r="44" spans="2:25" ht="15" customHeight="1" x14ac:dyDescent="0.2">
      <c r="B44" s="31">
        <v>41732</v>
      </c>
      <c r="C44" s="25"/>
      <c r="D44" s="26"/>
      <c r="E44" s="26"/>
      <c r="F44" s="16">
        <v>12.988</v>
      </c>
      <c r="G44" s="16">
        <v>10.045</v>
      </c>
      <c r="H44" s="16">
        <v>10.657</v>
      </c>
      <c r="I44" s="17">
        <v>101.518</v>
      </c>
      <c r="J44" s="32">
        <v>387</v>
      </c>
      <c r="K44" s="18">
        <f t="shared" si="16"/>
        <v>39</v>
      </c>
      <c r="L44" s="19" t="str">
        <f t="shared" si="1"/>
        <v/>
      </c>
      <c r="M44" s="19" t="str">
        <f t="shared" si="2"/>
        <v/>
      </c>
      <c r="N44" s="19" t="str">
        <f t="shared" si="3"/>
        <v/>
      </c>
      <c r="O44" s="19">
        <f t="shared" si="17"/>
        <v>-20.00000000000135</v>
      </c>
      <c r="P44" s="19">
        <f t="shared" si="18"/>
        <v>-8.0000000000000071</v>
      </c>
      <c r="Q44" s="19">
        <f t="shared" si="19"/>
        <v>-6.0000000000002274</v>
      </c>
      <c r="R44" s="19">
        <f t="shared" si="15"/>
        <v>-10.99999999999568</v>
      </c>
      <c r="S44" s="27" t="str">
        <f t="shared" si="8"/>
        <v/>
      </c>
      <c r="T44" s="28" t="str">
        <f t="shared" si="9"/>
        <v/>
      </c>
      <c r="U44" s="28" t="str">
        <f t="shared" si="10"/>
        <v/>
      </c>
      <c r="V44" s="28">
        <f t="shared" si="11"/>
        <v>-1.0000000000012221</v>
      </c>
      <c r="W44" s="28">
        <f t="shared" si="12"/>
        <v>0</v>
      </c>
      <c r="X44" s="29">
        <f t="shared" si="13"/>
        <v>-0.99999999999944578</v>
      </c>
      <c r="Y44" s="24"/>
    </row>
    <row r="45" spans="2:25" ht="15" customHeight="1" x14ac:dyDescent="0.2">
      <c r="B45" s="31">
        <v>41733</v>
      </c>
      <c r="C45" s="25"/>
      <c r="D45" s="26"/>
      <c r="E45" s="26"/>
      <c r="F45" s="16">
        <v>12.988</v>
      </c>
      <c r="G45" s="16">
        <v>10.045</v>
      </c>
      <c r="H45" s="16">
        <v>10.657</v>
      </c>
      <c r="I45" s="17">
        <v>101.518</v>
      </c>
      <c r="J45" s="32">
        <v>395</v>
      </c>
      <c r="K45" s="18">
        <f t="shared" si="16"/>
        <v>47</v>
      </c>
      <c r="L45" s="19" t="str">
        <f t="shared" si="1"/>
        <v/>
      </c>
      <c r="M45" s="19" t="str">
        <f t="shared" si="2"/>
        <v/>
      </c>
      <c r="N45" s="19" t="str">
        <f t="shared" si="3"/>
        <v/>
      </c>
      <c r="O45" s="19">
        <f t="shared" si="17"/>
        <v>-20.00000000000135</v>
      </c>
      <c r="P45" s="19">
        <f t="shared" si="18"/>
        <v>-8.0000000000000071</v>
      </c>
      <c r="Q45" s="19">
        <f t="shared" si="19"/>
        <v>-6.0000000000002274</v>
      </c>
      <c r="R45" s="19">
        <f t="shared" si="15"/>
        <v>-10.99999999999568</v>
      </c>
      <c r="S45" s="27" t="str">
        <f t="shared" si="8"/>
        <v/>
      </c>
      <c r="T45" s="28" t="str">
        <f t="shared" si="9"/>
        <v/>
      </c>
      <c r="U45" s="28" t="str">
        <f t="shared" si="10"/>
        <v/>
      </c>
      <c r="V45" s="28">
        <f t="shared" si="11"/>
        <v>0</v>
      </c>
      <c r="W45" s="28">
        <f t="shared" si="12"/>
        <v>0</v>
      </c>
      <c r="X45" s="29">
        <f t="shared" si="13"/>
        <v>0</v>
      </c>
      <c r="Y45" s="24"/>
    </row>
    <row r="46" spans="2:25" ht="15" customHeight="1" x14ac:dyDescent="0.2">
      <c r="B46" s="31">
        <v>41736</v>
      </c>
      <c r="C46" s="25"/>
      <c r="D46" s="26"/>
      <c r="E46" s="26"/>
      <c r="F46" s="16">
        <v>12.988</v>
      </c>
      <c r="G46" s="16">
        <v>10.045</v>
      </c>
      <c r="H46" s="16">
        <v>10.657</v>
      </c>
      <c r="I46" s="17">
        <v>101.518</v>
      </c>
      <c r="J46" s="32">
        <v>408</v>
      </c>
      <c r="K46" s="18">
        <f t="shared" si="16"/>
        <v>60</v>
      </c>
      <c r="L46" s="19" t="str">
        <f t="shared" si="1"/>
        <v/>
      </c>
      <c r="M46" s="19" t="str">
        <f t="shared" si="2"/>
        <v/>
      </c>
      <c r="N46" s="19" t="str">
        <f t="shared" si="3"/>
        <v/>
      </c>
      <c r="O46" s="19">
        <f t="shared" si="17"/>
        <v>-20.00000000000135</v>
      </c>
      <c r="P46" s="19">
        <f t="shared" si="18"/>
        <v>-8.0000000000000071</v>
      </c>
      <c r="Q46" s="19">
        <f t="shared" si="19"/>
        <v>-6.0000000000002274</v>
      </c>
      <c r="R46" s="19">
        <f t="shared" si="15"/>
        <v>-10.99999999999568</v>
      </c>
      <c r="S46" s="27" t="str">
        <f t="shared" si="8"/>
        <v/>
      </c>
      <c r="T46" s="28" t="str">
        <f t="shared" si="9"/>
        <v/>
      </c>
      <c r="U46" s="28" t="str">
        <f t="shared" si="10"/>
        <v/>
      </c>
      <c r="V46" s="28">
        <f t="shared" si="11"/>
        <v>0</v>
      </c>
      <c r="W46" s="28">
        <f t="shared" si="12"/>
        <v>0</v>
      </c>
      <c r="X46" s="29">
        <f t="shared" si="13"/>
        <v>0</v>
      </c>
      <c r="Y46" s="24"/>
    </row>
    <row r="47" spans="2:25" ht="15" customHeight="1" x14ac:dyDescent="0.2">
      <c r="B47" s="31">
        <v>41737</v>
      </c>
      <c r="C47" s="25"/>
      <c r="D47" s="26"/>
      <c r="E47" s="26"/>
      <c r="F47" s="16">
        <v>12.988</v>
      </c>
      <c r="G47" s="16">
        <v>10.045</v>
      </c>
      <c r="H47" s="16">
        <v>10.657999999999999</v>
      </c>
      <c r="I47" s="17">
        <v>101.518</v>
      </c>
      <c r="J47" s="32">
        <v>436</v>
      </c>
      <c r="K47" s="18">
        <f t="shared" si="16"/>
        <v>88</v>
      </c>
      <c r="L47" s="19" t="str">
        <f t="shared" si="1"/>
        <v/>
      </c>
      <c r="M47" s="19" t="str">
        <f t="shared" si="2"/>
        <v/>
      </c>
      <c r="N47" s="19" t="str">
        <f t="shared" si="3"/>
        <v/>
      </c>
      <c r="O47" s="19">
        <f t="shared" si="17"/>
        <v>-20.00000000000135</v>
      </c>
      <c r="P47" s="19">
        <f t="shared" si="18"/>
        <v>-8.0000000000000071</v>
      </c>
      <c r="Q47" s="19">
        <f t="shared" si="19"/>
        <v>-5.0000000000007816</v>
      </c>
      <c r="R47" s="19">
        <f t="shared" si="15"/>
        <v>-10.99999999999568</v>
      </c>
      <c r="S47" s="27" t="str">
        <f t="shared" si="8"/>
        <v/>
      </c>
      <c r="T47" s="28" t="str">
        <f t="shared" si="9"/>
        <v/>
      </c>
      <c r="U47" s="28" t="str">
        <f t="shared" si="10"/>
        <v/>
      </c>
      <c r="V47" s="28">
        <f t="shared" si="11"/>
        <v>0</v>
      </c>
      <c r="W47" s="28">
        <f t="shared" si="12"/>
        <v>0</v>
      </c>
      <c r="X47" s="29">
        <f t="shared" si="13"/>
        <v>0.99999999999944578</v>
      </c>
      <c r="Y47" s="24"/>
    </row>
    <row r="48" spans="2:25" ht="15" customHeight="1" x14ac:dyDescent="0.2">
      <c r="B48" s="31">
        <v>41738</v>
      </c>
      <c r="C48" s="25"/>
      <c r="D48" s="26"/>
      <c r="E48" s="26"/>
      <c r="F48" s="16">
        <v>12.988</v>
      </c>
      <c r="G48" s="16">
        <v>10.045</v>
      </c>
      <c r="H48" s="16">
        <v>10.657999999999999</v>
      </c>
      <c r="I48" s="17">
        <v>101.518</v>
      </c>
      <c r="J48" s="32">
        <v>450</v>
      </c>
      <c r="K48" s="18">
        <f t="shared" si="16"/>
        <v>102</v>
      </c>
      <c r="L48" s="19" t="str">
        <f t="shared" ref="L48:L79" si="20">IF(ISBLANK(C48),"",(C48-C$16)*1000)</f>
        <v/>
      </c>
      <c r="M48" s="19" t="str">
        <f t="shared" ref="M48:M79" si="21">IF(ISBLANK(D48),"",(D48-D$16)*1000)</f>
        <v/>
      </c>
      <c r="N48" s="19" t="str">
        <f t="shared" ref="N48:N79" si="22">IF(ISBLANK(E48),"",(E48-E$16)*1000)</f>
        <v/>
      </c>
      <c r="O48" s="19">
        <f t="shared" si="17"/>
        <v>-20.00000000000135</v>
      </c>
      <c r="P48" s="19">
        <f t="shared" si="18"/>
        <v>-8.0000000000000071</v>
      </c>
      <c r="Q48" s="19">
        <f t="shared" si="19"/>
        <v>-5.0000000000007816</v>
      </c>
      <c r="R48" s="19">
        <f t="shared" si="15"/>
        <v>-10.99999999999568</v>
      </c>
      <c r="S48" s="27" t="str">
        <f t="shared" si="8"/>
        <v/>
      </c>
      <c r="T48" s="28" t="str">
        <f t="shared" si="9"/>
        <v/>
      </c>
      <c r="U48" s="28" t="str">
        <f t="shared" si="10"/>
        <v/>
      </c>
      <c r="V48" s="28">
        <f t="shared" si="11"/>
        <v>0</v>
      </c>
      <c r="W48" s="28">
        <f t="shared" si="12"/>
        <v>0</v>
      </c>
      <c r="X48" s="29">
        <f t="shared" si="13"/>
        <v>0</v>
      </c>
      <c r="Y48" s="24"/>
    </row>
    <row r="49" spans="2:25" ht="15" customHeight="1" x14ac:dyDescent="0.2">
      <c r="B49" s="31">
        <v>41739</v>
      </c>
      <c r="C49" s="25"/>
      <c r="D49" s="26"/>
      <c r="E49" s="26"/>
      <c r="F49" s="16">
        <v>12.988</v>
      </c>
      <c r="G49" s="16">
        <v>10.045</v>
      </c>
      <c r="H49" s="16">
        <v>10.657999999999999</v>
      </c>
      <c r="I49" s="17">
        <v>101.518</v>
      </c>
      <c r="J49" s="32">
        <v>457</v>
      </c>
      <c r="K49" s="18">
        <f t="shared" si="16"/>
        <v>109</v>
      </c>
      <c r="L49" s="19" t="str">
        <f t="shared" si="20"/>
        <v/>
      </c>
      <c r="M49" s="19" t="str">
        <f t="shared" si="21"/>
        <v/>
      </c>
      <c r="N49" s="19" t="str">
        <f t="shared" si="22"/>
        <v/>
      </c>
      <c r="O49" s="19">
        <f t="shared" si="17"/>
        <v>-20.00000000000135</v>
      </c>
      <c r="P49" s="19">
        <f t="shared" si="18"/>
        <v>-8.0000000000000071</v>
      </c>
      <c r="Q49" s="19">
        <f t="shared" si="19"/>
        <v>-5.0000000000007816</v>
      </c>
      <c r="R49" s="19">
        <f t="shared" si="15"/>
        <v>-10.99999999999568</v>
      </c>
      <c r="S49" s="27" t="str">
        <f t="shared" ref="S49:S80" si="23">IF(C49="","",((C49-C48)*1000)/($B49-$B48))</f>
        <v/>
      </c>
      <c r="T49" s="28" t="str">
        <f t="shared" ref="T49:T80" si="24">IF(D49="","",((D49-D48)*1000)/($B49-$B48))</f>
        <v/>
      </c>
      <c r="U49" s="28" t="str">
        <f t="shared" ref="U49:U80" si="25">IF(E49="","",((E49-E48)*1000)/($B49-$B48))</f>
        <v/>
      </c>
      <c r="V49" s="28">
        <f t="shared" ref="V49:V80" si="26">IF(F49="","",((F49-F48)*1000)/($B49-$B48))</f>
        <v>0</v>
      </c>
      <c r="W49" s="28">
        <f t="shared" ref="W49:W80" si="27">IF(G49="","",((G49-G48)*1000)/($B49-$B48))</f>
        <v>0</v>
      </c>
      <c r="X49" s="29">
        <f t="shared" ref="X49:X80" si="28">IF(H49="","",((H49-H48)*1000)/($B49-$B48))</f>
        <v>0</v>
      </c>
      <c r="Y49" s="24"/>
    </row>
    <row r="50" spans="2:25" ht="15" customHeight="1" x14ac:dyDescent="0.2">
      <c r="B50" s="31">
        <v>41745</v>
      </c>
      <c r="C50" s="25"/>
      <c r="D50" s="26"/>
      <c r="E50" s="26"/>
      <c r="F50" s="16">
        <v>12.988</v>
      </c>
      <c r="G50" s="16">
        <v>10.045</v>
      </c>
      <c r="H50" s="16">
        <v>10.657999999999999</v>
      </c>
      <c r="I50" s="17">
        <v>101.518</v>
      </c>
      <c r="J50" s="32">
        <v>516</v>
      </c>
      <c r="K50" s="18">
        <f t="shared" si="16"/>
        <v>168</v>
      </c>
      <c r="L50" s="19" t="str">
        <f t="shared" si="20"/>
        <v/>
      </c>
      <c r="M50" s="19" t="str">
        <f t="shared" si="21"/>
        <v/>
      </c>
      <c r="N50" s="19" t="str">
        <f t="shared" si="22"/>
        <v/>
      </c>
      <c r="O50" s="19">
        <f t="shared" si="17"/>
        <v>-20.00000000000135</v>
      </c>
      <c r="P50" s="19">
        <f t="shared" si="18"/>
        <v>-8.0000000000000071</v>
      </c>
      <c r="Q50" s="19">
        <f t="shared" si="19"/>
        <v>-5.0000000000007816</v>
      </c>
      <c r="R50" s="19">
        <f t="shared" si="15"/>
        <v>-10.99999999999568</v>
      </c>
      <c r="S50" s="27" t="str">
        <f t="shared" si="23"/>
        <v/>
      </c>
      <c r="T50" s="28" t="str">
        <f t="shared" si="24"/>
        <v/>
      </c>
      <c r="U50" s="28" t="str">
        <f t="shared" si="25"/>
        <v/>
      </c>
      <c r="V50" s="28">
        <f t="shared" si="26"/>
        <v>0</v>
      </c>
      <c r="W50" s="28">
        <f t="shared" si="27"/>
        <v>0</v>
      </c>
      <c r="X50" s="29">
        <f t="shared" si="28"/>
        <v>0</v>
      </c>
      <c r="Y50" s="24"/>
    </row>
    <row r="51" spans="2:25" ht="15" customHeight="1" x14ac:dyDescent="0.2">
      <c r="B51" s="31">
        <v>41752</v>
      </c>
      <c r="C51" s="25"/>
      <c r="D51" s="26"/>
      <c r="E51" s="26"/>
      <c r="F51" s="16">
        <v>12.988</v>
      </c>
      <c r="G51" s="16">
        <v>10.045</v>
      </c>
      <c r="H51" s="16">
        <v>10.657999999999999</v>
      </c>
      <c r="I51" s="17">
        <v>101.518</v>
      </c>
      <c r="J51" s="32">
        <v>534.5</v>
      </c>
      <c r="K51" s="18">
        <f t="shared" si="16"/>
        <v>186.5</v>
      </c>
      <c r="L51" s="19" t="str">
        <f t="shared" si="20"/>
        <v/>
      </c>
      <c r="M51" s="19" t="str">
        <f t="shared" si="21"/>
        <v/>
      </c>
      <c r="N51" s="19" t="str">
        <f t="shared" si="22"/>
        <v/>
      </c>
      <c r="O51" s="19">
        <f t="shared" si="17"/>
        <v>-20.00000000000135</v>
      </c>
      <c r="P51" s="19">
        <f t="shared" si="18"/>
        <v>-8.0000000000000071</v>
      </c>
      <c r="Q51" s="19">
        <f t="shared" si="19"/>
        <v>-5.0000000000007816</v>
      </c>
      <c r="R51" s="19">
        <f t="shared" si="15"/>
        <v>-10.99999999999568</v>
      </c>
      <c r="S51" s="27" t="str">
        <f t="shared" si="23"/>
        <v/>
      </c>
      <c r="T51" s="28" t="str">
        <f t="shared" si="24"/>
        <v/>
      </c>
      <c r="U51" s="28" t="str">
        <f t="shared" si="25"/>
        <v/>
      </c>
      <c r="V51" s="28">
        <f t="shared" si="26"/>
        <v>0</v>
      </c>
      <c r="W51" s="28">
        <f t="shared" si="27"/>
        <v>0</v>
      </c>
      <c r="X51" s="29">
        <f t="shared" si="28"/>
        <v>0</v>
      </c>
      <c r="Y51" s="24" t="s">
        <v>35</v>
      </c>
    </row>
    <row r="52" spans="2:25" ht="15" customHeight="1" x14ac:dyDescent="0.2">
      <c r="B52" s="31">
        <v>41759</v>
      </c>
      <c r="C52" s="25"/>
      <c r="D52" s="26"/>
      <c r="E52" s="26"/>
      <c r="F52" s="16">
        <v>12.988</v>
      </c>
      <c r="G52" s="16">
        <v>10.045</v>
      </c>
      <c r="H52" s="16">
        <v>10.657999999999999</v>
      </c>
      <c r="I52" s="17">
        <v>101.518</v>
      </c>
      <c r="J52" s="32">
        <v>534.5</v>
      </c>
      <c r="K52" s="18">
        <f t="shared" si="16"/>
        <v>186.5</v>
      </c>
      <c r="L52" s="19" t="str">
        <f t="shared" si="20"/>
        <v/>
      </c>
      <c r="M52" s="19" t="str">
        <f t="shared" si="21"/>
        <v/>
      </c>
      <c r="N52" s="19" t="str">
        <f t="shared" si="22"/>
        <v/>
      </c>
      <c r="O52" s="19">
        <f t="shared" si="17"/>
        <v>-20.00000000000135</v>
      </c>
      <c r="P52" s="19">
        <f t="shared" si="18"/>
        <v>-8.0000000000000071</v>
      </c>
      <c r="Q52" s="19">
        <f t="shared" si="19"/>
        <v>-5.0000000000007816</v>
      </c>
      <c r="R52" s="19">
        <f t="shared" si="15"/>
        <v>-10.99999999999568</v>
      </c>
      <c r="S52" s="27" t="str">
        <f t="shared" si="23"/>
        <v/>
      </c>
      <c r="T52" s="28" t="str">
        <f t="shared" si="24"/>
        <v/>
      </c>
      <c r="U52" s="28" t="str">
        <f t="shared" si="25"/>
        <v/>
      </c>
      <c r="V52" s="28">
        <f t="shared" si="26"/>
        <v>0</v>
      </c>
      <c r="W52" s="28">
        <f t="shared" si="27"/>
        <v>0</v>
      </c>
      <c r="X52" s="29">
        <f t="shared" si="28"/>
        <v>0</v>
      </c>
      <c r="Y52" s="24"/>
    </row>
    <row r="53" spans="2:25" ht="15" customHeight="1" x14ac:dyDescent="0.2">
      <c r="B53" s="31">
        <v>41781</v>
      </c>
      <c r="C53" s="25"/>
      <c r="D53" s="26"/>
      <c r="E53" s="26"/>
      <c r="F53" s="16">
        <v>12.988</v>
      </c>
      <c r="G53" s="16">
        <v>10.045</v>
      </c>
      <c r="H53" s="16">
        <v>10.657999999999999</v>
      </c>
      <c r="I53" s="17">
        <v>101.518</v>
      </c>
      <c r="J53" s="58">
        <v>792</v>
      </c>
      <c r="K53" s="18">
        <f t="shared" ref="K53:K58" si="29">IF(ISBLANK(J53),"",(J53-$J$8))</f>
        <v>444</v>
      </c>
      <c r="L53" s="19" t="str">
        <f t="shared" si="20"/>
        <v/>
      </c>
      <c r="M53" s="19" t="str">
        <f t="shared" si="21"/>
        <v/>
      </c>
      <c r="N53" s="19" t="str">
        <f t="shared" si="22"/>
        <v/>
      </c>
      <c r="O53" s="19">
        <f t="shared" si="17"/>
        <v>-20.00000000000135</v>
      </c>
      <c r="P53" s="19">
        <f t="shared" si="18"/>
        <v>-8.0000000000000071</v>
      </c>
      <c r="Q53" s="19">
        <f t="shared" si="19"/>
        <v>-5.0000000000007816</v>
      </c>
      <c r="R53" s="19">
        <f t="shared" si="15"/>
        <v>-10.99999999999568</v>
      </c>
      <c r="S53" s="27" t="str">
        <f t="shared" si="23"/>
        <v/>
      </c>
      <c r="T53" s="28" t="str">
        <f t="shared" si="24"/>
        <v/>
      </c>
      <c r="U53" s="28" t="str">
        <f t="shared" si="25"/>
        <v/>
      </c>
      <c r="V53" s="28">
        <f t="shared" si="26"/>
        <v>0</v>
      </c>
      <c r="W53" s="28">
        <f t="shared" si="27"/>
        <v>0</v>
      </c>
      <c r="X53" s="29">
        <f t="shared" si="28"/>
        <v>0</v>
      </c>
      <c r="Y53" s="24"/>
    </row>
    <row r="54" spans="2:25" ht="15" customHeight="1" x14ac:dyDescent="0.2">
      <c r="B54" s="31">
        <v>41843</v>
      </c>
      <c r="C54" s="25"/>
      <c r="D54" s="26"/>
      <c r="E54" s="26"/>
      <c r="F54" s="16">
        <v>12.987</v>
      </c>
      <c r="G54" s="16">
        <v>10.044</v>
      </c>
      <c r="H54" s="16">
        <v>10.657999999999999</v>
      </c>
      <c r="I54" s="17">
        <v>101.517</v>
      </c>
      <c r="J54" s="58">
        <v>943</v>
      </c>
      <c r="K54" s="18">
        <f t="shared" si="29"/>
        <v>595</v>
      </c>
      <c r="L54" s="19" t="str">
        <f t="shared" si="20"/>
        <v/>
      </c>
      <c r="M54" s="19" t="str">
        <f t="shared" si="21"/>
        <v/>
      </c>
      <c r="N54" s="19" t="str">
        <f t="shared" si="22"/>
        <v/>
      </c>
      <c r="O54" s="19">
        <f t="shared" si="17"/>
        <v>-21.000000000000796</v>
      </c>
      <c r="P54" s="19">
        <f t="shared" si="18"/>
        <v>-8.9999999999994529</v>
      </c>
      <c r="Q54" s="19">
        <f t="shared" si="19"/>
        <v>-5.0000000000007816</v>
      </c>
      <c r="R54" s="19">
        <f t="shared" si="15"/>
        <v>-12.000000000000455</v>
      </c>
      <c r="S54" s="27" t="str">
        <f t="shared" si="23"/>
        <v/>
      </c>
      <c r="T54" s="28" t="str">
        <f t="shared" si="24"/>
        <v/>
      </c>
      <c r="U54" s="28" t="str">
        <f t="shared" si="25"/>
        <v/>
      </c>
      <c r="V54" s="28">
        <f t="shared" si="26"/>
        <v>-1.6129032258055578E-2</v>
      </c>
      <c r="W54" s="28">
        <f t="shared" si="27"/>
        <v>-1.6129032258055578E-2</v>
      </c>
      <c r="X54" s="29">
        <f t="shared" si="28"/>
        <v>0</v>
      </c>
      <c r="Y54" s="24"/>
    </row>
    <row r="55" spans="2:25" ht="15" customHeight="1" x14ac:dyDescent="0.2">
      <c r="B55" s="31">
        <v>41933</v>
      </c>
      <c r="C55" s="25">
        <v>12.744999999999999</v>
      </c>
      <c r="D55" s="26">
        <v>7.4710000000000001</v>
      </c>
      <c r="E55" s="26">
        <v>8.1940000000000008</v>
      </c>
      <c r="F55" s="16">
        <v>12.987</v>
      </c>
      <c r="G55" s="16">
        <v>10.044</v>
      </c>
      <c r="H55" s="16">
        <v>10.657</v>
      </c>
      <c r="I55" s="17">
        <v>101.517</v>
      </c>
      <c r="J55" s="58">
        <v>943</v>
      </c>
      <c r="K55" s="18">
        <f t="shared" si="29"/>
        <v>595</v>
      </c>
      <c r="L55" s="19">
        <f t="shared" si="20"/>
        <v>-22.000000000000242</v>
      </c>
      <c r="M55" s="19">
        <f t="shared" si="21"/>
        <v>-9.0000000000003411</v>
      </c>
      <c r="N55" s="19">
        <f t="shared" si="22"/>
        <v>-7.9999999999991189</v>
      </c>
      <c r="O55" s="19">
        <f t="shared" si="17"/>
        <v>-21.000000000000796</v>
      </c>
      <c r="P55" s="19">
        <f t="shared" si="18"/>
        <v>-8.9999999999994529</v>
      </c>
      <c r="Q55" s="19">
        <f t="shared" si="19"/>
        <v>-6.0000000000002274</v>
      </c>
      <c r="R55" s="19">
        <f t="shared" si="15"/>
        <v>-12.000000000000455</v>
      </c>
      <c r="S55" s="27"/>
      <c r="T55" s="28"/>
      <c r="U55" s="28"/>
      <c r="V55" s="28">
        <f t="shared" si="26"/>
        <v>0</v>
      </c>
      <c r="W55" s="28">
        <f t="shared" si="27"/>
        <v>0</v>
      </c>
      <c r="X55" s="29">
        <f t="shared" si="28"/>
        <v>-1.1111111111104953E-2</v>
      </c>
      <c r="Y55" s="24"/>
    </row>
    <row r="56" spans="2:25" ht="15" customHeight="1" x14ac:dyDescent="0.2">
      <c r="B56" s="31">
        <v>42025</v>
      </c>
      <c r="C56" s="25"/>
      <c r="D56" s="26"/>
      <c r="E56" s="26"/>
      <c r="F56" s="16">
        <v>12.988</v>
      </c>
      <c r="G56" s="16">
        <v>10.045</v>
      </c>
      <c r="H56" s="16">
        <v>10.657</v>
      </c>
      <c r="I56" s="17">
        <v>101.517</v>
      </c>
      <c r="J56" s="58">
        <v>943</v>
      </c>
      <c r="K56" s="18">
        <f t="shared" si="29"/>
        <v>595</v>
      </c>
      <c r="L56" s="19" t="str">
        <f t="shared" si="20"/>
        <v/>
      </c>
      <c r="M56" s="19" t="str">
        <f t="shared" si="21"/>
        <v/>
      </c>
      <c r="N56" s="19" t="str">
        <f t="shared" si="22"/>
        <v/>
      </c>
      <c r="O56" s="19">
        <f t="shared" si="17"/>
        <v>-20.00000000000135</v>
      </c>
      <c r="P56" s="19">
        <f t="shared" si="18"/>
        <v>-8.0000000000000071</v>
      </c>
      <c r="Q56" s="19">
        <f t="shared" si="19"/>
        <v>-6.0000000000002274</v>
      </c>
      <c r="R56" s="19">
        <f t="shared" si="15"/>
        <v>-12.000000000000455</v>
      </c>
      <c r="S56" s="27" t="str">
        <f t="shared" si="23"/>
        <v/>
      </c>
      <c r="T56" s="28" t="str">
        <f t="shared" si="24"/>
        <v/>
      </c>
      <c r="U56" s="28" t="str">
        <f t="shared" si="25"/>
        <v/>
      </c>
      <c r="V56" s="28">
        <f t="shared" si="26"/>
        <v>1.0869565217385279E-2</v>
      </c>
      <c r="W56" s="28">
        <f t="shared" si="27"/>
        <v>1.0869565217385279E-2</v>
      </c>
      <c r="X56" s="29">
        <f t="shared" si="28"/>
        <v>0</v>
      </c>
      <c r="Y56" s="24"/>
    </row>
    <row r="57" spans="2:25" ht="15" customHeight="1" x14ac:dyDescent="0.2">
      <c r="B57" s="31">
        <v>42109</v>
      </c>
      <c r="C57" s="25"/>
      <c r="D57" s="26"/>
      <c r="E57" s="26"/>
      <c r="F57" s="16">
        <v>12.987</v>
      </c>
      <c r="G57" s="16">
        <v>10.045</v>
      </c>
      <c r="H57" s="16">
        <v>10.657</v>
      </c>
      <c r="I57" s="17">
        <v>101.517</v>
      </c>
      <c r="J57" s="58">
        <v>943</v>
      </c>
      <c r="K57" s="18">
        <f t="shared" si="29"/>
        <v>595</v>
      </c>
      <c r="L57" s="19" t="str">
        <f t="shared" si="20"/>
        <v/>
      </c>
      <c r="M57" s="19" t="str">
        <f t="shared" si="21"/>
        <v/>
      </c>
      <c r="N57" s="19" t="str">
        <f t="shared" si="22"/>
        <v/>
      </c>
      <c r="O57" s="19">
        <f t="shared" si="17"/>
        <v>-21.000000000000796</v>
      </c>
      <c r="P57" s="19">
        <f t="shared" si="18"/>
        <v>-8.0000000000000071</v>
      </c>
      <c r="Q57" s="19">
        <f t="shared" si="19"/>
        <v>-6.0000000000002274</v>
      </c>
      <c r="R57" s="19">
        <f t="shared" si="15"/>
        <v>-12.000000000000455</v>
      </c>
      <c r="S57" s="27" t="str">
        <f t="shared" si="23"/>
        <v/>
      </c>
      <c r="T57" s="28" t="str">
        <f t="shared" si="24"/>
        <v/>
      </c>
      <c r="U57" s="28" t="str">
        <f t="shared" si="25"/>
        <v/>
      </c>
      <c r="V57" s="28">
        <f t="shared" si="26"/>
        <v>-1.1904761904755307E-2</v>
      </c>
      <c r="W57" s="28">
        <f t="shared" si="27"/>
        <v>0</v>
      </c>
      <c r="X57" s="29">
        <f t="shared" si="28"/>
        <v>0</v>
      </c>
      <c r="Y57" s="24"/>
    </row>
    <row r="58" spans="2:25" ht="15" customHeight="1" x14ac:dyDescent="0.2">
      <c r="B58" s="31">
        <v>42221</v>
      </c>
      <c r="C58" s="33"/>
      <c r="D58" s="16"/>
      <c r="E58" s="16"/>
      <c r="F58" s="16">
        <v>12.986000000000001</v>
      </c>
      <c r="G58" s="16">
        <v>10.045</v>
      </c>
      <c r="H58" s="16">
        <v>10.656000000000001</v>
      </c>
      <c r="I58" s="16">
        <v>101.517</v>
      </c>
      <c r="J58" s="32">
        <v>1253</v>
      </c>
      <c r="K58" s="18">
        <f t="shared" si="29"/>
        <v>905</v>
      </c>
      <c r="L58" s="19" t="str">
        <f t="shared" si="20"/>
        <v/>
      </c>
      <c r="M58" s="19" t="str">
        <f t="shared" si="21"/>
        <v/>
      </c>
      <c r="N58" s="19" t="str">
        <f t="shared" si="22"/>
        <v/>
      </c>
      <c r="O58" s="19">
        <f t="shared" si="17"/>
        <v>-22.000000000000242</v>
      </c>
      <c r="P58" s="19">
        <f t="shared" si="18"/>
        <v>-8.0000000000000071</v>
      </c>
      <c r="Q58" s="19">
        <f t="shared" si="19"/>
        <v>-6.9999999999996732</v>
      </c>
      <c r="R58" s="19">
        <f t="shared" si="15"/>
        <v>-12.000000000000455</v>
      </c>
      <c r="S58" s="27" t="str">
        <f t="shared" si="23"/>
        <v/>
      </c>
      <c r="T58" s="28" t="str">
        <f t="shared" si="24"/>
        <v/>
      </c>
      <c r="U58" s="28" t="str">
        <f t="shared" si="25"/>
        <v/>
      </c>
      <c r="V58" s="28">
        <f t="shared" si="26"/>
        <v>-8.9285714285664806E-3</v>
      </c>
      <c r="W58" s="28">
        <f t="shared" si="27"/>
        <v>0</v>
      </c>
      <c r="X58" s="29">
        <f t="shared" si="28"/>
        <v>-8.9285714285664806E-3</v>
      </c>
      <c r="Y58" s="24"/>
    </row>
    <row r="59" spans="2:25" ht="15" customHeight="1" x14ac:dyDescent="0.2">
      <c r="B59" s="31">
        <v>42317</v>
      </c>
      <c r="C59" s="33"/>
      <c r="D59" s="16"/>
      <c r="E59" s="16"/>
      <c r="F59" s="16">
        <v>12.986000000000001</v>
      </c>
      <c r="G59" s="16">
        <v>10.045</v>
      </c>
      <c r="H59" s="16">
        <v>10.656000000000001</v>
      </c>
      <c r="I59" s="16">
        <v>101.517</v>
      </c>
      <c r="J59" s="32">
        <v>2215</v>
      </c>
      <c r="K59" s="18">
        <f t="shared" ref="K59:K61" si="30">IF(ISBLANK(J59),"",(J59-$J$8))</f>
        <v>1867</v>
      </c>
      <c r="L59" s="19" t="str">
        <f t="shared" si="20"/>
        <v/>
      </c>
      <c r="M59" s="19" t="str">
        <f t="shared" si="21"/>
        <v/>
      </c>
      <c r="N59" s="19" t="str">
        <f t="shared" si="22"/>
        <v/>
      </c>
      <c r="O59" s="19">
        <f t="shared" si="17"/>
        <v>-22.000000000000242</v>
      </c>
      <c r="P59" s="19">
        <f t="shared" si="18"/>
        <v>-8.0000000000000071</v>
      </c>
      <c r="Q59" s="19">
        <f t="shared" si="19"/>
        <v>-6.9999999999996732</v>
      </c>
      <c r="R59" s="19">
        <f t="shared" si="15"/>
        <v>-12.000000000000455</v>
      </c>
      <c r="S59" s="27" t="str">
        <f t="shared" si="23"/>
        <v/>
      </c>
      <c r="T59" s="28" t="str">
        <f t="shared" si="24"/>
        <v/>
      </c>
      <c r="U59" s="28" t="str">
        <f t="shared" si="25"/>
        <v/>
      </c>
      <c r="V59" s="28">
        <f t="shared" si="26"/>
        <v>0</v>
      </c>
      <c r="W59" s="28">
        <f t="shared" si="27"/>
        <v>0</v>
      </c>
      <c r="X59" s="29">
        <f t="shared" si="28"/>
        <v>0</v>
      </c>
      <c r="Y59" s="24"/>
    </row>
    <row r="60" spans="2:25" ht="15" customHeight="1" x14ac:dyDescent="0.2">
      <c r="B60" s="31">
        <v>42404</v>
      </c>
      <c r="C60" s="25">
        <v>12.742000000000001</v>
      </c>
      <c r="D60" s="26">
        <v>7.4720000000000004</v>
      </c>
      <c r="E60" s="26">
        <v>8.1920000000000002</v>
      </c>
      <c r="F60" s="16">
        <v>12.986000000000001</v>
      </c>
      <c r="G60" s="16">
        <v>10.044</v>
      </c>
      <c r="H60" s="16">
        <v>10.654999999999999</v>
      </c>
      <c r="I60" s="16">
        <v>101.517</v>
      </c>
      <c r="J60" s="58">
        <v>2484</v>
      </c>
      <c r="K60" s="18">
        <f t="shared" si="30"/>
        <v>2136</v>
      </c>
      <c r="L60" s="19">
        <f t="shared" si="20"/>
        <v>-24.999999999998579</v>
      </c>
      <c r="M60" s="19">
        <f t="shared" si="21"/>
        <v>-8.0000000000000071</v>
      </c>
      <c r="N60" s="19">
        <f t="shared" si="22"/>
        <v>-9.9999999999997868</v>
      </c>
      <c r="O60" s="19">
        <f t="shared" si="17"/>
        <v>-22.000000000000242</v>
      </c>
      <c r="P60" s="19">
        <f t="shared" si="18"/>
        <v>-8.9999999999994529</v>
      </c>
      <c r="Q60" s="19">
        <f t="shared" si="19"/>
        <v>-8.0000000000008953</v>
      </c>
      <c r="R60" s="19">
        <f t="shared" si="15"/>
        <v>-12.000000000000455</v>
      </c>
      <c r="S60" s="27"/>
      <c r="T60" s="28"/>
      <c r="U60" s="28"/>
      <c r="V60" s="28">
        <f t="shared" si="26"/>
        <v>0</v>
      </c>
      <c r="W60" s="28">
        <f t="shared" si="27"/>
        <v>-1.1494252873556848E-2</v>
      </c>
      <c r="X60" s="29">
        <f t="shared" si="28"/>
        <v>-1.1494252873577266E-2</v>
      </c>
      <c r="Y60" s="24"/>
    </row>
    <row r="61" spans="2:25" ht="15" customHeight="1" x14ac:dyDescent="0.2">
      <c r="B61" s="31">
        <v>42529</v>
      </c>
      <c r="C61" s="25"/>
      <c r="D61" s="26"/>
      <c r="E61" s="26"/>
      <c r="F61" s="16">
        <v>12.984999999999999</v>
      </c>
      <c r="G61" s="16">
        <v>10.044</v>
      </c>
      <c r="H61" s="16">
        <v>10.654</v>
      </c>
      <c r="I61" s="16">
        <v>101.517</v>
      </c>
      <c r="J61" s="58">
        <v>2603</v>
      </c>
      <c r="K61" s="18">
        <f t="shared" si="30"/>
        <v>2255</v>
      </c>
      <c r="L61" s="19" t="str">
        <f t="shared" si="20"/>
        <v/>
      </c>
      <c r="M61" s="19" t="str">
        <f t="shared" si="21"/>
        <v/>
      </c>
      <c r="N61" s="19" t="str">
        <f t="shared" si="22"/>
        <v/>
      </c>
      <c r="O61" s="19">
        <f t="shared" si="17"/>
        <v>-23.000000000001464</v>
      </c>
      <c r="P61" s="19">
        <f t="shared" si="18"/>
        <v>-8.9999999999994529</v>
      </c>
      <c r="Q61" s="19">
        <f t="shared" si="19"/>
        <v>-9.0000000000003411</v>
      </c>
      <c r="R61" s="19">
        <f t="shared" si="15"/>
        <v>-12.000000000000455</v>
      </c>
      <c r="S61" s="27" t="str">
        <f t="shared" si="23"/>
        <v/>
      </c>
      <c r="T61" s="28" t="str">
        <f t="shared" si="24"/>
        <v/>
      </c>
      <c r="U61" s="28" t="str">
        <f t="shared" si="25"/>
        <v/>
      </c>
      <c r="V61" s="28">
        <f t="shared" si="26"/>
        <v>-8.0000000000097771E-3</v>
      </c>
      <c r="W61" s="28">
        <f t="shared" si="27"/>
        <v>0</v>
      </c>
      <c r="X61" s="29">
        <f t="shared" si="28"/>
        <v>-7.9999999999955662E-3</v>
      </c>
      <c r="Y61" s="24"/>
    </row>
    <row r="62" spans="2:25" ht="15" customHeight="1" x14ac:dyDescent="0.2">
      <c r="B62" s="31"/>
      <c r="C62" s="25"/>
      <c r="D62" s="26"/>
      <c r="E62" s="26"/>
      <c r="F62" s="16"/>
      <c r="G62" s="16"/>
      <c r="H62" s="16"/>
      <c r="I62" s="16"/>
      <c r="J62" s="58"/>
      <c r="K62" s="18"/>
      <c r="L62" s="19" t="str">
        <f t="shared" si="20"/>
        <v/>
      </c>
      <c r="M62" s="19" t="str">
        <f t="shared" si="21"/>
        <v/>
      </c>
      <c r="N62" s="19" t="str">
        <f t="shared" si="22"/>
        <v/>
      </c>
      <c r="O62" s="19" t="str">
        <f t="shared" si="17"/>
        <v/>
      </c>
      <c r="P62" s="19" t="str">
        <f t="shared" si="18"/>
        <v/>
      </c>
      <c r="Q62" s="19" t="str">
        <f t="shared" si="19"/>
        <v/>
      </c>
      <c r="R62" s="19" t="str">
        <f t="shared" si="15"/>
        <v/>
      </c>
      <c r="S62" s="27" t="str">
        <f t="shared" si="23"/>
        <v/>
      </c>
      <c r="T62" s="28" t="str">
        <f t="shared" si="24"/>
        <v/>
      </c>
      <c r="U62" s="28" t="str">
        <f t="shared" si="25"/>
        <v/>
      </c>
      <c r="V62" s="28" t="str">
        <f t="shared" si="26"/>
        <v/>
      </c>
      <c r="W62" s="28" t="str">
        <f t="shared" si="27"/>
        <v/>
      </c>
      <c r="X62" s="29" t="str">
        <f t="shared" si="28"/>
        <v/>
      </c>
      <c r="Y62" s="24"/>
    </row>
    <row r="63" spans="2:25" ht="15" customHeight="1" x14ac:dyDescent="0.2">
      <c r="B63" s="31"/>
      <c r="C63" s="25"/>
      <c r="D63" s="26"/>
      <c r="E63" s="26"/>
      <c r="F63" s="16"/>
      <c r="G63" s="16"/>
      <c r="H63" s="16"/>
      <c r="I63" s="16"/>
      <c r="J63" s="58"/>
      <c r="K63" s="18"/>
      <c r="L63" s="19" t="str">
        <f t="shared" si="20"/>
        <v/>
      </c>
      <c r="M63" s="19" t="str">
        <f t="shared" si="21"/>
        <v/>
      </c>
      <c r="N63" s="19" t="str">
        <f t="shared" si="22"/>
        <v/>
      </c>
      <c r="O63" s="19" t="str">
        <f t="shared" si="17"/>
        <v/>
      </c>
      <c r="P63" s="19" t="str">
        <f t="shared" si="18"/>
        <v/>
      </c>
      <c r="Q63" s="19" t="str">
        <f t="shared" si="19"/>
        <v/>
      </c>
      <c r="R63" s="19" t="str">
        <f t="shared" si="15"/>
        <v/>
      </c>
      <c r="S63" s="27" t="str">
        <f t="shared" si="23"/>
        <v/>
      </c>
      <c r="T63" s="28" t="str">
        <f t="shared" si="24"/>
        <v/>
      </c>
      <c r="U63" s="28" t="str">
        <f t="shared" si="25"/>
        <v/>
      </c>
      <c r="V63" s="28" t="str">
        <f t="shared" si="26"/>
        <v/>
      </c>
      <c r="W63" s="28" t="str">
        <f t="shared" si="27"/>
        <v/>
      </c>
      <c r="X63" s="29" t="str">
        <f t="shared" si="2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20"/>
        <v/>
      </c>
      <c r="M64" s="19" t="str">
        <f t="shared" si="21"/>
        <v/>
      </c>
      <c r="N64" s="19" t="str">
        <f t="shared" si="22"/>
        <v/>
      </c>
      <c r="O64" s="19" t="str">
        <f t="shared" si="17"/>
        <v/>
      </c>
      <c r="P64" s="19" t="str">
        <f t="shared" si="18"/>
        <v/>
      </c>
      <c r="Q64" s="19" t="str">
        <f t="shared" si="19"/>
        <v/>
      </c>
      <c r="R64" s="19" t="str">
        <f t="shared" si="15"/>
        <v/>
      </c>
      <c r="S64" s="27" t="str">
        <f t="shared" si="23"/>
        <v/>
      </c>
      <c r="T64" s="28" t="str">
        <f t="shared" si="24"/>
        <v/>
      </c>
      <c r="U64" s="28" t="str">
        <f t="shared" si="25"/>
        <v/>
      </c>
      <c r="V64" s="28" t="str">
        <f t="shared" si="26"/>
        <v/>
      </c>
      <c r="W64" s="28" t="str">
        <f t="shared" si="27"/>
        <v/>
      </c>
      <c r="X64" s="29" t="str">
        <f t="shared" si="2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20"/>
        <v/>
      </c>
      <c r="M65" s="19" t="str">
        <f t="shared" si="21"/>
        <v/>
      </c>
      <c r="N65" s="19" t="str">
        <f t="shared" si="22"/>
        <v/>
      </c>
      <c r="O65" s="19" t="str">
        <f t="shared" si="17"/>
        <v/>
      </c>
      <c r="P65" s="19" t="str">
        <f t="shared" si="18"/>
        <v/>
      </c>
      <c r="Q65" s="19" t="str">
        <f t="shared" si="19"/>
        <v/>
      </c>
      <c r="R65" s="19" t="str">
        <f t="shared" ref="R65:R96" si="31">IF(ISBLANK(I65),"",(I65-I$16)*1000)</f>
        <v/>
      </c>
      <c r="S65" s="27" t="str">
        <f t="shared" si="23"/>
        <v/>
      </c>
      <c r="T65" s="28" t="str">
        <f t="shared" si="24"/>
        <v/>
      </c>
      <c r="U65" s="28" t="str">
        <f t="shared" si="25"/>
        <v/>
      </c>
      <c r="V65" s="28" t="str">
        <f t="shared" si="26"/>
        <v/>
      </c>
      <c r="W65" s="28" t="str">
        <f t="shared" si="27"/>
        <v/>
      </c>
      <c r="X65" s="29" t="str">
        <f t="shared" si="2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20"/>
        <v/>
      </c>
      <c r="M66" s="19" t="str">
        <f t="shared" si="21"/>
        <v/>
      </c>
      <c r="N66" s="19" t="str">
        <f t="shared" si="22"/>
        <v/>
      </c>
      <c r="O66" s="19" t="str">
        <f t="shared" si="17"/>
        <v/>
      </c>
      <c r="P66" s="19" t="str">
        <f t="shared" si="18"/>
        <v/>
      </c>
      <c r="Q66" s="19" t="str">
        <f t="shared" si="19"/>
        <v/>
      </c>
      <c r="R66" s="19" t="str">
        <f t="shared" si="31"/>
        <v/>
      </c>
      <c r="S66" s="27" t="str">
        <f t="shared" si="23"/>
        <v/>
      </c>
      <c r="T66" s="28" t="str">
        <f t="shared" si="24"/>
        <v/>
      </c>
      <c r="U66" s="28" t="str">
        <f t="shared" si="25"/>
        <v/>
      </c>
      <c r="V66" s="28" t="str">
        <f t="shared" si="26"/>
        <v/>
      </c>
      <c r="W66" s="28" t="str">
        <f t="shared" si="27"/>
        <v/>
      </c>
      <c r="X66" s="29" t="str">
        <f t="shared" si="2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20"/>
        <v/>
      </c>
      <c r="M67" s="19" t="str">
        <f t="shared" si="21"/>
        <v/>
      </c>
      <c r="N67" s="19" t="str">
        <f t="shared" si="22"/>
        <v/>
      </c>
      <c r="O67" s="19" t="str">
        <f t="shared" si="17"/>
        <v/>
      </c>
      <c r="P67" s="19" t="str">
        <f t="shared" si="18"/>
        <v/>
      </c>
      <c r="Q67" s="19" t="str">
        <f t="shared" si="19"/>
        <v/>
      </c>
      <c r="R67" s="19" t="str">
        <f t="shared" si="31"/>
        <v/>
      </c>
      <c r="S67" s="27" t="str">
        <f t="shared" si="23"/>
        <v/>
      </c>
      <c r="T67" s="28" t="str">
        <f t="shared" si="24"/>
        <v/>
      </c>
      <c r="U67" s="28" t="str">
        <f t="shared" si="25"/>
        <v/>
      </c>
      <c r="V67" s="28" t="str">
        <f t="shared" si="26"/>
        <v/>
      </c>
      <c r="W67" s="28" t="str">
        <f t="shared" si="27"/>
        <v/>
      </c>
      <c r="X67" s="29" t="str">
        <f t="shared" si="2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20"/>
        <v/>
      </c>
      <c r="M68" s="19" t="str">
        <f t="shared" si="21"/>
        <v/>
      </c>
      <c r="N68" s="19" t="str">
        <f t="shared" si="22"/>
        <v/>
      </c>
      <c r="O68" s="19" t="str">
        <f t="shared" si="17"/>
        <v/>
      </c>
      <c r="P68" s="19" t="str">
        <f t="shared" si="18"/>
        <v/>
      </c>
      <c r="Q68" s="19" t="str">
        <f t="shared" si="19"/>
        <v/>
      </c>
      <c r="R68" s="19" t="str">
        <f t="shared" si="31"/>
        <v/>
      </c>
      <c r="S68" s="27" t="str">
        <f t="shared" si="23"/>
        <v/>
      </c>
      <c r="T68" s="28" t="str">
        <f t="shared" si="24"/>
        <v/>
      </c>
      <c r="U68" s="28" t="str">
        <f t="shared" si="25"/>
        <v/>
      </c>
      <c r="V68" s="28" t="str">
        <f t="shared" si="26"/>
        <v/>
      </c>
      <c r="W68" s="28" t="str">
        <f t="shared" si="27"/>
        <v/>
      </c>
      <c r="X68" s="29" t="str">
        <f t="shared" si="2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20"/>
        <v/>
      </c>
      <c r="M69" s="19" t="str">
        <f t="shared" si="21"/>
        <v/>
      </c>
      <c r="N69" s="19" t="str">
        <f t="shared" si="22"/>
        <v/>
      </c>
      <c r="O69" s="19" t="str">
        <f t="shared" si="17"/>
        <v/>
      </c>
      <c r="P69" s="19" t="str">
        <f t="shared" si="18"/>
        <v/>
      </c>
      <c r="Q69" s="19" t="str">
        <f t="shared" si="19"/>
        <v/>
      </c>
      <c r="R69" s="19" t="str">
        <f t="shared" si="31"/>
        <v/>
      </c>
      <c r="S69" s="27" t="str">
        <f t="shared" si="23"/>
        <v/>
      </c>
      <c r="T69" s="28" t="str">
        <f t="shared" si="24"/>
        <v/>
      </c>
      <c r="U69" s="28" t="str">
        <f t="shared" si="25"/>
        <v/>
      </c>
      <c r="V69" s="28" t="str">
        <f t="shared" si="26"/>
        <v/>
      </c>
      <c r="W69" s="28" t="str">
        <f t="shared" si="27"/>
        <v/>
      </c>
      <c r="X69" s="29" t="str">
        <f t="shared" si="2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0"/>
        <v/>
      </c>
      <c r="M70" s="19" t="str">
        <f t="shared" si="21"/>
        <v/>
      </c>
      <c r="N70" s="19" t="str">
        <f t="shared" si="22"/>
        <v/>
      </c>
      <c r="O70" s="19" t="str">
        <f t="shared" si="17"/>
        <v/>
      </c>
      <c r="P70" s="19" t="str">
        <f t="shared" si="18"/>
        <v/>
      </c>
      <c r="Q70" s="19" t="str">
        <f t="shared" si="19"/>
        <v/>
      </c>
      <c r="R70" s="19" t="str">
        <f t="shared" si="31"/>
        <v/>
      </c>
      <c r="S70" s="27" t="str">
        <f t="shared" si="23"/>
        <v/>
      </c>
      <c r="T70" s="28" t="str">
        <f t="shared" si="24"/>
        <v/>
      </c>
      <c r="U70" s="28" t="str">
        <f t="shared" si="25"/>
        <v/>
      </c>
      <c r="V70" s="28" t="str">
        <f t="shared" si="26"/>
        <v/>
      </c>
      <c r="W70" s="28" t="str">
        <f t="shared" si="27"/>
        <v/>
      </c>
      <c r="X70" s="29" t="str">
        <f t="shared" si="2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0"/>
        <v/>
      </c>
      <c r="M71" s="19" t="str">
        <f t="shared" si="21"/>
        <v/>
      </c>
      <c r="N71" s="19" t="str">
        <f t="shared" si="22"/>
        <v/>
      </c>
      <c r="O71" s="19" t="str">
        <f t="shared" si="17"/>
        <v/>
      </c>
      <c r="P71" s="19" t="str">
        <f t="shared" si="18"/>
        <v/>
      </c>
      <c r="Q71" s="19" t="str">
        <f t="shared" si="19"/>
        <v/>
      </c>
      <c r="R71" s="19" t="str">
        <f t="shared" si="31"/>
        <v/>
      </c>
      <c r="S71" s="27" t="str">
        <f t="shared" si="23"/>
        <v/>
      </c>
      <c r="T71" s="28" t="str">
        <f t="shared" si="24"/>
        <v/>
      </c>
      <c r="U71" s="28" t="str">
        <f t="shared" si="25"/>
        <v/>
      </c>
      <c r="V71" s="28" t="str">
        <f t="shared" si="26"/>
        <v/>
      </c>
      <c r="W71" s="28" t="str">
        <f t="shared" si="27"/>
        <v/>
      </c>
      <c r="X71" s="29" t="str">
        <f t="shared" si="2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0"/>
        <v/>
      </c>
      <c r="M72" s="19" t="str">
        <f t="shared" si="21"/>
        <v/>
      </c>
      <c r="N72" s="19" t="str">
        <f t="shared" si="22"/>
        <v/>
      </c>
      <c r="O72" s="19" t="str">
        <f t="shared" si="17"/>
        <v/>
      </c>
      <c r="P72" s="19" t="str">
        <f t="shared" si="18"/>
        <v/>
      </c>
      <c r="Q72" s="19" t="str">
        <f t="shared" si="19"/>
        <v/>
      </c>
      <c r="R72" s="19" t="str">
        <f t="shared" si="31"/>
        <v/>
      </c>
      <c r="S72" s="27" t="str">
        <f t="shared" si="23"/>
        <v/>
      </c>
      <c r="T72" s="28" t="str">
        <f t="shared" si="24"/>
        <v/>
      </c>
      <c r="U72" s="28" t="str">
        <f t="shared" si="25"/>
        <v/>
      </c>
      <c r="V72" s="28" t="str">
        <f t="shared" si="26"/>
        <v/>
      </c>
      <c r="W72" s="28" t="str">
        <f t="shared" si="27"/>
        <v/>
      </c>
      <c r="X72" s="29" t="str">
        <f t="shared" si="2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0"/>
        <v/>
      </c>
      <c r="M73" s="19" t="str">
        <f t="shared" si="21"/>
        <v/>
      </c>
      <c r="N73" s="19" t="str">
        <f t="shared" si="22"/>
        <v/>
      </c>
      <c r="O73" s="19" t="str">
        <f t="shared" si="17"/>
        <v/>
      </c>
      <c r="P73" s="19" t="str">
        <f t="shared" si="18"/>
        <v/>
      </c>
      <c r="Q73" s="19" t="str">
        <f t="shared" si="19"/>
        <v/>
      </c>
      <c r="R73" s="19" t="str">
        <f t="shared" si="31"/>
        <v/>
      </c>
      <c r="S73" s="27" t="str">
        <f t="shared" si="23"/>
        <v/>
      </c>
      <c r="T73" s="28" t="str">
        <f t="shared" si="24"/>
        <v/>
      </c>
      <c r="U73" s="28" t="str">
        <f t="shared" si="25"/>
        <v/>
      </c>
      <c r="V73" s="28" t="str">
        <f t="shared" si="26"/>
        <v/>
      </c>
      <c r="W73" s="28" t="str">
        <f t="shared" si="27"/>
        <v/>
      </c>
      <c r="X73" s="29" t="str">
        <f t="shared" si="2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0"/>
        <v/>
      </c>
      <c r="M74" s="19" t="str">
        <f t="shared" si="21"/>
        <v/>
      </c>
      <c r="N74" s="19" t="str">
        <f t="shared" si="22"/>
        <v/>
      </c>
      <c r="O74" s="19" t="str">
        <f t="shared" si="17"/>
        <v/>
      </c>
      <c r="P74" s="19" t="str">
        <f t="shared" si="18"/>
        <v/>
      </c>
      <c r="Q74" s="19" t="str">
        <f t="shared" si="19"/>
        <v/>
      </c>
      <c r="R74" s="19" t="str">
        <f t="shared" si="31"/>
        <v/>
      </c>
      <c r="S74" s="27" t="str">
        <f t="shared" si="23"/>
        <v/>
      </c>
      <c r="T74" s="28" t="str">
        <f t="shared" si="24"/>
        <v/>
      </c>
      <c r="U74" s="28" t="str">
        <f t="shared" si="25"/>
        <v/>
      </c>
      <c r="V74" s="28" t="str">
        <f t="shared" si="26"/>
        <v/>
      </c>
      <c r="W74" s="28" t="str">
        <f t="shared" si="27"/>
        <v/>
      </c>
      <c r="X74" s="29" t="str">
        <f t="shared" si="2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0"/>
        <v/>
      </c>
      <c r="M75" s="19" t="str">
        <f t="shared" si="21"/>
        <v/>
      </c>
      <c r="N75" s="19" t="str">
        <f t="shared" si="22"/>
        <v/>
      </c>
      <c r="O75" s="19" t="str">
        <f t="shared" si="17"/>
        <v/>
      </c>
      <c r="P75" s="19" t="str">
        <f t="shared" si="18"/>
        <v/>
      </c>
      <c r="Q75" s="19" t="str">
        <f t="shared" si="19"/>
        <v/>
      </c>
      <c r="R75" s="19" t="str">
        <f t="shared" si="31"/>
        <v/>
      </c>
      <c r="S75" s="27" t="str">
        <f t="shared" si="23"/>
        <v/>
      </c>
      <c r="T75" s="28" t="str">
        <f t="shared" si="24"/>
        <v/>
      </c>
      <c r="U75" s="28" t="str">
        <f t="shared" si="25"/>
        <v/>
      </c>
      <c r="V75" s="28" t="str">
        <f t="shared" si="26"/>
        <v/>
      </c>
      <c r="W75" s="28" t="str">
        <f t="shared" si="27"/>
        <v/>
      </c>
      <c r="X75" s="29" t="str">
        <f t="shared" si="2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0"/>
        <v/>
      </c>
      <c r="M76" s="19" t="str">
        <f t="shared" si="21"/>
        <v/>
      </c>
      <c r="N76" s="19" t="str">
        <f t="shared" si="22"/>
        <v/>
      </c>
      <c r="O76" s="19" t="str">
        <f t="shared" si="17"/>
        <v/>
      </c>
      <c r="P76" s="19" t="str">
        <f t="shared" si="18"/>
        <v/>
      </c>
      <c r="Q76" s="19" t="str">
        <f t="shared" si="19"/>
        <v/>
      </c>
      <c r="R76" s="19" t="str">
        <f t="shared" si="31"/>
        <v/>
      </c>
      <c r="S76" s="27" t="str">
        <f t="shared" si="23"/>
        <v/>
      </c>
      <c r="T76" s="28" t="str">
        <f t="shared" si="24"/>
        <v/>
      </c>
      <c r="U76" s="28" t="str">
        <f t="shared" si="25"/>
        <v/>
      </c>
      <c r="V76" s="28" t="str">
        <f t="shared" si="26"/>
        <v/>
      </c>
      <c r="W76" s="28" t="str">
        <f t="shared" si="27"/>
        <v/>
      </c>
      <c r="X76" s="29" t="str">
        <f t="shared" si="2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0"/>
        <v/>
      </c>
      <c r="M77" s="19" t="str">
        <f t="shared" si="21"/>
        <v/>
      </c>
      <c r="N77" s="19" t="str">
        <f t="shared" si="22"/>
        <v/>
      </c>
      <c r="O77" s="19" t="str">
        <f t="shared" si="17"/>
        <v/>
      </c>
      <c r="P77" s="19" t="str">
        <f t="shared" si="18"/>
        <v/>
      </c>
      <c r="Q77" s="19" t="str">
        <f t="shared" si="19"/>
        <v/>
      </c>
      <c r="R77" s="19" t="str">
        <f t="shared" si="31"/>
        <v/>
      </c>
      <c r="S77" s="27" t="str">
        <f t="shared" si="23"/>
        <v/>
      </c>
      <c r="T77" s="28" t="str">
        <f t="shared" si="24"/>
        <v/>
      </c>
      <c r="U77" s="28" t="str">
        <f t="shared" si="25"/>
        <v/>
      </c>
      <c r="V77" s="28" t="str">
        <f t="shared" si="26"/>
        <v/>
      </c>
      <c r="W77" s="28" t="str">
        <f t="shared" si="27"/>
        <v/>
      </c>
      <c r="X77" s="29" t="str">
        <f t="shared" si="2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0"/>
        <v/>
      </c>
      <c r="M78" s="19" t="str">
        <f t="shared" si="21"/>
        <v/>
      </c>
      <c r="N78" s="19" t="str">
        <f t="shared" si="22"/>
        <v/>
      </c>
      <c r="O78" s="19" t="str">
        <f t="shared" si="17"/>
        <v/>
      </c>
      <c r="P78" s="19" t="str">
        <f t="shared" si="18"/>
        <v/>
      </c>
      <c r="Q78" s="19" t="str">
        <f t="shared" si="19"/>
        <v/>
      </c>
      <c r="R78" s="19" t="str">
        <f t="shared" si="31"/>
        <v/>
      </c>
      <c r="S78" s="27" t="str">
        <f t="shared" si="23"/>
        <v/>
      </c>
      <c r="T78" s="28" t="str">
        <f t="shared" si="24"/>
        <v/>
      </c>
      <c r="U78" s="28" t="str">
        <f t="shared" si="25"/>
        <v/>
      </c>
      <c r="V78" s="28" t="str">
        <f t="shared" si="26"/>
        <v/>
      </c>
      <c r="W78" s="28" t="str">
        <f t="shared" si="27"/>
        <v/>
      </c>
      <c r="X78" s="29" t="str">
        <f t="shared" si="2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0"/>
        <v/>
      </c>
      <c r="M79" s="19" t="str">
        <f t="shared" si="21"/>
        <v/>
      </c>
      <c r="N79" s="19" t="str">
        <f t="shared" si="22"/>
        <v/>
      </c>
      <c r="O79" s="19" t="str">
        <f t="shared" si="17"/>
        <v/>
      </c>
      <c r="P79" s="19" t="str">
        <f t="shared" si="18"/>
        <v/>
      </c>
      <c r="Q79" s="19" t="str">
        <f t="shared" si="19"/>
        <v/>
      </c>
      <c r="R79" s="19" t="str">
        <f t="shared" si="31"/>
        <v/>
      </c>
      <c r="S79" s="27" t="str">
        <f t="shared" si="23"/>
        <v/>
      </c>
      <c r="T79" s="28" t="str">
        <f t="shared" si="24"/>
        <v/>
      </c>
      <c r="U79" s="28" t="str">
        <f t="shared" si="25"/>
        <v/>
      </c>
      <c r="V79" s="28" t="str">
        <f t="shared" si="26"/>
        <v/>
      </c>
      <c r="W79" s="28" t="str">
        <f t="shared" si="27"/>
        <v/>
      </c>
      <c r="X79" s="29" t="str">
        <f t="shared" si="2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ref="L80:L111" si="32">IF(ISBLANK(C80),"",(C80-C$16)*1000)</f>
        <v/>
      </c>
      <c r="M80" s="19" t="str">
        <f t="shared" ref="M80:M111" si="33">IF(ISBLANK(D80),"",(D80-D$16)*1000)</f>
        <v/>
      </c>
      <c r="N80" s="19" t="str">
        <f t="shared" ref="N80:N111" si="34">IF(ISBLANK(E80),"",(E80-E$16)*1000)</f>
        <v/>
      </c>
      <c r="O80" s="19" t="str">
        <f t="shared" si="17"/>
        <v/>
      </c>
      <c r="P80" s="19" t="str">
        <f t="shared" si="18"/>
        <v/>
      </c>
      <c r="Q80" s="19" t="str">
        <f t="shared" si="19"/>
        <v/>
      </c>
      <c r="R80" s="19" t="str">
        <f t="shared" si="31"/>
        <v/>
      </c>
      <c r="S80" s="27" t="str">
        <f t="shared" si="23"/>
        <v/>
      </c>
      <c r="T80" s="28" t="str">
        <f t="shared" si="24"/>
        <v/>
      </c>
      <c r="U80" s="28" t="str">
        <f t="shared" si="25"/>
        <v/>
      </c>
      <c r="V80" s="28" t="str">
        <f t="shared" si="26"/>
        <v/>
      </c>
      <c r="W80" s="28" t="str">
        <f t="shared" si="27"/>
        <v/>
      </c>
      <c r="X80" s="29" t="str">
        <f t="shared" si="2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2"/>
        <v/>
      </c>
      <c r="M81" s="19" t="str">
        <f t="shared" si="33"/>
        <v/>
      </c>
      <c r="N81" s="19" t="str">
        <f t="shared" si="34"/>
        <v/>
      </c>
      <c r="O81" s="19" t="str">
        <f t="shared" si="17"/>
        <v/>
      </c>
      <c r="P81" s="19" t="str">
        <f t="shared" si="18"/>
        <v/>
      </c>
      <c r="Q81" s="19" t="str">
        <f t="shared" si="19"/>
        <v/>
      </c>
      <c r="R81" s="19" t="str">
        <f t="shared" si="31"/>
        <v/>
      </c>
      <c r="S81" s="27" t="str">
        <f t="shared" ref="S81:S112" si="35">IF(C81="","",((C81-C80)*1000)/($B81-$B80))</f>
        <v/>
      </c>
      <c r="T81" s="28" t="str">
        <f t="shared" ref="T81:T112" si="36">IF(D81="","",((D81-D80)*1000)/($B81-$B80))</f>
        <v/>
      </c>
      <c r="U81" s="28" t="str">
        <f t="shared" ref="U81:U112" si="37">IF(E81="","",((E81-E80)*1000)/($B81-$B80))</f>
        <v/>
      </c>
      <c r="V81" s="28" t="str">
        <f t="shared" ref="V81:V112" si="38">IF(F81="","",((F81-F80)*1000)/($B81-$B80))</f>
        <v/>
      </c>
      <c r="W81" s="28" t="str">
        <f t="shared" ref="W81:W112" si="39">IF(G81="","",((G81-G80)*1000)/($B81-$B80))</f>
        <v/>
      </c>
      <c r="X81" s="29" t="str">
        <f t="shared" ref="X81:X112" si="40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2"/>
        <v/>
      </c>
      <c r="M82" s="19" t="str">
        <f t="shared" si="33"/>
        <v/>
      </c>
      <c r="N82" s="19" t="str">
        <f t="shared" si="34"/>
        <v/>
      </c>
      <c r="O82" s="19" t="str">
        <f t="shared" si="17"/>
        <v/>
      </c>
      <c r="P82" s="19" t="str">
        <f t="shared" si="18"/>
        <v/>
      </c>
      <c r="Q82" s="19" t="str">
        <f t="shared" si="19"/>
        <v/>
      </c>
      <c r="R82" s="19" t="str">
        <f t="shared" si="31"/>
        <v/>
      </c>
      <c r="S82" s="27" t="str">
        <f t="shared" si="35"/>
        <v/>
      </c>
      <c r="T82" s="28" t="str">
        <f t="shared" si="36"/>
        <v/>
      </c>
      <c r="U82" s="28" t="str">
        <f t="shared" si="37"/>
        <v/>
      </c>
      <c r="V82" s="28" t="str">
        <f t="shared" si="38"/>
        <v/>
      </c>
      <c r="W82" s="28" t="str">
        <f t="shared" si="39"/>
        <v/>
      </c>
      <c r="X82" s="29" t="str">
        <f t="shared" si="4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2"/>
        <v/>
      </c>
      <c r="M83" s="19" t="str">
        <f t="shared" si="33"/>
        <v/>
      </c>
      <c r="N83" s="19" t="str">
        <f t="shared" si="34"/>
        <v/>
      </c>
      <c r="O83" s="19" t="str">
        <f t="shared" si="17"/>
        <v/>
      </c>
      <c r="P83" s="19" t="str">
        <f t="shared" si="18"/>
        <v/>
      </c>
      <c r="Q83" s="19" t="str">
        <f t="shared" si="19"/>
        <v/>
      </c>
      <c r="R83" s="19" t="str">
        <f t="shared" si="31"/>
        <v/>
      </c>
      <c r="S83" s="27" t="str">
        <f t="shared" si="35"/>
        <v/>
      </c>
      <c r="T83" s="28" t="str">
        <f t="shared" si="36"/>
        <v/>
      </c>
      <c r="U83" s="28" t="str">
        <f t="shared" si="37"/>
        <v/>
      </c>
      <c r="V83" s="28" t="str">
        <f t="shared" si="38"/>
        <v/>
      </c>
      <c r="W83" s="28" t="str">
        <f t="shared" si="39"/>
        <v/>
      </c>
      <c r="X83" s="29" t="str">
        <f t="shared" si="4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2"/>
        <v/>
      </c>
      <c r="M84" s="19" t="str">
        <f t="shared" si="33"/>
        <v/>
      </c>
      <c r="N84" s="19" t="str">
        <f t="shared" si="34"/>
        <v/>
      </c>
      <c r="O84" s="19" t="str">
        <f t="shared" si="17"/>
        <v/>
      </c>
      <c r="P84" s="19" t="str">
        <f t="shared" si="18"/>
        <v/>
      </c>
      <c r="Q84" s="19" t="str">
        <f t="shared" si="19"/>
        <v/>
      </c>
      <c r="R84" s="19" t="str">
        <f t="shared" si="31"/>
        <v/>
      </c>
      <c r="S84" s="27" t="str">
        <f t="shared" si="35"/>
        <v/>
      </c>
      <c r="T84" s="28" t="str">
        <f t="shared" si="36"/>
        <v/>
      </c>
      <c r="U84" s="28" t="str">
        <f t="shared" si="37"/>
        <v/>
      </c>
      <c r="V84" s="28" t="str">
        <f t="shared" si="38"/>
        <v/>
      </c>
      <c r="W84" s="28" t="str">
        <f t="shared" si="39"/>
        <v/>
      </c>
      <c r="X84" s="29" t="str">
        <f t="shared" si="4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2"/>
        <v/>
      </c>
      <c r="M85" s="19" t="str">
        <f t="shared" si="33"/>
        <v/>
      </c>
      <c r="N85" s="19" t="str">
        <f t="shared" si="34"/>
        <v/>
      </c>
      <c r="O85" s="19" t="str">
        <f t="shared" si="17"/>
        <v/>
      </c>
      <c r="P85" s="19" t="str">
        <f t="shared" si="18"/>
        <v/>
      </c>
      <c r="Q85" s="19" t="str">
        <f t="shared" si="19"/>
        <v/>
      </c>
      <c r="R85" s="19" t="str">
        <f t="shared" si="31"/>
        <v/>
      </c>
      <c r="S85" s="27" t="str">
        <f t="shared" si="35"/>
        <v/>
      </c>
      <c r="T85" s="28" t="str">
        <f t="shared" si="36"/>
        <v/>
      </c>
      <c r="U85" s="28" t="str">
        <f t="shared" si="37"/>
        <v/>
      </c>
      <c r="V85" s="28" t="str">
        <f t="shared" si="38"/>
        <v/>
      </c>
      <c r="W85" s="28" t="str">
        <f t="shared" si="39"/>
        <v/>
      </c>
      <c r="X85" s="29" t="str">
        <f t="shared" si="4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2"/>
        <v/>
      </c>
      <c r="M86" s="19" t="str">
        <f t="shared" si="33"/>
        <v/>
      </c>
      <c r="N86" s="19" t="str">
        <f t="shared" si="34"/>
        <v/>
      </c>
      <c r="O86" s="19" t="str">
        <f t="shared" si="17"/>
        <v/>
      </c>
      <c r="P86" s="19" t="str">
        <f t="shared" si="18"/>
        <v/>
      </c>
      <c r="Q86" s="19" t="str">
        <f t="shared" si="19"/>
        <v/>
      </c>
      <c r="R86" s="19" t="str">
        <f t="shared" si="31"/>
        <v/>
      </c>
      <c r="S86" s="27" t="str">
        <f t="shared" si="35"/>
        <v/>
      </c>
      <c r="T86" s="28" t="str">
        <f t="shared" si="36"/>
        <v/>
      </c>
      <c r="U86" s="28" t="str">
        <f t="shared" si="37"/>
        <v/>
      </c>
      <c r="V86" s="28" t="str">
        <f t="shared" si="38"/>
        <v/>
      </c>
      <c r="W86" s="28" t="str">
        <f t="shared" si="39"/>
        <v/>
      </c>
      <c r="X86" s="29" t="str">
        <f t="shared" si="4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2"/>
        <v/>
      </c>
      <c r="M87" s="19" t="str">
        <f t="shared" si="33"/>
        <v/>
      </c>
      <c r="N87" s="19" t="str">
        <f t="shared" si="34"/>
        <v/>
      </c>
      <c r="O87" s="19" t="str">
        <f t="shared" si="17"/>
        <v/>
      </c>
      <c r="P87" s="19" t="str">
        <f t="shared" si="18"/>
        <v/>
      </c>
      <c r="Q87" s="19" t="str">
        <f t="shared" si="19"/>
        <v/>
      </c>
      <c r="R87" s="19" t="str">
        <f t="shared" si="31"/>
        <v/>
      </c>
      <c r="S87" s="27" t="str">
        <f t="shared" si="35"/>
        <v/>
      </c>
      <c r="T87" s="28" t="str">
        <f t="shared" si="36"/>
        <v/>
      </c>
      <c r="U87" s="28" t="str">
        <f t="shared" si="37"/>
        <v/>
      </c>
      <c r="V87" s="28" t="str">
        <f t="shared" si="38"/>
        <v/>
      </c>
      <c r="W87" s="28" t="str">
        <f t="shared" si="39"/>
        <v/>
      </c>
      <c r="X87" s="29" t="str">
        <f t="shared" si="4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2"/>
        <v/>
      </c>
      <c r="M88" s="19" t="str">
        <f t="shared" si="33"/>
        <v/>
      </c>
      <c r="N88" s="19" t="str">
        <f t="shared" si="34"/>
        <v/>
      </c>
      <c r="O88" s="19" t="str">
        <f t="shared" si="17"/>
        <v/>
      </c>
      <c r="P88" s="19" t="str">
        <f t="shared" si="18"/>
        <v/>
      </c>
      <c r="Q88" s="19" t="str">
        <f t="shared" si="19"/>
        <v/>
      </c>
      <c r="R88" s="19" t="str">
        <f t="shared" si="31"/>
        <v/>
      </c>
      <c r="S88" s="27" t="str">
        <f t="shared" si="35"/>
        <v/>
      </c>
      <c r="T88" s="28" t="str">
        <f t="shared" si="36"/>
        <v/>
      </c>
      <c r="U88" s="28" t="str">
        <f t="shared" si="37"/>
        <v/>
      </c>
      <c r="V88" s="28" t="str">
        <f t="shared" si="38"/>
        <v/>
      </c>
      <c r="W88" s="28" t="str">
        <f t="shared" si="39"/>
        <v/>
      </c>
      <c r="X88" s="29" t="str">
        <f t="shared" si="4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2"/>
        <v/>
      </c>
      <c r="M89" s="19" t="str">
        <f t="shared" si="33"/>
        <v/>
      </c>
      <c r="N89" s="19" t="str">
        <f t="shared" si="34"/>
        <v/>
      </c>
      <c r="O89" s="19" t="str">
        <f t="shared" si="17"/>
        <v/>
      </c>
      <c r="P89" s="19" t="str">
        <f t="shared" si="18"/>
        <v/>
      </c>
      <c r="Q89" s="19" t="str">
        <f t="shared" si="19"/>
        <v/>
      </c>
      <c r="R89" s="19" t="str">
        <f t="shared" si="31"/>
        <v/>
      </c>
      <c r="S89" s="27" t="str">
        <f t="shared" si="35"/>
        <v/>
      </c>
      <c r="T89" s="28" t="str">
        <f t="shared" si="36"/>
        <v/>
      </c>
      <c r="U89" s="28" t="str">
        <f t="shared" si="37"/>
        <v/>
      </c>
      <c r="V89" s="28" t="str">
        <f t="shared" si="38"/>
        <v/>
      </c>
      <c r="W89" s="28" t="str">
        <f t="shared" si="39"/>
        <v/>
      </c>
      <c r="X89" s="29" t="str">
        <f t="shared" si="4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2"/>
        <v/>
      </c>
      <c r="M90" s="19" t="str">
        <f t="shared" si="33"/>
        <v/>
      </c>
      <c r="N90" s="19" t="str">
        <f t="shared" si="34"/>
        <v/>
      </c>
      <c r="O90" s="19" t="str">
        <f t="shared" si="17"/>
        <v/>
      </c>
      <c r="P90" s="19" t="str">
        <f t="shared" si="18"/>
        <v/>
      </c>
      <c r="Q90" s="19" t="str">
        <f t="shared" si="19"/>
        <v/>
      </c>
      <c r="R90" s="19" t="str">
        <f t="shared" si="31"/>
        <v/>
      </c>
      <c r="S90" s="27" t="str">
        <f t="shared" si="35"/>
        <v/>
      </c>
      <c r="T90" s="28" t="str">
        <f t="shared" si="36"/>
        <v/>
      </c>
      <c r="U90" s="28" t="str">
        <f t="shared" si="37"/>
        <v/>
      </c>
      <c r="V90" s="28" t="str">
        <f t="shared" si="38"/>
        <v/>
      </c>
      <c r="W90" s="28" t="str">
        <f t="shared" si="39"/>
        <v/>
      </c>
      <c r="X90" s="29" t="str">
        <f t="shared" si="4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2"/>
        <v/>
      </c>
      <c r="M91" s="19" t="str">
        <f t="shared" si="33"/>
        <v/>
      </c>
      <c r="N91" s="19" t="str">
        <f t="shared" si="34"/>
        <v/>
      </c>
      <c r="O91" s="19" t="str">
        <f t="shared" si="17"/>
        <v/>
      </c>
      <c r="P91" s="19" t="str">
        <f t="shared" si="18"/>
        <v/>
      </c>
      <c r="Q91" s="19" t="str">
        <f t="shared" si="19"/>
        <v/>
      </c>
      <c r="R91" s="19" t="str">
        <f t="shared" si="31"/>
        <v/>
      </c>
      <c r="S91" s="27" t="str">
        <f t="shared" si="35"/>
        <v/>
      </c>
      <c r="T91" s="28" t="str">
        <f t="shared" si="36"/>
        <v/>
      </c>
      <c r="U91" s="28" t="str">
        <f t="shared" si="37"/>
        <v/>
      </c>
      <c r="V91" s="28" t="str">
        <f t="shared" si="38"/>
        <v/>
      </c>
      <c r="W91" s="28" t="str">
        <f t="shared" si="39"/>
        <v/>
      </c>
      <c r="X91" s="29" t="str">
        <f t="shared" si="4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2"/>
        <v/>
      </c>
      <c r="M92" s="19" t="str">
        <f t="shared" si="33"/>
        <v/>
      </c>
      <c r="N92" s="19" t="str">
        <f t="shared" si="34"/>
        <v/>
      </c>
      <c r="O92" s="19" t="str">
        <f t="shared" si="17"/>
        <v/>
      </c>
      <c r="P92" s="19" t="str">
        <f t="shared" si="18"/>
        <v/>
      </c>
      <c r="Q92" s="19" t="str">
        <f t="shared" si="19"/>
        <v/>
      </c>
      <c r="R92" s="19" t="str">
        <f t="shared" si="31"/>
        <v/>
      </c>
      <c r="S92" s="27" t="str">
        <f t="shared" si="35"/>
        <v/>
      </c>
      <c r="T92" s="28" t="str">
        <f t="shared" si="36"/>
        <v/>
      </c>
      <c r="U92" s="28" t="str">
        <f t="shared" si="37"/>
        <v/>
      </c>
      <c r="V92" s="28" t="str">
        <f t="shared" si="38"/>
        <v/>
      </c>
      <c r="W92" s="28" t="str">
        <f t="shared" si="39"/>
        <v/>
      </c>
      <c r="X92" s="29" t="str">
        <f t="shared" si="4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2"/>
        <v/>
      </c>
      <c r="M93" s="19" t="str">
        <f t="shared" si="33"/>
        <v/>
      </c>
      <c r="N93" s="19" t="str">
        <f t="shared" si="34"/>
        <v/>
      </c>
      <c r="O93" s="19" t="str">
        <f t="shared" si="17"/>
        <v/>
      </c>
      <c r="P93" s="19" t="str">
        <f t="shared" si="18"/>
        <v/>
      </c>
      <c r="Q93" s="19" t="str">
        <f t="shared" si="19"/>
        <v/>
      </c>
      <c r="R93" s="19" t="str">
        <f t="shared" si="31"/>
        <v/>
      </c>
      <c r="S93" s="27" t="str">
        <f t="shared" si="35"/>
        <v/>
      </c>
      <c r="T93" s="28" t="str">
        <f t="shared" si="36"/>
        <v/>
      </c>
      <c r="U93" s="28" t="str">
        <f t="shared" si="37"/>
        <v/>
      </c>
      <c r="V93" s="28" t="str">
        <f t="shared" si="38"/>
        <v/>
      </c>
      <c r="W93" s="28" t="str">
        <f t="shared" si="39"/>
        <v/>
      </c>
      <c r="X93" s="29" t="str">
        <f t="shared" si="4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2"/>
        <v/>
      </c>
      <c r="M94" s="19" t="str">
        <f t="shared" si="33"/>
        <v/>
      </c>
      <c r="N94" s="19" t="str">
        <f t="shared" si="34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31"/>
        <v/>
      </c>
      <c r="S94" s="27" t="str">
        <f t="shared" si="35"/>
        <v/>
      </c>
      <c r="T94" s="28" t="str">
        <f t="shared" si="36"/>
        <v/>
      </c>
      <c r="U94" s="28" t="str">
        <f t="shared" si="37"/>
        <v/>
      </c>
      <c r="V94" s="28" t="str">
        <f t="shared" si="38"/>
        <v/>
      </c>
      <c r="W94" s="28" t="str">
        <f t="shared" si="39"/>
        <v/>
      </c>
      <c r="X94" s="29" t="str">
        <f t="shared" si="4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2"/>
        <v/>
      </c>
      <c r="M95" s="19" t="str">
        <f t="shared" si="33"/>
        <v/>
      </c>
      <c r="N95" s="19" t="str">
        <f t="shared" si="34"/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31"/>
        <v/>
      </c>
      <c r="S95" s="27" t="str">
        <f t="shared" si="35"/>
        <v/>
      </c>
      <c r="T95" s="28" t="str">
        <f t="shared" si="36"/>
        <v/>
      </c>
      <c r="U95" s="28" t="str">
        <f t="shared" si="37"/>
        <v/>
      </c>
      <c r="V95" s="28" t="str">
        <f t="shared" si="38"/>
        <v/>
      </c>
      <c r="W95" s="28" t="str">
        <f t="shared" si="39"/>
        <v/>
      </c>
      <c r="X95" s="29" t="str">
        <f t="shared" si="4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2"/>
        <v/>
      </c>
      <c r="M96" s="19" t="str">
        <f t="shared" si="33"/>
        <v/>
      </c>
      <c r="N96" s="19" t="str">
        <f t="shared" si="34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31"/>
        <v/>
      </c>
      <c r="S96" s="27" t="str">
        <f t="shared" si="35"/>
        <v/>
      </c>
      <c r="T96" s="28" t="str">
        <f t="shared" si="36"/>
        <v/>
      </c>
      <c r="U96" s="28" t="str">
        <f t="shared" si="37"/>
        <v/>
      </c>
      <c r="V96" s="28" t="str">
        <f t="shared" si="38"/>
        <v/>
      </c>
      <c r="W96" s="28" t="str">
        <f t="shared" si="39"/>
        <v/>
      </c>
      <c r="X96" s="29" t="str">
        <f t="shared" si="4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2"/>
        <v/>
      </c>
      <c r="M97" s="19" t="str">
        <f t="shared" si="33"/>
        <v/>
      </c>
      <c r="N97" s="19" t="str">
        <f t="shared" si="34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ref="R97:R128" si="41">IF(ISBLANK(I97),"",(I97-I$16)*1000)</f>
        <v/>
      </c>
      <c r="S97" s="27" t="str">
        <f t="shared" si="35"/>
        <v/>
      </c>
      <c r="T97" s="28" t="str">
        <f t="shared" si="36"/>
        <v/>
      </c>
      <c r="U97" s="28" t="str">
        <f t="shared" si="37"/>
        <v/>
      </c>
      <c r="V97" s="28" t="str">
        <f t="shared" si="38"/>
        <v/>
      </c>
      <c r="W97" s="28" t="str">
        <f t="shared" si="39"/>
        <v/>
      </c>
      <c r="X97" s="29" t="str">
        <f t="shared" si="40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2"/>
        <v/>
      </c>
      <c r="M98" s="19" t="str">
        <f t="shared" si="33"/>
        <v/>
      </c>
      <c r="N98" s="19" t="str">
        <f t="shared" si="34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41"/>
        <v/>
      </c>
      <c r="S98" s="27" t="str">
        <f t="shared" si="35"/>
        <v/>
      </c>
      <c r="T98" s="28" t="str">
        <f t="shared" si="36"/>
        <v/>
      </c>
      <c r="U98" s="28" t="str">
        <f t="shared" si="37"/>
        <v/>
      </c>
      <c r="V98" s="28" t="str">
        <f t="shared" si="38"/>
        <v/>
      </c>
      <c r="W98" s="28" t="str">
        <f t="shared" si="39"/>
        <v/>
      </c>
      <c r="X98" s="29" t="str">
        <f t="shared" si="40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2"/>
        <v/>
      </c>
      <c r="M99" s="19" t="str">
        <f t="shared" si="33"/>
        <v/>
      </c>
      <c r="N99" s="19" t="str">
        <f t="shared" si="34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41"/>
        <v/>
      </c>
      <c r="S99" s="27" t="str">
        <f t="shared" si="35"/>
        <v/>
      </c>
      <c r="T99" s="28" t="str">
        <f t="shared" si="36"/>
        <v/>
      </c>
      <c r="U99" s="28" t="str">
        <f t="shared" si="37"/>
        <v/>
      </c>
      <c r="V99" s="28" t="str">
        <f t="shared" si="38"/>
        <v/>
      </c>
      <c r="W99" s="28" t="str">
        <f t="shared" si="39"/>
        <v/>
      </c>
      <c r="X99" s="29" t="str">
        <f t="shared" si="40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2"/>
        <v/>
      </c>
      <c r="M100" s="19" t="str">
        <f t="shared" si="33"/>
        <v/>
      </c>
      <c r="N100" s="19" t="str">
        <f t="shared" si="34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41"/>
        <v/>
      </c>
      <c r="S100" s="27" t="str">
        <f t="shared" si="35"/>
        <v/>
      </c>
      <c r="T100" s="28" t="str">
        <f t="shared" si="36"/>
        <v/>
      </c>
      <c r="U100" s="28" t="str">
        <f t="shared" si="37"/>
        <v/>
      </c>
      <c r="V100" s="28" t="str">
        <f t="shared" si="38"/>
        <v/>
      </c>
      <c r="W100" s="28" t="str">
        <f t="shared" si="39"/>
        <v/>
      </c>
      <c r="X100" s="29" t="str">
        <f t="shared" si="40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2"/>
        <v/>
      </c>
      <c r="M101" s="19" t="str">
        <f t="shared" si="33"/>
        <v/>
      </c>
      <c r="N101" s="19" t="str">
        <f t="shared" si="34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41"/>
        <v/>
      </c>
      <c r="S101" s="27" t="str">
        <f t="shared" si="35"/>
        <v/>
      </c>
      <c r="T101" s="28" t="str">
        <f t="shared" si="36"/>
        <v/>
      </c>
      <c r="U101" s="28" t="str">
        <f t="shared" si="37"/>
        <v/>
      </c>
      <c r="V101" s="28" t="str">
        <f t="shared" si="38"/>
        <v/>
      </c>
      <c r="W101" s="28" t="str">
        <f t="shared" si="39"/>
        <v/>
      </c>
      <c r="X101" s="29" t="str">
        <f t="shared" si="40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2"/>
        <v/>
      </c>
      <c r="M102" s="19" t="str">
        <f t="shared" si="33"/>
        <v/>
      </c>
      <c r="N102" s="19" t="str">
        <f t="shared" si="34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41"/>
        <v/>
      </c>
      <c r="S102" s="27" t="str">
        <f t="shared" si="35"/>
        <v/>
      </c>
      <c r="T102" s="28" t="str">
        <f t="shared" si="36"/>
        <v/>
      </c>
      <c r="U102" s="28" t="str">
        <f t="shared" si="37"/>
        <v/>
      </c>
      <c r="V102" s="28" t="str">
        <f t="shared" si="38"/>
        <v/>
      </c>
      <c r="W102" s="28" t="str">
        <f t="shared" si="39"/>
        <v/>
      </c>
      <c r="X102" s="29" t="str">
        <f t="shared" si="40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2"/>
        <v/>
      </c>
      <c r="M103" s="19" t="str">
        <f t="shared" si="33"/>
        <v/>
      </c>
      <c r="N103" s="19" t="str">
        <f t="shared" si="34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41"/>
        <v/>
      </c>
      <c r="S103" s="27" t="str">
        <f t="shared" si="35"/>
        <v/>
      </c>
      <c r="T103" s="28" t="str">
        <f t="shared" si="36"/>
        <v/>
      </c>
      <c r="U103" s="28" t="str">
        <f t="shared" si="37"/>
        <v/>
      </c>
      <c r="V103" s="28" t="str">
        <f t="shared" si="38"/>
        <v/>
      </c>
      <c r="W103" s="28" t="str">
        <f t="shared" si="39"/>
        <v/>
      </c>
      <c r="X103" s="29" t="str">
        <f t="shared" si="40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2"/>
        <v/>
      </c>
      <c r="M104" s="19" t="str">
        <f t="shared" si="33"/>
        <v/>
      </c>
      <c r="N104" s="19" t="str">
        <f t="shared" si="34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41"/>
        <v/>
      </c>
      <c r="S104" s="27" t="str">
        <f t="shared" si="35"/>
        <v/>
      </c>
      <c r="T104" s="28" t="str">
        <f t="shared" si="36"/>
        <v/>
      </c>
      <c r="U104" s="28" t="str">
        <f t="shared" si="37"/>
        <v/>
      </c>
      <c r="V104" s="28" t="str">
        <f t="shared" si="38"/>
        <v/>
      </c>
      <c r="W104" s="28" t="str">
        <f t="shared" si="39"/>
        <v/>
      </c>
      <c r="X104" s="29" t="str">
        <f t="shared" si="40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2"/>
        <v/>
      </c>
      <c r="M105" s="19" t="str">
        <f t="shared" si="33"/>
        <v/>
      </c>
      <c r="N105" s="19" t="str">
        <f t="shared" si="34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41"/>
        <v/>
      </c>
      <c r="S105" s="27" t="str">
        <f t="shared" si="35"/>
        <v/>
      </c>
      <c r="T105" s="28" t="str">
        <f t="shared" si="36"/>
        <v/>
      </c>
      <c r="U105" s="28" t="str">
        <f t="shared" si="37"/>
        <v/>
      </c>
      <c r="V105" s="28" t="str">
        <f t="shared" si="38"/>
        <v/>
      </c>
      <c r="W105" s="28" t="str">
        <f t="shared" si="39"/>
        <v/>
      </c>
      <c r="X105" s="29" t="str">
        <f t="shared" si="40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2"/>
        <v/>
      </c>
      <c r="M106" s="19" t="str">
        <f t="shared" si="33"/>
        <v/>
      </c>
      <c r="N106" s="19" t="str">
        <f t="shared" si="34"/>
        <v/>
      </c>
      <c r="O106" s="19" t="str">
        <f t="shared" ref="O106:O153" si="42">IF(ISBLANK(F106),"",((F106-F$41)*1000)+L$41)</f>
        <v/>
      </c>
      <c r="P106" s="19" t="str">
        <f t="shared" ref="P106:P153" si="43">IF(ISBLANK(G106),"",((G106-G$41)*1000)+M$41)</f>
        <v/>
      </c>
      <c r="Q106" s="19" t="str">
        <f t="shared" ref="Q106:Q153" si="44">IF(ISBLANK(H106),"",((H106-H$41)*1000)+N$41)</f>
        <v/>
      </c>
      <c r="R106" s="19" t="str">
        <f t="shared" si="41"/>
        <v/>
      </c>
      <c r="S106" s="27" t="str">
        <f t="shared" si="35"/>
        <v/>
      </c>
      <c r="T106" s="28" t="str">
        <f t="shared" si="36"/>
        <v/>
      </c>
      <c r="U106" s="28" t="str">
        <f t="shared" si="37"/>
        <v/>
      </c>
      <c r="V106" s="28" t="str">
        <f t="shared" si="38"/>
        <v/>
      </c>
      <c r="W106" s="28" t="str">
        <f t="shared" si="39"/>
        <v/>
      </c>
      <c r="X106" s="29" t="str">
        <f t="shared" si="40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2"/>
        <v/>
      </c>
      <c r="M107" s="19" t="str">
        <f t="shared" si="33"/>
        <v/>
      </c>
      <c r="N107" s="19" t="str">
        <f t="shared" si="34"/>
        <v/>
      </c>
      <c r="O107" s="19" t="str">
        <f t="shared" si="42"/>
        <v/>
      </c>
      <c r="P107" s="19" t="str">
        <f t="shared" si="43"/>
        <v/>
      </c>
      <c r="Q107" s="19" t="str">
        <f t="shared" si="44"/>
        <v/>
      </c>
      <c r="R107" s="19" t="str">
        <f t="shared" si="41"/>
        <v/>
      </c>
      <c r="S107" s="27" t="str">
        <f t="shared" si="35"/>
        <v/>
      </c>
      <c r="T107" s="28" t="str">
        <f t="shared" si="36"/>
        <v/>
      </c>
      <c r="U107" s="28" t="str">
        <f t="shared" si="37"/>
        <v/>
      </c>
      <c r="V107" s="28" t="str">
        <f t="shared" si="38"/>
        <v/>
      </c>
      <c r="W107" s="28" t="str">
        <f t="shared" si="39"/>
        <v/>
      </c>
      <c r="X107" s="29" t="str">
        <f t="shared" si="40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2"/>
        <v/>
      </c>
      <c r="M108" s="19" t="str">
        <f t="shared" si="33"/>
        <v/>
      </c>
      <c r="N108" s="19" t="str">
        <f t="shared" si="34"/>
        <v/>
      </c>
      <c r="O108" s="19" t="str">
        <f t="shared" si="42"/>
        <v/>
      </c>
      <c r="P108" s="19" t="str">
        <f t="shared" si="43"/>
        <v/>
      </c>
      <c r="Q108" s="19" t="str">
        <f t="shared" si="44"/>
        <v/>
      </c>
      <c r="R108" s="19" t="str">
        <f t="shared" si="41"/>
        <v/>
      </c>
      <c r="S108" s="27" t="str">
        <f t="shared" si="35"/>
        <v/>
      </c>
      <c r="T108" s="28" t="str">
        <f t="shared" si="36"/>
        <v/>
      </c>
      <c r="U108" s="28" t="str">
        <f t="shared" si="37"/>
        <v/>
      </c>
      <c r="V108" s="28" t="str">
        <f t="shared" si="38"/>
        <v/>
      </c>
      <c r="W108" s="28" t="str">
        <f t="shared" si="39"/>
        <v/>
      </c>
      <c r="X108" s="29" t="str">
        <f t="shared" si="40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2"/>
        <v/>
      </c>
      <c r="M109" s="19" t="str">
        <f t="shared" si="33"/>
        <v/>
      </c>
      <c r="N109" s="19" t="str">
        <f t="shared" si="34"/>
        <v/>
      </c>
      <c r="O109" s="19" t="str">
        <f t="shared" si="42"/>
        <v/>
      </c>
      <c r="P109" s="19" t="str">
        <f t="shared" si="43"/>
        <v/>
      </c>
      <c r="Q109" s="19" t="str">
        <f t="shared" si="44"/>
        <v/>
      </c>
      <c r="R109" s="19" t="str">
        <f t="shared" si="41"/>
        <v/>
      </c>
      <c r="S109" s="27" t="str">
        <f t="shared" si="35"/>
        <v/>
      </c>
      <c r="T109" s="28" t="str">
        <f t="shared" si="36"/>
        <v/>
      </c>
      <c r="U109" s="28" t="str">
        <f t="shared" si="37"/>
        <v/>
      </c>
      <c r="V109" s="28" t="str">
        <f t="shared" si="38"/>
        <v/>
      </c>
      <c r="W109" s="28" t="str">
        <f t="shared" si="39"/>
        <v/>
      </c>
      <c r="X109" s="29" t="str">
        <f t="shared" si="40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2"/>
        <v/>
      </c>
      <c r="M110" s="19" t="str">
        <f t="shared" si="33"/>
        <v/>
      </c>
      <c r="N110" s="19" t="str">
        <f t="shared" si="34"/>
        <v/>
      </c>
      <c r="O110" s="19" t="str">
        <f t="shared" si="42"/>
        <v/>
      </c>
      <c r="P110" s="19" t="str">
        <f t="shared" si="43"/>
        <v/>
      </c>
      <c r="Q110" s="19" t="str">
        <f t="shared" si="44"/>
        <v/>
      </c>
      <c r="R110" s="19" t="str">
        <f t="shared" si="41"/>
        <v/>
      </c>
      <c r="S110" s="27" t="str">
        <f t="shared" si="35"/>
        <v/>
      </c>
      <c r="T110" s="28" t="str">
        <f t="shared" si="36"/>
        <v/>
      </c>
      <c r="U110" s="28" t="str">
        <f t="shared" si="37"/>
        <v/>
      </c>
      <c r="V110" s="28" t="str">
        <f t="shared" si="38"/>
        <v/>
      </c>
      <c r="W110" s="28" t="str">
        <f t="shared" si="39"/>
        <v/>
      </c>
      <c r="X110" s="29" t="str">
        <f t="shared" si="40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2"/>
        <v/>
      </c>
      <c r="M111" s="19" t="str">
        <f t="shared" si="33"/>
        <v/>
      </c>
      <c r="N111" s="19" t="str">
        <f t="shared" si="34"/>
        <v/>
      </c>
      <c r="O111" s="19" t="str">
        <f t="shared" si="42"/>
        <v/>
      </c>
      <c r="P111" s="19" t="str">
        <f t="shared" si="43"/>
        <v/>
      </c>
      <c r="Q111" s="19" t="str">
        <f t="shared" si="44"/>
        <v/>
      </c>
      <c r="R111" s="19" t="str">
        <f t="shared" si="41"/>
        <v/>
      </c>
      <c r="S111" s="27" t="str">
        <f t="shared" si="35"/>
        <v/>
      </c>
      <c r="T111" s="28" t="str">
        <f t="shared" si="36"/>
        <v/>
      </c>
      <c r="U111" s="28" t="str">
        <f t="shared" si="37"/>
        <v/>
      </c>
      <c r="V111" s="28" t="str">
        <f t="shared" si="38"/>
        <v/>
      </c>
      <c r="W111" s="28" t="str">
        <f t="shared" si="39"/>
        <v/>
      </c>
      <c r="X111" s="29" t="str">
        <f t="shared" si="40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ref="L112:L143" si="45">IF(ISBLANK(C112),"",(C112-C$16)*1000)</f>
        <v/>
      </c>
      <c r="M112" s="19" t="str">
        <f t="shared" ref="M112:M143" si="46">IF(ISBLANK(D112),"",(D112-D$16)*1000)</f>
        <v/>
      </c>
      <c r="N112" s="19" t="str">
        <f t="shared" ref="N112:N143" si="47">IF(ISBLANK(E112),"",(E112-E$16)*1000)</f>
        <v/>
      </c>
      <c r="O112" s="19" t="str">
        <f t="shared" si="42"/>
        <v/>
      </c>
      <c r="P112" s="19" t="str">
        <f t="shared" si="43"/>
        <v/>
      </c>
      <c r="Q112" s="19" t="str">
        <f t="shared" si="44"/>
        <v/>
      </c>
      <c r="R112" s="19" t="str">
        <f t="shared" si="41"/>
        <v/>
      </c>
      <c r="S112" s="27" t="str">
        <f t="shared" si="35"/>
        <v/>
      </c>
      <c r="T112" s="28" t="str">
        <f t="shared" si="36"/>
        <v/>
      </c>
      <c r="U112" s="28" t="str">
        <f t="shared" si="37"/>
        <v/>
      </c>
      <c r="V112" s="28" t="str">
        <f t="shared" si="38"/>
        <v/>
      </c>
      <c r="W112" s="28" t="str">
        <f t="shared" si="39"/>
        <v/>
      </c>
      <c r="X112" s="29" t="str">
        <f t="shared" si="40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45"/>
        <v/>
      </c>
      <c r="M113" s="19" t="str">
        <f t="shared" si="46"/>
        <v/>
      </c>
      <c r="N113" s="19" t="str">
        <f t="shared" si="47"/>
        <v/>
      </c>
      <c r="O113" s="19" t="str">
        <f t="shared" si="42"/>
        <v/>
      </c>
      <c r="P113" s="19" t="str">
        <f t="shared" si="43"/>
        <v/>
      </c>
      <c r="Q113" s="19" t="str">
        <f t="shared" si="44"/>
        <v/>
      </c>
      <c r="R113" s="19" t="str">
        <f t="shared" si="41"/>
        <v/>
      </c>
      <c r="S113" s="27" t="str">
        <f t="shared" ref="S113:S144" si="48">IF(C113="","",((C113-C112)*1000)/($B113-$B112))</f>
        <v/>
      </c>
      <c r="T113" s="28" t="str">
        <f t="shared" ref="T113:T144" si="49">IF(D113="","",((D113-D112)*1000)/($B113-$B112))</f>
        <v/>
      </c>
      <c r="U113" s="28" t="str">
        <f t="shared" ref="U113:U144" si="50">IF(E113="","",((E113-E112)*1000)/($B113-$B112))</f>
        <v/>
      </c>
      <c r="V113" s="28" t="str">
        <f t="shared" ref="V113:V144" si="51">IF(F113="","",((F113-F112)*1000)/($B113-$B112))</f>
        <v/>
      </c>
      <c r="W113" s="28" t="str">
        <f t="shared" ref="W113:W144" si="52">IF(G113="","",((G113-G112)*1000)/($B113-$B112))</f>
        <v/>
      </c>
      <c r="X113" s="29" t="str">
        <f t="shared" ref="X113:X144" si="53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45"/>
        <v/>
      </c>
      <c r="M114" s="19" t="str">
        <f t="shared" si="46"/>
        <v/>
      </c>
      <c r="N114" s="19" t="str">
        <f t="shared" si="47"/>
        <v/>
      </c>
      <c r="O114" s="19" t="str">
        <f t="shared" si="42"/>
        <v/>
      </c>
      <c r="P114" s="19" t="str">
        <f t="shared" si="43"/>
        <v/>
      </c>
      <c r="Q114" s="19" t="str">
        <f t="shared" si="44"/>
        <v/>
      </c>
      <c r="R114" s="19" t="str">
        <f t="shared" si="41"/>
        <v/>
      </c>
      <c r="S114" s="27" t="str">
        <f t="shared" si="48"/>
        <v/>
      </c>
      <c r="T114" s="28" t="str">
        <f t="shared" si="49"/>
        <v/>
      </c>
      <c r="U114" s="28" t="str">
        <f t="shared" si="50"/>
        <v/>
      </c>
      <c r="V114" s="28" t="str">
        <f t="shared" si="51"/>
        <v/>
      </c>
      <c r="W114" s="28" t="str">
        <f t="shared" si="52"/>
        <v/>
      </c>
      <c r="X114" s="29" t="str">
        <f t="shared" si="5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45"/>
        <v/>
      </c>
      <c r="M115" s="19" t="str">
        <f t="shared" si="46"/>
        <v/>
      </c>
      <c r="N115" s="19" t="str">
        <f t="shared" si="47"/>
        <v/>
      </c>
      <c r="O115" s="19" t="str">
        <f t="shared" si="42"/>
        <v/>
      </c>
      <c r="P115" s="19" t="str">
        <f t="shared" si="43"/>
        <v/>
      </c>
      <c r="Q115" s="19" t="str">
        <f t="shared" si="44"/>
        <v/>
      </c>
      <c r="R115" s="19" t="str">
        <f t="shared" si="41"/>
        <v/>
      </c>
      <c r="S115" s="27" t="str">
        <f t="shared" si="48"/>
        <v/>
      </c>
      <c r="T115" s="28" t="str">
        <f t="shared" si="49"/>
        <v/>
      </c>
      <c r="U115" s="28" t="str">
        <f t="shared" si="50"/>
        <v/>
      </c>
      <c r="V115" s="28" t="str">
        <f t="shared" si="51"/>
        <v/>
      </c>
      <c r="W115" s="28" t="str">
        <f t="shared" si="52"/>
        <v/>
      </c>
      <c r="X115" s="29" t="str">
        <f t="shared" si="5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45"/>
        <v/>
      </c>
      <c r="M116" s="19" t="str">
        <f t="shared" si="46"/>
        <v/>
      </c>
      <c r="N116" s="19" t="str">
        <f t="shared" si="47"/>
        <v/>
      </c>
      <c r="O116" s="19" t="str">
        <f t="shared" si="42"/>
        <v/>
      </c>
      <c r="P116" s="19" t="str">
        <f t="shared" si="43"/>
        <v/>
      </c>
      <c r="Q116" s="19" t="str">
        <f t="shared" si="44"/>
        <v/>
      </c>
      <c r="R116" s="19" t="str">
        <f t="shared" si="41"/>
        <v/>
      </c>
      <c r="S116" s="27" t="str">
        <f t="shared" si="48"/>
        <v/>
      </c>
      <c r="T116" s="28" t="str">
        <f t="shared" si="49"/>
        <v/>
      </c>
      <c r="U116" s="28" t="str">
        <f t="shared" si="50"/>
        <v/>
      </c>
      <c r="V116" s="28" t="str">
        <f t="shared" si="51"/>
        <v/>
      </c>
      <c r="W116" s="28" t="str">
        <f t="shared" si="52"/>
        <v/>
      </c>
      <c r="X116" s="29" t="str">
        <f t="shared" si="5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45"/>
        <v/>
      </c>
      <c r="M117" s="19" t="str">
        <f t="shared" si="46"/>
        <v/>
      </c>
      <c r="N117" s="19" t="str">
        <f t="shared" si="47"/>
        <v/>
      </c>
      <c r="O117" s="19" t="str">
        <f t="shared" si="42"/>
        <v/>
      </c>
      <c r="P117" s="19" t="str">
        <f t="shared" si="43"/>
        <v/>
      </c>
      <c r="Q117" s="19" t="str">
        <f t="shared" si="44"/>
        <v/>
      </c>
      <c r="R117" s="19" t="str">
        <f t="shared" si="41"/>
        <v/>
      </c>
      <c r="S117" s="27" t="str">
        <f t="shared" si="48"/>
        <v/>
      </c>
      <c r="T117" s="28" t="str">
        <f t="shared" si="49"/>
        <v/>
      </c>
      <c r="U117" s="28" t="str">
        <f t="shared" si="50"/>
        <v/>
      </c>
      <c r="V117" s="28" t="str">
        <f t="shared" si="51"/>
        <v/>
      </c>
      <c r="W117" s="28" t="str">
        <f t="shared" si="52"/>
        <v/>
      </c>
      <c r="X117" s="29" t="str">
        <f t="shared" si="5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45"/>
        <v/>
      </c>
      <c r="M118" s="19" t="str">
        <f t="shared" si="46"/>
        <v/>
      </c>
      <c r="N118" s="19" t="str">
        <f t="shared" si="47"/>
        <v/>
      </c>
      <c r="O118" s="19" t="str">
        <f t="shared" si="42"/>
        <v/>
      </c>
      <c r="P118" s="19" t="str">
        <f t="shared" si="43"/>
        <v/>
      </c>
      <c r="Q118" s="19" t="str">
        <f t="shared" si="44"/>
        <v/>
      </c>
      <c r="R118" s="19" t="str">
        <f t="shared" si="41"/>
        <v/>
      </c>
      <c r="S118" s="27" t="str">
        <f t="shared" si="48"/>
        <v/>
      </c>
      <c r="T118" s="28" t="str">
        <f t="shared" si="49"/>
        <v/>
      </c>
      <c r="U118" s="28" t="str">
        <f t="shared" si="50"/>
        <v/>
      </c>
      <c r="V118" s="28" t="str">
        <f t="shared" si="51"/>
        <v/>
      </c>
      <c r="W118" s="28" t="str">
        <f t="shared" si="52"/>
        <v/>
      </c>
      <c r="X118" s="29" t="str">
        <f t="shared" si="5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45"/>
        <v/>
      </c>
      <c r="M119" s="19" t="str">
        <f t="shared" si="46"/>
        <v/>
      </c>
      <c r="N119" s="19" t="str">
        <f t="shared" si="47"/>
        <v/>
      </c>
      <c r="O119" s="19" t="str">
        <f t="shared" si="42"/>
        <v/>
      </c>
      <c r="P119" s="19" t="str">
        <f t="shared" si="43"/>
        <v/>
      </c>
      <c r="Q119" s="19" t="str">
        <f t="shared" si="44"/>
        <v/>
      </c>
      <c r="R119" s="19" t="str">
        <f t="shared" si="41"/>
        <v/>
      </c>
      <c r="S119" s="27" t="str">
        <f t="shared" si="48"/>
        <v/>
      </c>
      <c r="T119" s="28" t="str">
        <f t="shared" si="49"/>
        <v/>
      </c>
      <c r="U119" s="28" t="str">
        <f t="shared" si="50"/>
        <v/>
      </c>
      <c r="V119" s="28" t="str">
        <f t="shared" si="51"/>
        <v/>
      </c>
      <c r="W119" s="28" t="str">
        <f t="shared" si="52"/>
        <v/>
      </c>
      <c r="X119" s="29" t="str">
        <f t="shared" si="5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45"/>
        <v/>
      </c>
      <c r="M120" s="19" t="str">
        <f t="shared" si="46"/>
        <v/>
      </c>
      <c r="N120" s="19" t="str">
        <f t="shared" si="47"/>
        <v/>
      </c>
      <c r="O120" s="19" t="str">
        <f t="shared" si="42"/>
        <v/>
      </c>
      <c r="P120" s="19" t="str">
        <f t="shared" si="43"/>
        <v/>
      </c>
      <c r="Q120" s="19" t="str">
        <f t="shared" si="44"/>
        <v/>
      </c>
      <c r="R120" s="19" t="str">
        <f t="shared" si="41"/>
        <v/>
      </c>
      <c r="S120" s="27" t="str">
        <f t="shared" si="48"/>
        <v/>
      </c>
      <c r="T120" s="28" t="str">
        <f t="shared" si="49"/>
        <v/>
      </c>
      <c r="U120" s="28" t="str">
        <f t="shared" si="50"/>
        <v/>
      </c>
      <c r="V120" s="28" t="str">
        <f t="shared" si="51"/>
        <v/>
      </c>
      <c r="W120" s="28" t="str">
        <f t="shared" si="52"/>
        <v/>
      </c>
      <c r="X120" s="29" t="str">
        <f t="shared" si="5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45"/>
        <v/>
      </c>
      <c r="M121" s="19" t="str">
        <f t="shared" si="46"/>
        <v/>
      </c>
      <c r="N121" s="19" t="str">
        <f t="shared" si="47"/>
        <v/>
      </c>
      <c r="O121" s="19" t="str">
        <f t="shared" si="42"/>
        <v/>
      </c>
      <c r="P121" s="19" t="str">
        <f t="shared" si="43"/>
        <v/>
      </c>
      <c r="Q121" s="19" t="str">
        <f t="shared" si="44"/>
        <v/>
      </c>
      <c r="R121" s="19" t="str">
        <f t="shared" si="41"/>
        <v/>
      </c>
      <c r="S121" s="27" t="str">
        <f t="shared" si="48"/>
        <v/>
      </c>
      <c r="T121" s="28" t="str">
        <f t="shared" si="49"/>
        <v/>
      </c>
      <c r="U121" s="28" t="str">
        <f t="shared" si="50"/>
        <v/>
      </c>
      <c r="V121" s="28" t="str">
        <f t="shared" si="51"/>
        <v/>
      </c>
      <c r="W121" s="28" t="str">
        <f t="shared" si="52"/>
        <v/>
      </c>
      <c r="X121" s="29" t="str">
        <f t="shared" si="5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45"/>
        <v/>
      </c>
      <c r="M122" s="19" t="str">
        <f t="shared" si="46"/>
        <v/>
      </c>
      <c r="N122" s="19" t="str">
        <f t="shared" si="47"/>
        <v/>
      </c>
      <c r="O122" s="19" t="str">
        <f t="shared" si="42"/>
        <v/>
      </c>
      <c r="P122" s="19" t="str">
        <f t="shared" si="43"/>
        <v/>
      </c>
      <c r="Q122" s="19" t="str">
        <f t="shared" si="44"/>
        <v/>
      </c>
      <c r="R122" s="19" t="str">
        <f t="shared" si="41"/>
        <v/>
      </c>
      <c r="S122" s="27" t="str">
        <f t="shared" si="48"/>
        <v/>
      </c>
      <c r="T122" s="28" t="str">
        <f t="shared" si="49"/>
        <v/>
      </c>
      <c r="U122" s="28" t="str">
        <f t="shared" si="50"/>
        <v/>
      </c>
      <c r="V122" s="28" t="str">
        <f t="shared" si="51"/>
        <v/>
      </c>
      <c r="W122" s="28" t="str">
        <f t="shared" si="52"/>
        <v/>
      </c>
      <c r="X122" s="29" t="str">
        <f t="shared" si="5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45"/>
        <v/>
      </c>
      <c r="M123" s="19" t="str">
        <f t="shared" si="46"/>
        <v/>
      </c>
      <c r="N123" s="19" t="str">
        <f t="shared" si="47"/>
        <v/>
      </c>
      <c r="O123" s="19" t="str">
        <f t="shared" si="42"/>
        <v/>
      </c>
      <c r="P123" s="19" t="str">
        <f t="shared" si="43"/>
        <v/>
      </c>
      <c r="Q123" s="19" t="str">
        <f t="shared" si="44"/>
        <v/>
      </c>
      <c r="R123" s="19" t="str">
        <f t="shared" si="41"/>
        <v/>
      </c>
      <c r="S123" s="27" t="str">
        <f t="shared" si="48"/>
        <v/>
      </c>
      <c r="T123" s="28" t="str">
        <f t="shared" si="49"/>
        <v/>
      </c>
      <c r="U123" s="28" t="str">
        <f t="shared" si="50"/>
        <v/>
      </c>
      <c r="V123" s="28" t="str">
        <f t="shared" si="51"/>
        <v/>
      </c>
      <c r="W123" s="28" t="str">
        <f t="shared" si="52"/>
        <v/>
      </c>
      <c r="X123" s="29" t="str">
        <f t="shared" si="5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45"/>
        <v/>
      </c>
      <c r="M124" s="19" t="str">
        <f t="shared" si="46"/>
        <v/>
      </c>
      <c r="N124" s="19" t="str">
        <f t="shared" si="47"/>
        <v/>
      </c>
      <c r="O124" s="19" t="str">
        <f t="shared" si="42"/>
        <v/>
      </c>
      <c r="P124" s="19" t="str">
        <f t="shared" si="43"/>
        <v/>
      </c>
      <c r="Q124" s="19" t="str">
        <f t="shared" si="44"/>
        <v/>
      </c>
      <c r="R124" s="19" t="str">
        <f t="shared" si="41"/>
        <v/>
      </c>
      <c r="S124" s="27" t="str">
        <f t="shared" si="48"/>
        <v/>
      </c>
      <c r="T124" s="28" t="str">
        <f t="shared" si="49"/>
        <v/>
      </c>
      <c r="U124" s="28" t="str">
        <f t="shared" si="50"/>
        <v/>
      </c>
      <c r="V124" s="28" t="str">
        <f t="shared" si="51"/>
        <v/>
      </c>
      <c r="W124" s="28" t="str">
        <f t="shared" si="52"/>
        <v/>
      </c>
      <c r="X124" s="29" t="str">
        <f t="shared" si="5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45"/>
        <v/>
      </c>
      <c r="M125" s="19" t="str">
        <f t="shared" si="46"/>
        <v/>
      </c>
      <c r="N125" s="19" t="str">
        <f t="shared" si="47"/>
        <v/>
      </c>
      <c r="O125" s="19" t="str">
        <f t="shared" si="42"/>
        <v/>
      </c>
      <c r="P125" s="19" t="str">
        <f t="shared" si="43"/>
        <v/>
      </c>
      <c r="Q125" s="19" t="str">
        <f t="shared" si="44"/>
        <v/>
      </c>
      <c r="R125" s="19" t="str">
        <f t="shared" si="41"/>
        <v/>
      </c>
      <c r="S125" s="27" t="str">
        <f t="shared" si="48"/>
        <v/>
      </c>
      <c r="T125" s="28" t="str">
        <f t="shared" si="49"/>
        <v/>
      </c>
      <c r="U125" s="28" t="str">
        <f t="shared" si="50"/>
        <v/>
      </c>
      <c r="V125" s="28" t="str">
        <f t="shared" si="51"/>
        <v/>
      </c>
      <c r="W125" s="28" t="str">
        <f t="shared" si="52"/>
        <v/>
      </c>
      <c r="X125" s="29" t="str">
        <f t="shared" si="5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45"/>
        <v/>
      </c>
      <c r="M126" s="19" t="str">
        <f t="shared" si="46"/>
        <v/>
      </c>
      <c r="N126" s="19" t="str">
        <f t="shared" si="47"/>
        <v/>
      </c>
      <c r="O126" s="19" t="str">
        <f t="shared" si="42"/>
        <v/>
      </c>
      <c r="P126" s="19" t="str">
        <f t="shared" si="43"/>
        <v/>
      </c>
      <c r="Q126" s="19" t="str">
        <f t="shared" si="44"/>
        <v/>
      </c>
      <c r="R126" s="19" t="str">
        <f t="shared" si="41"/>
        <v/>
      </c>
      <c r="S126" s="27" t="str">
        <f t="shared" si="48"/>
        <v/>
      </c>
      <c r="T126" s="28" t="str">
        <f t="shared" si="49"/>
        <v/>
      </c>
      <c r="U126" s="28" t="str">
        <f t="shared" si="50"/>
        <v/>
      </c>
      <c r="V126" s="28" t="str">
        <f t="shared" si="51"/>
        <v/>
      </c>
      <c r="W126" s="28" t="str">
        <f t="shared" si="52"/>
        <v/>
      </c>
      <c r="X126" s="29" t="str">
        <f t="shared" si="5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45"/>
        <v/>
      </c>
      <c r="M127" s="19" t="str">
        <f t="shared" si="46"/>
        <v/>
      </c>
      <c r="N127" s="19" t="str">
        <f t="shared" si="47"/>
        <v/>
      </c>
      <c r="O127" s="19" t="str">
        <f t="shared" si="42"/>
        <v/>
      </c>
      <c r="P127" s="19" t="str">
        <f t="shared" si="43"/>
        <v/>
      </c>
      <c r="Q127" s="19" t="str">
        <f t="shared" si="44"/>
        <v/>
      </c>
      <c r="R127" s="19" t="str">
        <f t="shared" si="41"/>
        <v/>
      </c>
      <c r="S127" s="27" t="str">
        <f t="shared" si="48"/>
        <v/>
      </c>
      <c r="T127" s="28" t="str">
        <f t="shared" si="49"/>
        <v/>
      </c>
      <c r="U127" s="28" t="str">
        <f t="shared" si="50"/>
        <v/>
      </c>
      <c r="V127" s="28" t="str">
        <f t="shared" si="51"/>
        <v/>
      </c>
      <c r="W127" s="28" t="str">
        <f t="shared" si="52"/>
        <v/>
      </c>
      <c r="X127" s="29" t="str">
        <f t="shared" si="5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45"/>
        <v/>
      </c>
      <c r="M128" s="19" t="str">
        <f t="shared" si="46"/>
        <v/>
      </c>
      <c r="N128" s="19" t="str">
        <f t="shared" si="47"/>
        <v/>
      </c>
      <c r="O128" s="19" t="str">
        <f t="shared" si="42"/>
        <v/>
      </c>
      <c r="P128" s="19" t="str">
        <f t="shared" si="43"/>
        <v/>
      </c>
      <c r="Q128" s="19" t="str">
        <f t="shared" si="44"/>
        <v/>
      </c>
      <c r="R128" s="19" t="str">
        <f t="shared" si="41"/>
        <v/>
      </c>
      <c r="S128" s="27" t="str">
        <f t="shared" si="48"/>
        <v/>
      </c>
      <c r="T128" s="28" t="str">
        <f t="shared" si="49"/>
        <v/>
      </c>
      <c r="U128" s="28" t="str">
        <f t="shared" si="50"/>
        <v/>
      </c>
      <c r="V128" s="28" t="str">
        <f t="shared" si="51"/>
        <v/>
      </c>
      <c r="W128" s="28" t="str">
        <f t="shared" si="52"/>
        <v/>
      </c>
      <c r="X128" s="29" t="str">
        <f t="shared" si="5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45"/>
        <v/>
      </c>
      <c r="M129" s="19" t="str">
        <f t="shared" si="46"/>
        <v/>
      </c>
      <c r="N129" s="19" t="str">
        <f t="shared" si="47"/>
        <v/>
      </c>
      <c r="O129" s="19" t="str">
        <f t="shared" si="42"/>
        <v/>
      </c>
      <c r="P129" s="19" t="str">
        <f t="shared" si="43"/>
        <v/>
      </c>
      <c r="Q129" s="19" t="str">
        <f t="shared" si="44"/>
        <v/>
      </c>
      <c r="R129" s="19" t="str">
        <f t="shared" ref="R129:R153" si="54">IF(ISBLANK(I129),"",(I129-I$16)*1000)</f>
        <v/>
      </c>
      <c r="S129" s="27" t="str">
        <f t="shared" si="48"/>
        <v/>
      </c>
      <c r="T129" s="28" t="str">
        <f t="shared" si="49"/>
        <v/>
      </c>
      <c r="U129" s="28" t="str">
        <f t="shared" si="50"/>
        <v/>
      </c>
      <c r="V129" s="28" t="str">
        <f t="shared" si="51"/>
        <v/>
      </c>
      <c r="W129" s="28" t="str">
        <f t="shared" si="52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45"/>
        <v/>
      </c>
      <c r="M130" s="19" t="str">
        <f t="shared" si="46"/>
        <v/>
      </c>
      <c r="N130" s="19" t="str">
        <f t="shared" si="47"/>
        <v/>
      </c>
      <c r="O130" s="19" t="str">
        <f t="shared" si="42"/>
        <v/>
      </c>
      <c r="P130" s="19" t="str">
        <f t="shared" si="43"/>
        <v/>
      </c>
      <c r="Q130" s="19" t="str">
        <f t="shared" si="44"/>
        <v/>
      </c>
      <c r="R130" s="19" t="str">
        <f t="shared" si="54"/>
        <v/>
      </c>
      <c r="S130" s="27" t="str">
        <f t="shared" si="48"/>
        <v/>
      </c>
      <c r="T130" s="28" t="str">
        <f t="shared" si="49"/>
        <v/>
      </c>
      <c r="U130" s="28" t="str">
        <f t="shared" si="50"/>
        <v/>
      </c>
      <c r="V130" s="28" t="str">
        <f t="shared" si="51"/>
        <v/>
      </c>
      <c r="W130" s="28" t="str">
        <f t="shared" si="52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45"/>
        <v/>
      </c>
      <c r="M131" s="19" t="str">
        <f t="shared" si="46"/>
        <v/>
      </c>
      <c r="N131" s="19" t="str">
        <f t="shared" si="47"/>
        <v/>
      </c>
      <c r="O131" s="19" t="str">
        <f t="shared" si="42"/>
        <v/>
      </c>
      <c r="P131" s="19" t="str">
        <f t="shared" si="43"/>
        <v/>
      </c>
      <c r="Q131" s="19" t="str">
        <f t="shared" si="44"/>
        <v/>
      </c>
      <c r="R131" s="19" t="str">
        <f t="shared" si="54"/>
        <v/>
      </c>
      <c r="S131" s="27" t="str">
        <f t="shared" si="48"/>
        <v/>
      </c>
      <c r="T131" s="28" t="str">
        <f t="shared" si="49"/>
        <v/>
      </c>
      <c r="U131" s="28" t="str">
        <f t="shared" si="50"/>
        <v/>
      </c>
      <c r="V131" s="28" t="str">
        <f t="shared" si="51"/>
        <v/>
      </c>
      <c r="W131" s="28" t="str">
        <f t="shared" si="52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45"/>
        <v/>
      </c>
      <c r="M132" s="19" t="str">
        <f t="shared" si="46"/>
        <v/>
      </c>
      <c r="N132" s="19" t="str">
        <f t="shared" si="47"/>
        <v/>
      </c>
      <c r="O132" s="19" t="str">
        <f t="shared" si="42"/>
        <v/>
      </c>
      <c r="P132" s="19" t="str">
        <f t="shared" si="43"/>
        <v/>
      </c>
      <c r="Q132" s="19" t="str">
        <f t="shared" si="44"/>
        <v/>
      </c>
      <c r="R132" s="19" t="str">
        <f t="shared" si="54"/>
        <v/>
      </c>
      <c r="S132" s="27" t="str">
        <f t="shared" si="48"/>
        <v/>
      </c>
      <c r="T132" s="28" t="str">
        <f t="shared" si="49"/>
        <v/>
      </c>
      <c r="U132" s="28" t="str">
        <f t="shared" si="50"/>
        <v/>
      </c>
      <c r="V132" s="28" t="str">
        <f t="shared" si="51"/>
        <v/>
      </c>
      <c r="W132" s="28" t="str">
        <f t="shared" si="52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45"/>
        <v/>
      </c>
      <c r="M133" s="19" t="str">
        <f t="shared" si="46"/>
        <v/>
      </c>
      <c r="N133" s="19" t="str">
        <f t="shared" si="47"/>
        <v/>
      </c>
      <c r="O133" s="19" t="str">
        <f t="shared" si="42"/>
        <v/>
      </c>
      <c r="P133" s="19" t="str">
        <f t="shared" si="43"/>
        <v/>
      </c>
      <c r="Q133" s="19" t="str">
        <f t="shared" si="44"/>
        <v/>
      </c>
      <c r="R133" s="19" t="str">
        <f t="shared" si="54"/>
        <v/>
      </c>
      <c r="S133" s="27" t="str">
        <f t="shared" si="48"/>
        <v/>
      </c>
      <c r="T133" s="28" t="str">
        <f t="shared" si="49"/>
        <v/>
      </c>
      <c r="U133" s="28" t="str">
        <f t="shared" si="50"/>
        <v/>
      </c>
      <c r="V133" s="28" t="str">
        <f t="shared" si="51"/>
        <v/>
      </c>
      <c r="W133" s="28" t="str">
        <f t="shared" si="52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45"/>
        <v/>
      </c>
      <c r="M134" s="19" t="str">
        <f t="shared" si="46"/>
        <v/>
      </c>
      <c r="N134" s="19" t="str">
        <f t="shared" si="47"/>
        <v/>
      </c>
      <c r="O134" s="19" t="str">
        <f t="shared" si="42"/>
        <v/>
      </c>
      <c r="P134" s="19" t="str">
        <f t="shared" si="43"/>
        <v/>
      </c>
      <c r="Q134" s="19" t="str">
        <f t="shared" si="44"/>
        <v/>
      </c>
      <c r="R134" s="19" t="str">
        <f t="shared" si="54"/>
        <v/>
      </c>
      <c r="S134" s="27" t="str">
        <f t="shared" si="48"/>
        <v/>
      </c>
      <c r="T134" s="28" t="str">
        <f t="shared" si="49"/>
        <v/>
      </c>
      <c r="U134" s="28" t="str">
        <f t="shared" si="50"/>
        <v/>
      </c>
      <c r="V134" s="28" t="str">
        <f t="shared" si="51"/>
        <v/>
      </c>
      <c r="W134" s="28" t="str">
        <f t="shared" si="52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45"/>
        <v/>
      </c>
      <c r="M135" s="19" t="str">
        <f t="shared" si="46"/>
        <v/>
      </c>
      <c r="N135" s="19" t="str">
        <f t="shared" si="47"/>
        <v/>
      </c>
      <c r="O135" s="19" t="str">
        <f t="shared" si="42"/>
        <v/>
      </c>
      <c r="P135" s="19" t="str">
        <f t="shared" si="43"/>
        <v/>
      </c>
      <c r="Q135" s="19" t="str">
        <f t="shared" si="44"/>
        <v/>
      </c>
      <c r="R135" s="19" t="str">
        <f t="shared" si="54"/>
        <v/>
      </c>
      <c r="S135" s="27" t="str">
        <f t="shared" si="48"/>
        <v/>
      </c>
      <c r="T135" s="28" t="str">
        <f t="shared" si="49"/>
        <v/>
      </c>
      <c r="U135" s="28" t="str">
        <f t="shared" si="50"/>
        <v/>
      </c>
      <c r="V135" s="28" t="str">
        <f t="shared" si="51"/>
        <v/>
      </c>
      <c r="W135" s="28" t="str">
        <f t="shared" si="52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45"/>
        <v/>
      </c>
      <c r="M136" s="19" t="str">
        <f t="shared" si="46"/>
        <v/>
      </c>
      <c r="N136" s="19" t="str">
        <f t="shared" si="47"/>
        <v/>
      </c>
      <c r="O136" s="19" t="str">
        <f t="shared" si="42"/>
        <v/>
      </c>
      <c r="P136" s="19" t="str">
        <f t="shared" si="43"/>
        <v/>
      </c>
      <c r="Q136" s="19" t="str">
        <f t="shared" si="44"/>
        <v/>
      </c>
      <c r="R136" s="19" t="str">
        <f t="shared" si="54"/>
        <v/>
      </c>
      <c r="S136" s="27" t="str">
        <f t="shared" si="48"/>
        <v/>
      </c>
      <c r="T136" s="28" t="str">
        <f t="shared" si="49"/>
        <v/>
      </c>
      <c r="U136" s="28" t="str">
        <f t="shared" si="50"/>
        <v/>
      </c>
      <c r="V136" s="28" t="str">
        <f t="shared" si="51"/>
        <v/>
      </c>
      <c r="W136" s="28" t="str">
        <f t="shared" si="52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45"/>
        <v/>
      </c>
      <c r="M137" s="19" t="str">
        <f t="shared" si="46"/>
        <v/>
      </c>
      <c r="N137" s="19" t="str">
        <f t="shared" si="47"/>
        <v/>
      </c>
      <c r="O137" s="19" t="str">
        <f t="shared" si="42"/>
        <v/>
      </c>
      <c r="P137" s="19" t="str">
        <f t="shared" si="43"/>
        <v/>
      </c>
      <c r="Q137" s="19" t="str">
        <f t="shared" si="44"/>
        <v/>
      </c>
      <c r="R137" s="19" t="str">
        <f t="shared" si="54"/>
        <v/>
      </c>
      <c r="S137" s="27" t="str">
        <f t="shared" si="48"/>
        <v/>
      </c>
      <c r="T137" s="28" t="str">
        <f t="shared" si="49"/>
        <v/>
      </c>
      <c r="U137" s="28" t="str">
        <f t="shared" si="50"/>
        <v/>
      </c>
      <c r="V137" s="28" t="str">
        <f t="shared" si="51"/>
        <v/>
      </c>
      <c r="W137" s="28" t="str">
        <f t="shared" si="52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45"/>
        <v/>
      </c>
      <c r="M138" s="19" t="str">
        <f t="shared" si="46"/>
        <v/>
      </c>
      <c r="N138" s="19" t="str">
        <f t="shared" si="47"/>
        <v/>
      </c>
      <c r="O138" s="19" t="str">
        <f t="shared" si="42"/>
        <v/>
      </c>
      <c r="P138" s="19" t="str">
        <f t="shared" si="43"/>
        <v/>
      </c>
      <c r="Q138" s="19" t="str">
        <f t="shared" si="44"/>
        <v/>
      </c>
      <c r="R138" s="19" t="str">
        <f t="shared" si="54"/>
        <v/>
      </c>
      <c r="S138" s="27" t="str">
        <f t="shared" si="48"/>
        <v/>
      </c>
      <c r="T138" s="28" t="str">
        <f t="shared" si="49"/>
        <v/>
      </c>
      <c r="U138" s="28" t="str">
        <f t="shared" si="50"/>
        <v/>
      </c>
      <c r="V138" s="28" t="str">
        <f t="shared" si="51"/>
        <v/>
      </c>
      <c r="W138" s="28" t="str">
        <f t="shared" si="52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45"/>
        <v/>
      </c>
      <c r="M139" s="19" t="str">
        <f t="shared" si="46"/>
        <v/>
      </c>
      <c r="N139" s="19" t="str">
        <f t="shared" si="47"/>
        <v/>
      </c>
      <c r="O139" s="19" t="str">
        <f t="shared" si="42"/>
        <v/>
      </c>
      <c r="P139" s="19" t="str">
        <f t="shared" si="43"/>
        <v/>
      </c>
      <c r="Q139" s="19" t="str">
        <f t="shared" si="44"/>
        <v/>
      </c>
      <c r="R139" s="19" t="str">
        <f t="shared" si="54"/>
        <v/>
      </c>
      <c r="S139" s="27" t="str">
        <f t="shared" si="48"/>
        <v/>
      </c>
      <c r="T139" s="28" t="str">
        <f t="shared" si="49"/>
        <v/>
      </c>
      <c r="U139" s="28" t="str">
        <f t="shared" si="50"/>
        <v/>
      </c>
      <c r="V139" s="28" t="str">
        <f t="shared" si="51"/>
        <v/>
      </c>
      <c r="W139" s="28" t="str">
        <f t="shared" si="52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45"/>
        <v/>
      </c>
      <c r="M140" s="19" t="str">
        <f t="shared" si="46"/>
        <v/>
      </c>
      <c r="N140" s="19" t="str">
        <f t="shared" si="47"/>
        <v/>
      </c>
      <c r="O140" s="19" t="str">
        <f t="shared" si="42"/>
        <v/>
      </c>
      <c r="P140" s="19" t="str">
        <f t="shared" si="43"/>
        <v/>
      </c>
      <c r="Q140" s="19" t="str">
        <f t="shared" si="44"/>
        <v/>
      </c>
      <c r="R140" s="19" t="str">
        <f t="shared" si="54"/>
        <v/>
      </c>
      <c r="S140" s="27" t="str">
        <f t="shared" si="48"/>
        <v/>
      </c>
      <c r="T140" s="28" t="str">
        <f t="shared" si="49"/>
        <v/>
      </c>
      <c r="U140" s="28" t="str">
        <f t="shared" si="50"/>
        <v/>
      </c>
      <c r="V140" s="28" t="str">
        <f t="shared" si="51"/>
        <v/>
      </c>
      <c r="W140" s="28" t="str">
        <f t="shared" si="52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45"/>
        <v/>
      </c>
      <c r="M141" s="19" t="str">
        <f t="shared" si="46"/>
        <v/>
      </c>
      <c r="N141" s="19" t="str">
        <f t="shared" si="47"/>
        <v/>
      </c>
      <c r="O141" s="19" t="str">
        <f t="shared" si="42"/>
        <v/>
      </c>
      <c r="P141" s="19" t="str">
        <f t="shared" si="43"/>
        <v/>
      </c>
      <c r="Q141" s="19" t="str">
        <f t="shared" si="44"/>
        <v/>
      </c>
      <c r="R141" s="19" t="str">
        <f t="shared" si="54"/>
        <v/>
      </c>
      <c r="S141" s="27" t="str">
        <f t="shared" si="48"/>
        <v/>
      </c>
      <c r="T141" s="28" t="str">
        <f t="shared" si="49"/>
        <v/>
      </c>
      <c r="U141" s="28" t="str">
        <f t="shared" si="50"/>
        <v/>
      </c>
      <c r="V141" s="28" t="str">
        <f t="shared" si="51"/>
        <v/>
      </c>
      <c r="W141" s="28" t="str">
        <f t="shared" si="52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45"/>
        <v/>
      </c>
      <c r="M142" s="19" t="str">
        <f t="shared" si="46"/>
        <v/>
      </c>
      <c r="N142" s="19" t="str">
        <f t="shared" si="47"/>
        <v/>
      </c>
      <c r="O142" s="19" t="str">
        <f t="shared" si="42"/>
        <v/>
      </c>
      <c r="P142" s="19" t="str">
        <f t="shared" si="43"/>
        <v/>
      </c>
      <c r="Q142" s="19" t="str">
        <f t="shared" si="44"/>
        <v/>
      </c>
      <c r="R142" s="19" t="str">
        <f t="shared" si="54"/>
        <v/>
      </c>
      <c r="S142" s="27" t="str">
        <f t="shared" si="48"/>
        <v/>
      </c>
      <c r="T142" s="28" t="str">
        <f t="shared" si="49"/>
        <v/>
      </c>
      <c r="U142" s="28" t="str">
        <f t="shared" si="50"/>
        <v/>
      </c>
      <c r="V142" s="28" t="str">
        <f t="shared" si="51"/>
        <v/>
      </c>
      <c r="W142" s="28" t="str">
        <f t="shared" si="52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45"/>
        <v/>
      </c>
      <c r="M143" s="19" t="str">
        <f t="shared" si="46"/>
        <v/>
      </c>
      <c r="N143" s="19" t="str">
        <f t="shared" si="47"/>
        <v/>
      </c>
      <c r="O143" s="19" t="str">
        <f t="shared" si="42"/>
        <v/>
      </c>
      <c r="P143" s="19" t="str">
        <f t="shared" si="43"/>
        <v/>
      </c>
      <c r="Q143" s="19" t="str">
        <f t="shared" si="44"/>
        <v/>
      </c>
      <c r="R143" s="19" t="str">
        <f t="shared" si="54"/>
        <v/>
      </c>
      <c r="S143" s="27" t="str">
        <f t="shared" si="48"/>
        <v/>
      </c>
      <c r="T143" s="28" t="str">
        <f t="shared" si="49"/>
        <v/>
      </c>
      <c r="U143" s="28" t="str">
        <f t="shared" si="50"/>
        <v/>
      </c>
      <c r="V143" s="28" t="str">
        <f t="shared" si="51"/>
        <v/>
      </c>
      <c r="W143" s="28" t="str">
        <f t="shared" si="52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ref="L144:L153" si="55">IF(ISBLANK(C144),"",(C144-C$16)*1000)</f>
        <v/>
      </c>
      <c r="M144" s="19" t="str">
        <f t="shared" ref="M144:M153" si="56">IF(ISBLANK(D144),"",(D144-D$16)*1000)</f>
        <v/>
      </c>
      <c r="N144" s="19" t="str">
        <f t="shared" ref="N144:N153" si="57">IF(ISBLANK(E144),"",(E144-E$16)*1000)</f>
        <v/>
      </c>
      <c r="O144" s="19" t="str">
        <f t="shared" si="42"/>
        <v/>
      </c>
      <c r="P144" s="19" t="str">
        <f t="shared" si="43"/>
        <v/>
      </c>
      <c r="Q144" s="19" t="str">
        <f t="shared" si="44"/>
        <v/>
      </c>
      <c r="R144" s="19" t="str">
        <f t="shared" si="54"/>
        <v/>
      </c>
      <c r="S144" s="27" t="str">
        <f t="shared" si="48"/>
        <v/>
      </c>
      <c r="T144" s="28" t="str">
        <f t="shared" si="49"/>
        <v/>
      </c>
      <c r="U144" s="28" t="str">
        <f t="shared" si="50"/>
        <v/>
      </c>
      <c r="V144" s="28" t="str">
        <f t="shared" si="51"/>
        <v/>
      </c>
      <c r="W144" s="28" t="str">
        <f t="shared" si="52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5"/>
        <v/>
      </c>
      <c r="M145" s="19" t="str">
        <f t="shared" si="56"/>
        <v/>
      </c>
      <c r="N145" s="19" t="str">
        <f t="shared" si="57"/>
        <v/>
      </c>
      <c r="O145" s="19" t="str">
        <f t="shared" si="42"/>
        <v/>
      </c>
      <c r="P145" s="19" t="str">
        <f t="shared" si="43"/>
        <v/>
      </c>
      <c r="Q145" s="19" t="str">
        <f t="shared" si="44"/>
        <v/>
      </c>
      <c r="R145" s="19" t="str">
        <f t="shared" si="54"/>
        <v/>
      </c>
      <c r="S145" s="27" t="str">
        <f t="shared" ref="S145:S153" si="58">IF(C145="","",((C145-C144)*1000)/($B145-$B144))</f>
        <v/>
      </c>
      <c r="T145" s="28" t="str">
        <f t="shared" ref="T145:T153" si="59">IF(D145="","",((D145-D144)*1000)/($B145-$B144))</f>
        <v/>
      </c>
      <c r="U145" s="28" t="str">
        <f t="shared" ref="U145:U153" si="60">IF(E145="","",((E145-E144)*1000)/($B145-$B144))</f>
        <v/>
      </c>
      <c r="V145" s="28" t="str">
        <f t="shared" ref="V145:V153" si="61">IF(F145="","",((F145-F144)*1000)/($B145-$B144))</f>
        <v/>
      </c>
      <c r="W145" s="28" t="str">
        <f t="shared" ref="W145:W153" si="62">IF(G145="","",((G145-G144)*1000)/($B145-$B144))</f>
        <v/>
      </c>
      <c r="X145" s="29" t="str">
        <f t="shared" ref="X145:X153" si="63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5"/>
        <v/>
      </c>
      <c r="M146" s="19" t="str">
        <f t="shared" si="56"/>
        <v/>
      </c>
      <c r="N146" s="19" t="str">
        <f t="shared" si="57"/>
        <v/>
      </c>
      <c r="O146" s="19" t="str">
        <f t="shared" si="42"/>
        <v/>
      </c>
      <c r="P146" s="19" t="str">
        <f t="shared" si="43"/>
        <v/>
      </c>
      <c r="Q146" s="19" t="str">
        <f t="shared" si="44"/>
        <v/>
      </c>
      <c r="R146" s="19" t="str">
        <f t="shared" si="54"/>
        <v/>
      </c>
      <c r="S146" s="27" t="str">
        <f t="shared" si="58"/>
        <v/>
      </c>
      <c r="T146" s="28" t="str">
        <f t="shared" si="59"/>
        <v/>
      </c>
      <c r="U146" s="28" t="str">
        <f t="shared" si="60"/>
        <v/>
      </c>
      <c r="V146" s="28" t="str">
        <f t="shared" si="61"/>
        <v/>
      </c>
      <c r="W146" s="28" t="str">
        <f t="shared" si="62"/>
        <v/>
      </c>
      <c r="X146" s="29" t="str">
        <f t="shared" si="6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5"/>
        <v/>
      </c>
      <c r="M147" s="19" t="str">
        <f t="shared" si="56"/>
        <v/>
      </c>
      <c r="N147" s="19" t="str">
        <f t="shared" si="57"/>
        <v/>
      </c>
      <c r="O147" s="19" t="str">
        <f t="shared" si="42"/>
        <v/>
      </c>
      <c r="P147" s="19" t="str">
        <f t="shared" si="43"/>
        <v/>
      </c>
      <c r="Q147" s="19" t="str">
        <f t="shared" si="44"/>
        <v/>
      </c>
      <c r="R147" s="19" t="str">
        <f t="shared" si="54"/>
        <v/>
      </c>
      <c r="S147" s="27" t="str">
        <f t="shared" si="58"/>
        <v/>
      </c>
      <c r="T147" s="28" t="str">
        <f t="shared" si="59"/>
        <v/>
      </c>
      <c r="U147" s="28" t="str">
        <f t="shared" si="60"/>
        <v/>
      </c>
      <c r="V147" s="28" t="str">
        <f t="shared" si="61"/>
        <v/>
      </c>
      <c r="W147" s="28" t="str">
        <f t="shared" si="62"/>
        <v/>
      </c>
      <c r="X147" s="29" t="str">
        <f t="shared" si="6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5"/>
        <v/>
      </c>
      <c r="M148" s="19" t="str">
        <f t="shared" si="56"/>
        <v/>
      </c>
      <c r="N148" s="19" t="str">
        <f t="shared" si="57"/>
        <v/>
      </c>
      <c r="O148" s="19" t="str">
        <f t="shared" si="42"/>
        <v/>
      </c>
      <c r="P148" s="19" t="str">
        <f t="shared" si="43"/>
        <v/>
      </c>
      <c r="Q148" s="19" t="str">
        <f t="shared" si="44"/>
        <v/>
      </c>
      <c r="R148" s="19" t="str">
        <f t="shared" si="54"/>
        <v/>
      </c>
      <c r="S148" s="27" t="str">
        <f t="shared" si="58"/>
        <v/>
      </c>
      <c r="T148" s="28" t="str">
        <f t="shared" si="59"/>
        <v/>
      </c>
      <c r="U148" s="28" t="str">
        <f t="shared" si="60"/>
        <v/>
      </c>
      <c r="V148" s="28" t="str">
        <f t="shared" si="61"/>
        <v/>
      </c>
      <c r="W148" s="28" t="str">
        <f t="shared" si="62"/>
        <v/>
      </c>
      <c r="X148" s="29" t="str">
        <f t="shared" si="6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5"/>
        <v/>
      </c>
      <c r="M149" s="19" t="str">
        <f t="shared" si="56"/>
        <v/>
      </c>
      <c r="N149" s="19" t="str">
        <f t="shared" si="57"/>
        <v/>
      </c>
      <c r="O149" s="19" t="str">
        <f t="shared" si="42"/>
        <v/>
      </c>
      <c r="P149" s="19" t="str">
        <f t="shared" si="43"/>
        <v/>
      </c>
      <c r="Q149" s="19" t="str">
        <f t="shared" si="44"/>
        <v/>
      </c>
      <c r="R149" s="19" t="str">
        <f t="shared" si="54"/>
        <v/>
      </c>
      <c r="S149" s="27" t="str">
        <f t="shared" si="58"/>
        <v/>
      </c>
      <c r="T149" s="28" t="str">
        <f t="shared" si="59"/>
        <v/>
      </c>
      <c r="U149" s="28" t="str">
        <f t="shared" si="60"/>
        <v/>
      </c>
      <c r="V149" s="28" t="str">
        <f t="shared" si="61"/>
        <v/>
      </c>
      <c r="W149" s="28" t="str">
        <f t="shared" si="62"/>
        <v/>
      </c>
      <c r="X149" s="29" t="str">
        <f t="shared" si="6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5"/>
        <v/>
      </c>
      <c r="M150" s="19" t="str">
        <f t="shared" si="56"/>
        <v/>
      </c>
      <c r="N150" s="19" t="str">
        <f t="shared" si="57"/>
        <v/>
      </c>
      <c r="O150" s="19" t="str">
        <f t="shared" si="42"/>
        <v/>
      </c>
      <c r="P150" s="19" t="str">
        <f t="shared" si="43"/>
        <v/>
      </c>
      <c r="Q150" s="19" t="str">
        <f t="shared" si="44"/>
        <v/>
      </c>
      <c r="R150" s="19" t="str">
        <f t="shared" si="54"/>
        <v/>
      </c>
      <c r="S150" s="27" t="str">
        <f t="shared" si="58"/>
        <v/>
      </c>
      <c r="T150" s="28" t="str">
        <f t="shared" si="59"/>
        <v/>
      </c>
      <c r="U150" s="28" t="str">
        <f t="shared" si="60"/>
        <v/>
      </c>
      <c r="V150" s="28" t="str">
        <f t="shared" si="61"/>
        <v/>
      </c>
      <c r="W150" s="28" t="str">
        <f t="shared" si="62"/>
        <v/>
      </c>
      <c r="X150" s="29" t="str">
        <f t="shared" si="6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5"/>
        <v/>
      </c>
      <c r="M151" s="19" t="str">
        <f t="shared" si="56"/>
        <v/>
      </c>
      <c r="N151" s="19" t="str">
        <f t="shared" si="57"/>
        <v/>
      </c>
      <c r="O151" s="19" t="str">
        <f t="shared" si="42"/>
        <v/>
      </c>
      <c r="P151" s="19" t="str">
        <f t="shared" si="43"/>
        <v/>
      </c>
      <c r="Q151" s="19" t="str">
        <f t="shared" si="44"/>
        <v/>
      </c>
      <c r="R151" s="19" t="str">
        <f t="shared" si="54"/>
        <v/>
      </c>
      <c r="S151" s="27" t="str">
        <f t="shared" si="58"/>
        <v/>
      </c>
      <c r="T151" s="28" t="str">
        <f t="shared" si="59"/>
        <v/>
      </c>
      <c r="U151" s="28" t="str">
        <f t="shared" si="60"/>
        <v/>
      </c>
      <c r="V151" s="28" t="str">
        <f t="shared" si="61"/>
        <v/>
      </c>
      <c r="W151" s="28" t="str">
        <f t="shared" si="62"/>
        <v/>
      </c>
      <c r="X151" s="29" t="str">
        <f t="shared" si="6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5"/>
        <v/>
      </c>
      <c r="M152" s="19" t="str">
        <f t="shared" si="56"/>
        <v/>
      </c>
      <c r="N152" s="19" t="str">
        <f t="shared" si="57"/>
        <v/>
      </c>
      <c r="O152" s="19" t="str">
        <f t="shared" si="42"/>
        <v/>
      </c>
      <c r="P152" s="19" t="str">
        <f t="shared" si="43"/>
        <v/>
      </c>
      <c r="Q152" s="19" t="str">
        <f t="shared" si="44"/>
        <v/>
      </c>
      <c r="R152" s="19" t="str">
        <f t="shared" si="54"/>
        <v/>
      </c>
      <c r="S152" s="27" t="str">
        <f t="shared" si="58"/>
        <v/>
      </c>
      <c r="T152" s="28" t="str">
        <f t="shared" si="59"/>
        <v/>
      </c>
      <c r="U152" s="28" t="str">
        <f t="shared" si="60"/>
        <v/>
      </c>
      <c r="V152" s="28" t="str">
        <f t="shared" si="61"/>
        <v/>
      </c>
      <c r="W152" s="28" t="str">
        <f t="shared" si="62"/>
        <v/>
      </c>
      <c r="X152" s="29" t="str">
        <f t="shared" si="6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5"/>
        <v/>
      </c>
      <c r="M153" s="19" t="str">
        <f t="shared" si="56"/>
        <v/>
      </c>
      <c r="N153" s="19" t="str">
        <f t="shared" si="57"/>
        <v/>
      </c>
      <c r="O153" s="19" t="str">
        <f t="shared" si="42"/>
        <v/>
      </c>
      <c r="P153" s="19" t="str">
        <f t="shared" si="43"/>
        <v/>
      </c>
      <c r="Q153" s="19" t="str">
        <f t="shared" si="44"/>
        <v/>
      </c>
      <c r="R153" s="19" t="str">
        <f t="shared" si="54"/>
        <v/>
      </c>
      <c r="S153" s="27" t="str">
        <f t="shared" si="58"/>
        <v/>
      </c>
      <c r="T153" s="28" t="str">
        <f t="shared" si="59"/>
        <v/>
      </c>
      <c r="U153" s="28" t="str">
        <f t="shared" si="60"/>
        <v/>
      </c>
      <c r="V153" s="28" t="str">
        <f t="shared" si="61"/>
        <v/>
      </c>
      <c r="W153" s="28" t="str">
        <f t="shared" si="62"/>
        <v/>
      </c>
      <c r="X153" s="29" t="str">
        <f t="shared" si="63"/>
        <v/>
      </c>
      <c r="Y153" s="24"/>
    </row>
  </sheetData>
  <sheetProtection selectLockedCells="1"/>
  <mergeCells count="38">
    <mergeCell ref="R7:V7"/>
    <mergeCell ref="W7:Y7"/>
    <mergeCell ref="Y13:Y15"/>
    <mergeCell ref="C14:E14"/>
    <mergeCell ref="F14:H14"/>
    <mergeCell ref="I14:I15"/>
    <mergeCell ref="J14:K14"/>
    <mergeCell ref="L13:R14"/>
    <mergeCell ref="S13:X14"/>
    <mergeCell ref="B13:B15"/>
    <mergeCell ref="R5:V5"/>
    <mergeCell ref="W5:Y5"/>
    <mergeCell ref="E6:I6"/>
    <mergeCell ref="J6:Q6"/>
    <mergeCell ref="R6:V6"/>
    <mergeCell ref="W6:Y6"/>
    <mergeCell ref="B10:J12"/>
    <mergeCell ref="K10:S12"/>
    <mergeCell ref="C13:K13"/>
    <mergeCell ref="T10:Y12"/>
    <mergeCell ref="B5:D8"/>
    <mergeCell ref="E5:I5"/>
    <mergeCell ref="J5:Q5"/>
    <mergeCell ref="E7:I7"/>
    <mergeCell ref="J7:Q7"/>
    <mergeCell ref="AA9:AI9"/>
    <mergeCell ref="E8:I8"/>
    <mergeCell ref="J8:Q8"/>
    <mergeCell ref="R8:V8"/>
    <mergeCell ref="W8:Y8"/>
    <mergeCell ref="B9:O9"/>
    <mergeCell ref="P9:Y9"/>
    <mergeCell ref="A1:J1"/>
    <mergeCell ref="E2:Q2"/>
    <mergeCell ref="R2:X4"/>
    <mergeCell ref="Y2:Y4"/>
    <mergeCell ref="E3:Q3"/>
    <mergeCell ref="E4:Q4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3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TZ-12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38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41657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>
        <v>43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41659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46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120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378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41660</v>
      </c>
      <c r="C16" s="14">
        <v>12.648999999999999</v>
      </c>
      <c r="D16" s="15">
        <v>7.3090000000000002</v>
      </c>
      <c r="E16" s="15">
        <v>8.2889999999999997</v>
      </c>
      <c r="F16" s="42"/>
      <c r="G16" s="42"/>
      <c r="H16" s="42"/>
      <c r="I16" s="41">
        <v>101.494</v>
      </c>
      <c r="J16" s="40">
        <v>387</v>
      </c>
      <c r="K16" s="51">
        <f t="shared" ref="K16:K29" si="0">IF(ISBLANK(J16),"",(J16-$J$8))</f>
        <v>9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41661</v>
      </c>
      <c r="C17" s="25">
        <v>12.648</v>
      </c>
      <c r="D17" s="26">
        <v>7.3079999999999998</v>
      </c>
      <c r="E17" s="26">
        <v>8.2889999999999997</v>
      </c>
      <c r="F17" s="16"/>
      <c r="G17" s="16"/>
      <c r="H17" s="16"/>
      <c r="I17" s="17">
        <v>101.494</v>
      </c>
      <c r="J17" s="32">
        <v>388.5</v>
      </c>
      <c r="K17" s="18">
        <f t="shared" si="0"/>
        <v>10.5</v>
      </c>
      <c r="L17" s="19">
        <f t="shared" ref="L17:R62" si="2">IF(ISBLANK(C17),"",(C17-C$16)*1000)</f>
        <v>-0.99999999999944578</v>
      </c>
      <c r="M17" s="19">
        <f t="shared" si="2"/>
        <v>-1.000000000000334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-0.99999999999944578</v>
      </c>
      <c r="T17" s="28">
        <f t="shared" si="3"/>
        <v>-1.000000000000334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41662</v>
      </c>
      <c r="C18" s="25">
        <v>12.646000000000001</v>
      </c>
      <c r="D18" s="26">
        <v>7.3070000000000004</v>
      </c>
      <c r="E18" s="26">
        <v>8.2889999999999997</v>
      </c>
      <c r="F18" s="16"/>
      <c r="G18" s="16"/>
      <c r="H18" s="16"/>
      <c r="I18" s="17">
        <v>101.494</v>
      </c>
      <c r="J18" s="32">
        <v>392</v>
      </c>
      <c r="K18" s="18">
        <f t="shared" si="0"/>
        <v>14</v>
      </c>
      <c r="L18" s="19">
        <f t="shared" si="2"/>
        <v>-2.9999999999983373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-1.9999999999988916</v>
      </c>
      <c r="T18" s="28">
        <f t="shared" si="3"/>
        <v>-0.99999999999944578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41663</v>
      </c>
      <c r="C19" s="25">
        <v>12.646000000000001</v>
      </c>
      <c r="D19" s="26">
        <v>7.3070000000000004</v>
      </c>
      <c r="E19" s="26">
        <v>8.2889999999999997</v>
      </c>
      <c r="F19" s="16"/>
      <c r="G19" s="16"/>
      <c r="H19" s="16"/>
      <c r="I19" s="17">
        <v>101.494</v>
      </c>
      <c r="J19" s="32">
        <v>393.5</v>
      </c>
      <c r="K19" s="18">
        <f t="shared" si="0"/>
        <v>15.5</v>
      </c>
      <c r="L19" s="19">
        <f t="shared" si="2"/>
        <v>-2.9999999999983373</v>
      </c>
      <c r="M19" s="19">
        <f t="shared" si="2"/>
        <v>-1.9999999999997797</v>
      </c>
      <c r="N19" s="19">
        <f t="shared" si="2"/>
        <v>0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41666</v>
      </c>
      <c r="C20" s="25">
        <v>12.646000000000001</v>
      </c>
      <c r="D20" s="26">
        <v>7.3070000000000004</v>
      </c>
      <c r="E20" s="26">
        <v>8.2880000000000003</v>
      </c>
      <c r="F20" s="16"/>
      <c r="G20" s="16"/>
      <c r="H20" s="16"/>
      <c r="I20" s="17">
        <v>101.49299999999999</v>
      </c>
      <c r="J20" s="32">
        <v>396.5</v>
      </c>
      <c r="K20" s="18">
        <f t="shared" si="0"/>
        <v>18.5</v>
      </c>
      <c r="L20" s="19">
        <f t="shared" si="2"/>
        <v>-2.9999999999983373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-0.33333333333314857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41667</v>
      </c>
      <c r="C21" s="25">
        <v>12.646000000000001</v>
      </c>
      <c r="D21" s="26">
        <v>7.3070000000000004</v>
      </c>
      <c r="E21" s="26">
        <v>8.2870000000000008</v>
      </c>
      <c r="F21" s="16"/>
      <c r="G21" s="16"/>
      <c r="H21" s="16"/>
      <c r="I21" s="17">
        <v>101.492</v>
      </c>
      <c r="J21" s="32">
        <v>398.5</v>
      </c>
      <c r="K21" s="18">
        <f t="shared" si="0"/>
        <v>20.5</v>
      </c>
      <c r="L21" s="19">
        <f t="shared" si="2"/>
        <v>-2.9999999999983373</v>
      </c>
      <c r="M21" s="19">
        <f t="shared" si="2"/>
        <v>-1.9999999999997797</v>
      </c>
      <c r="N21" s="19">
        <f t="shared" si="2"/>
        <v>-1.9999999999988916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-1.9999999999953388</v>
      </c>
      <c r="S21" s="27">
        <f t="shared" si="3"/>
        <v>0</v>
      </c>
      <c r="T21" s="28">
        <f t="shared" si="3"/>
        <v>0</v>
      </c>
      <c r="U21" s="28">
        <f t="shared" si="3"/>
        <v>-0.99999999999944578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41668</v>
      </c>
      <c r="C22" s="25">
        <v>12.646000000000001</v>
      </c>
      <c r="D22" s="26">
        <v>7.3070000000000004</v>
      </c>
      <c r="E22" s="26">
        <v>8.2870000000000008</v>
      </c>
      <c r="F22" s="16"/>
      <c r="G22" s="16"/>
      <c r="H22" s="16"/>
      <c r="I22" s="17">
        <v>101.492</v>
      </c>
      <c r="J22" s="32">
        <v>402</v>
      </c>
      <c r="K22" s="18">
        <f t="shared" si="0"/>
        <v>24</v>
      </c>
      <c r="L22" s="19">
        <f t="shared" si="2"/>
        <v>-2.9999999999983373</v>
      </c>
      <c r="M22" s="19">
        <f t="shared" si="2"/>
        <v>-1.9999999999997797</v>
      </c>
      <c r="N22" s="19">
        <f t="shared" si="2"/>
        <v>-1.9999999999988916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-1.9999999999953388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41669</v>
      </c>
      <c r="C23" s="25">
        <v>12.646000000000001</v>
      </c>
      <c r="D23" s="26">
        <v>7.3070000000000004</v>
      </c>
      <c r="E23" s="26">
        <v>8.2870000000000008</v>
      </c>
      <c r="F23" s="16"/>
      <c r="G23" s="16"/>
      <c r="H23" s="16"/>
      <c r="I23" s="17">
        <v>101.492</v>
      </c>
      <c r="J23" s="32">
        <v>411</v>
      </c>
      <c r="K23" s="18">
        <f t="shared" si="0"/>
        <v>33</v>
      </c>
      <c r="L23" s="19">
        <f t="shared" si="2"/>
        <v>-2.9999999999983373</v>
      </c>
      <c r="M23" s="19">
        <f t="shared" si="2"/>
        <v>-1.9999999999997797</v>
      </c>
      <c r="N23" s="19">
        <f t="shared" si="2"/>
        <v>-1.9999999999988916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-1.9999999999953388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41670</v>
      </c>
      <c r="C24" s="25">
        <v>12.646000000000001</v>
      </c>
      <c r="D24" s="26">
        <v>7.3070000000000004</v>
      </c>
      <c r="E24" s="26">
        <v>8.2880000000000003</v>
      </c>
      <c r="F24" s="16"/>
      <c r="G24" s="16"/>
      <c r="H24" s="16"/>
      <c r="I24" s="17">
        <v>101.492</v>
      </c>
      <c r="J24" s="32">
        <v>418.5</v>
      </c>
      <c r="K24" s="18">
        <f t="shared" si="0"/>
        <v>40.5</v>
      </c>
      <c r="L24" s="19">
        <f t="shared" si="2"/>
        <v>-2.9999999999983373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-1.9999999999953388</v>
      </c>
      <c r="S24" s="27">
        <f t="shared" si="3"/>
        <v>0</v>
      </c>
      <c r="T24" s="28">
        <f t="shared" si="3"/>
        <v>0</v>
      </c>
      <c r="U24" s="28">
        <f t="shared" si="3"/>
        <v>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41673</v>
      </c>
      <c r="C25" s="25">
        <v>12.646000000000001</v>
      </c>
      <c r="D25" s="26">
        <v>7.3070000000000004</v>
      </c>
      <c r="E25" s="26">
        <v>8.2880000000000003</v>
      </c>
      <c r="F25" s="16"/>
      <c r="G25" s="16"/>
      <c r="H25" s="16"/>
      <c r="I25" s="17">
        <v>101.492</v>
      </c>
      <c r="J25" s="32">
        <v>430</v>
      </c>
      <c r="K25" s="18">
        <f t="shared" si="0"/>
        <v>52</v>
      </c>
      <c r="L25" s="19">
        <f t="shared" si="2"/>
        <v>-2.9999999999983373</v>
      </c>
      <c r="M25" s="19">
        <f t="shared" si="2"/>
        <v>-1.9999999999997797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-1.9999999999953388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41674</v>
      </c>
      <c r="C26" s="25">
        <v>12.647</v>
      </c>
      <c r="D26" s="26">
        <v>7.3070000000000004</v>
      </c>
      <c r="E26" s="26">
        <v>8.2870000000000008</v>
      </c>
      <c r="F26" s="16"/>
      <c r="G26" s="16"/>
      <c r="H26" s="16"/>
      <c r="I26" s="17">
        <v>101.491</v>
      </c>
      <c r="J26" s="32">
        <v>438</v>
      </c>
      <c r="K26" s="18">
        <f t="shared" si="0"/>
        <v>60</v>
      </c>
      <c r="L26" s="19">
        <f t="shared" si="2"/>
        <v>-1.9999999999988916</v>
      </c>
      <c r="M26" s="19">
        <f t="shared" si="2"/>
        <v>-1.9999999999997797</v>
      </c>
      <c r="N26" s="19">
        <f t="shared" si="2"/>
        <v>-1.9999999999988916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0.99999999999944578</v>
      </c>
      <c r="T26" s="28">
        <f t="shared" si="3"/>
        <v>0</v>
      </c>
      <c r="U26" s="28">
        <f t="shared" si="3"/>
        <v>-0.99999999999944578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41675</v>
      </c>
      <c r="C27" s="25">
        <v>12.647</v>
      </c>
      <c r="D27" s="26">
        <v>7.306</v>
      </c>
      <c r="E27" s="26">
        <v>8.2870000000000008</v>
      </c>
      <c r="F27" s="16"/>
      <c r="G27" s="16"/>
      <c r="H27" s="16"/>
      <c r="I27" s="17">
        <v>101.49</v>
      </c>
      <c r="J27" s="32">
        <v>446</v>
      </c>
      <c r="K27" s="18">
        <f t="shared" si="0"/>
        <v>68</v>
      </c>
      <c r="L27" s="19">
        <f t="shared" si="2"/>
        <v>-1.9999999999988916</v>
      </c>
      <c r="M27" s="19">
        <f t="shared" si="2"/>
        <v>-3.0000000000001137</v>
      </c>
      <c r="N27" s="19">
        <f t="shared" si="2"/>
        <v>-1.9999999999988916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-1.000000000000334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41676</v>
      </c>
      <c r="C28" s="25">
        <v>12.647</v>
      </c>
      <c r="D28" s="26">
        <v>7.306</v>
      </c>
      <c r="E28" s="26">
        <v>8.2870000000000008</v>
      </c>
      <c r="F28" s="16"/>
      <c r="G28" s="16"/>
      <c r="H28" s="16"/>
      <c r="I28" s="17">
        <v>101.49</v>
      </c>
      <c r="J28" s="32">
        <v>453</v>
      </c>
      <c r="K28" s="18">
        <f t="shared" si="0"/>
        <v>75</v>
      </c>
      <c r="L28" s="19">
        <f t="shared" si="2"/>
        <v>-1.9999999999988916</v>
      </c>
      <c r="M28" s="19">
        <f t="shared" si="2"/>
        <v>-3.0000000000001137</v>
      </c>
      <c r="N28" s="19">
        <f t="shared" si="2"/>
        <v>-1.9999999999988916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41684</v>
      </c>
      <c r="C29" s="25">
        <v>12.647</v>
      </c>
      <c r="D29" s="26">
        <v>7.306</v>
      </c>
      <c r="E29" s="26">
        <v>8.2870000000000008</v>
      </c>
      <c r="F29" s="16"/>
      <c r="G29" s="16"/>
      <c r="H29" s="16"/>
      <c r="I29" s="17">
        <v>101.49</v>
      </c>
      <c r="J29" s="32">
        <v>477</v>
      </c>
      <c r="K29" s="18">
        <f t="shared" si="0"/>
        <v>99</v>
      </c>
      <c r="L29" s="19">
        <f t="shared" si="2"/>
        <v>-1.9999999999988916</v>
      </c>
      <c r="M29" s="19">
        <f t="shared" si="2"/>
        <v>-3.0000000000001137</v>
      </c>
      <c r="N29" s="19">
        <f t="shared" si="2"/>
        <v>-1.9999999999988916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41690</v>
      </c>
      <c r="C30" s="25">
        <v>12.647</v>
      </c>
      <c r="D30" s="26">
        <v>7.3049999999999997</v>
      </c>
      <c r="E30" s="26">
        <v>8.2870000000000008</v>
      </c>
      <c r="F30" s="16"/>
      <c r="G30" s="16"/>
      <c r="H30" s="16"/>
      <c r="I30" s="17">
        <v>101.49</v>
      </c>
      <c r="J30" s="32">
        <v>510</v>
      </c>
      <c r="K30" s="18">
        <f t="shared" ref="K30:K42" si="4">IF(ISBLANK(J30),"",(J30-$J$8))</f>
        <v>132</v>
      </c>
      <c r="L30" s="19">
        <f t="shared" si="2"/>
        <v>-1.9999999999988916</v>
      </c>
      <c r="M30" s="19">
        <f t="shared" si="2"/>
        <v>-4.0000000000004476</v>
      </c>
      <c r="N30" s="19">
        <f t="shared" si="2"/>
        <v>-1.9999999999988916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0</v>
      </c>
      <c r="T30" s="28">
        <f t="shared" si="3"/>
        <v>-0.16666666666672234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41697</v>
      </c>
      <c r="C31" s="25">
        <v>12.647</v>
      </c>
      <c r="D31" s="26">
        <v>7.306</v>
      </c>
      <c r="E31" s="26">
        <v>8.2870000000000008</v>
      </c>
      <c r="F31" s="16"/>
      <c r="G31" s="16"/>
      <c r="H31" s="16"/>
      <c r="I31" s="17">
        <v>101.49</v>
      </c>
      <c r="J31" s="58">
        <v>547.5</v>
      </c>
      <c r="K31" s="18">
        <f t="shared" si="4"/>
        <v>169.5</v>
      </c>
      <c r="L31" s="19">
        <f t="shared" si="2"/>
        <v>-1.9999999999988916</v>
      </c>
      <c r="M31" s="19">
        <f t="shared" si="2"/>
        <v>-3.0000000000001137</v>
      </c>
      <c r="N31" s="19">
        <f t="shared" si="2"/>
        <v>-1.9999999999988916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-4.0000000000048885</v>
      </c>
      <c r="S31" s="27">
        <f t="shared" si="3"/>
        <v>0</v>
      </c>
      <c r="T31" s="28">
        <f t="shared" si="3"/>
        <v>0.14285714285719056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41723</v>
      </c>
      <c r="C32" s="25">
        <v>12.645</v>
      </c>
      <c r="D32" s="26">
        <v>7.3049999999999997</v>
      </c>
      <c r="E32" s="26">
        <v>8.2859999999999996</v>
      </c>
      <c r="F32" s="16"/>
      <c r="G32" s="16"/>
      <c r="H32" s="16"/>
      <c r="I32" s="17">
        <v>101.49</v>
      </c>
      <c r="J32" s="32">
        <v>308</v>
      </c>
      <c r="K32" s="18">
        <f t="shared" si="4"/>
        <v>-70</v>
      </c>
      <c r="L32" s="19">
        <f t="shared" si="2"/>
        <v>-3.9999999999995595</v>
      </c>
      <c r="M32" s="19">
        <f t="shared" si="2"/>
        <v>-4.0000000000004476</v>
      </c>
      <c r="N32" s="19">
        <f t="shared" si="2"/>
        <v>-3.0000000000001137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-4.0000000000048885</v>
      </c>
      <c r="S32" s="27">
        <f t="shared" si="3"/>
        <v>-7.6923076923102615E-2</v>
      </c>
      <c r="T32" s="28">
        <f t="shared" si="3"/>
        <v>-3.8461538461551308E-2</v>
      </c>
      <c r="U32" s="28">
        <f t="shared" si="3"/>
        <v>-3.8461538461585468E-2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 t="s">
        <v>23</v>
      </c>
    </row>
    <row r="33" spans="2:25" ht="15" customHeight="1" x14ac:dyDescent="0.2">
      <c r="B33" s="31">
        <v>41731</v>
      </c>
      <c r="C33" s="33">
        <v>12.638999999999999</v>
      </c>
      <c r="D33" s="26">
        <v>7.3049999999999997</v>
      </c>
      <c r="E33" s="16">
        <v>8.2840000000000007</v>
      </c>
      <c r="F33" s="16"/>
      <c r="G33" s="16"/>
      <c r="H33" s="16"/>
      <c r="I33" s="16">
        <v>101.479</v>
      </c>
      <c r="J33" s="32">
        <v>375</v>
      </c>
      <c r="K33" s="18">
        <f t="shared" si="4"/>
        <v>-3</v>
      </c>
      <c r="L33" s="19">
        <f t="shared" si="2"/>
        <v>-9.9999999999997868</v>
      </c>
      <c r="M33" s="19">
        <f t="shared" si="2"/>
        <v>-4.0000000000004476</v>
      </c>
      <c r="N33" s="19">
        <f t="shared" si="2"/>
        <v>-4.9999999999990052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-15.000000000000568</v>
      </c>
      <c r="S33" s="27">
        <f t="shared" ref="S33:X48" si="5">IF(C33="","",((C33-C32)*1000)/($B33-$B32))</f>
        <v>-0.75000000000002842</v>
      </c>
      <c r="T33" s="28">
        <f t="shared" si="5"/>
        <v>0</v>
      </c>
      <c r="U33" s="28">
        <f t="shared" si="5"/>
        <v>-0.24999999999986144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41732</v>
      </c>
      <c r="C34" s="33">
        <v>12.638999999999999</v>
      </c>
      <c r="D34" s="26">
        <v>7.3049999999999997</v>
      </c>
      <c r="E34" s="16">
        <v>8.282</v>
      </c>
      <c r="F34" s="16">
        <v>13.115</v>
      </c>
      <c r="G34" s="16">
        <v>9.7240000000000002</v>
      </c>
      <c r="H34" s="16">
        <v>10.491</v>
      </c>
      <c r="I34" s="16">
        <v>101.479</v>
      </c>
      <c r="J34" s="32">
        <v>387</v>
      </c>
      <c r="K34" s="18">
        <f t="shared" si="4"/>
        <v>9</v>
      </c>
      <c r="L34" s="19">
        <f t="shared" si="2"/>
        <v>-9.9999999999997868</v>
      </c>
      <c r="M34" s="19">
        <f t="shared" si="2"/>
        <v>-4.0000000000004476</v>
      </c>
      <c r="N34" s="19">
        <f t="shared" si="2"/>
        <v>-6.9999999999996732</v>
      </c>
      <c r="O34" s="19">
        <f>IF(ISBLANK(F34),"",((F34-F$34)*1000)+L$34)</f>
        <v>-9.9999999999997868</v>
      </c>
      <c r="P34" s="19">
        <f>IF(ISBLANK(G34),"",((G34-G$34)*1000)+M$34)</f>
        <v>-4.0000000000004476</v>
      </c>
      <c r="Q34" s="19">
        <f>IF(ISBLANK(H34),"",((H34-H$34)*1000)+N$34)</f>
        <v>-6.9999999999996732</v>
      </c>
      <c r="R34" s="19">
        <f t="shared" si="2"/>
        <v>-15.000000000000568</v>
      </c>
      <c r="S34" s="27">
        <f t="shared" si="5"/>
        <v>0</v>
      </c>
      <c r="T34" s="28">
        <f t="shared" si="5"/>
        <v>0</v>
      </c>
      <c r="U34" s="28">
        <f t="shared" si="5"/>
        <v>-2.0000000000006679</v>
      </c>
      <c r="V34" s="28"/>
      <c r="W34" s="28"/>
      <c r="X34" s="29"/>
      <c r="Y34" s="24"/>
    </row>
    <row r="35" spans="2:25" ht="15" customHeight="1" x14ac:dyDescent="0.2">
      <c r="B35" s="31">
        <v>41733</v>
      </c>
      <c r="C35" s="33">
        <v>12.638999999999999</v>
      </c>
      <c r="D35" s="26">
        <v>7.3040000000000003</v>
      </c>
      <c r="E35" s="16">
        <v>8.282</v>
      </c>
      <c r="F35" s="16">
        <v>13.113</v>
      </c>
      <c r="G35" s="16">
        <v>9.7240000000000002</v>
      </c>
      <c r="H35" s="16">
        <v>10.491</v>
      </c>
      <c r="I35" s="16">
        <v>101.479</v>
      </c>
      <c r="J35" s="32">
        <v>395</v>
      </c>
      <c r="K35" s="18">
        <f t="shared" si="4"/>
        <v>17</v>
      </c>
      <c r="L35" s="19">
        <f t="shared" si="2"/>
        <v>-9.9999999999997868</v>
      </c>
      <c r="M35" s="19">
        <f t="shared" si="2"/>
        <v>-4.9999999999998934</v>
      </c>
      <c r="N35" s="19">
        <f t="shared" si="2"/>
        <v>-6.9999999999996732</v>
      </c>
      <c r="O35" s="19">
        <f t="shared" ref="O35:O98" si="6">IF(ISBLANK(F35),"",((F35-F$34)*1000)+L$34)</f>
        <v>-12.000000000000455</v>
      </c>
      <c r="P35" s="19">
        <f t="shared" ref="P35:P98" si="7">IF(ISBLANK(G35),"",((G35-G$34)*1000)+M$34)</f>
        <v>-4.0000000000004476</v>
      </c>
      <c r="Q35" s="19">
        <f t="shared" ref="Q35:Q98" si="8">IF(ISBLANK(H35),"",((H35-H$34)*1000)+N$34)</f>
        <v>-6.9999999999996732</v>
      </c>
      <c r="R35" s="19">
        <f t="shared" si="2"/>
        <v>-15.000000000000568</v>
      </c>
      <c r="S35" s="27">
        <f t="shared" si="5"/>
        <v>0</v>
      </c>
      <c r="T35" s="28">
        <f t="shared" si="5"/>
        <v>-0.99999999999944578</v>
      </c>
      <c r="U35" s="28">
        <f t="shared" si="5"/>
        <v>0</v>
      </c>
      <c r="V35" s="28">
        <f t="shared" si="5"/>
        <v>-2.0000000000006679</v>
      </c>
      <c r="W35" s="28">
        <f t="shared" si="5"/>
        <v>0</v>
      </c>
      <c r="X35" s="29">
        <f t="shared" si="5"/>
        <v>0</v>
      </c>
      <c r="Y35" s="24"/>
    </row>
    <row r="36" spans="2:25" ht="15" customHeight="1" x14ac:dyDescent="0.2">
      <c r="B36" s="31">
        <v>41736</v>
      </c>
      <c r="C36" s="33">
        <v>12.638</v>
      </c>
      <c r="D36" s="26">
        <v>7.3029999999999999</v>
      </c>
      <c r="E36" s="16">
        <v>8.282</v>
      </c>
      <c r="F36" s="16">
        <v>13.113</v>
      </c>
      <c r="G36" s="16">
        <v>9.7240000000000002</v>
      </c>
      <c r="H36" s="16">
        <v>10.491</v>
      </c>
      <c r="I36" s="16">
        <v>101.479</v>
      </c>
      <c r="J36" s="32">
        <v>408</v>
      </c>
      <c r="K36" s="18">
        <f t="shared" si="4"/>
        <v>30</v>
      </c>
      <c r="L36" s="19">
        <f t="shared" si="2"/>
        <v>-10.999999999999233</v>
      </c>
      <c r="M36" s="19">
        <f t="shared" si="2"/>
        <v>-6.0000000000002274</v>
      </c>
      <c r="N36" s="19">
        <f t="shared" si="2"/>
        <v>-6.9999999999996732</v>
      </c>
      <c r="O36" s="19">
        <f t="shared" si="6"/>
        <v>-12.000000000000455</v>
      </c>
      <c r="P36" s="19">
        <f t="shared" si="7"/>
        <v>-4.0000000000004476</v>
      </c>
      <c r="Q36" s="19">
        <f t="shared" si="8"/>
        <v>-6.9999999999996732</v>
      </c>
      <c r="R36" s="19">
        <f t="shared" si="2"/>
        <v>-15.000000000000568</v>
      </c>
      <c r="S36" s="27">
        <f t="shared" si="5"/>
        <v>-0.33333333333314857</v>
      </c>
      <c r="T36" s="28">
        <f t="shared" si="5"/>
        <v>-0.33333333333344467</v>
      </c>
      <c r="U36" s="28">
        <f t="shared" si="5"/>
        <v>0</v>
      </c>
      <c r="V36" s="28">
        <f t="shared" si="5"/>
        <v>0</v>
      </c>
      <c r="W36" s="28">
        <f t="shared" si="5"/>
        <v>0</v>
      </c>
      <c r="X36" s="29">
        <f t="shared" si="5"/>
        <v>0</v>
      </c>
      <c r="Y36" s="24"/>
    </row>
    <row r="37" spans="2:25" ht="15" customHeight="1" x14ac:dyDescent="0.2">
      <c r="B37" s="31">
        <v>41737</v>
      </c>
      <c r="C37" s="33"/>
      <c r="D37" s="26"/>
      <c r="E37" s="16"/>
      <c r="F37" s="16">
        <v>13.113</v>
      </c>
      <c r="G37" s="16">
        <v>9.7240000000000002</v>
      </c>
      <c r="H37" s="16">
        <v>10.491</v>
      </c>
      <c r="I37" s="16">
        <v>101.47799999999999</v>
      </c>
      <c r="J37" s="32">
        <v>436</v>
      </c>
      <c r="K37" s="18">
        <f t="shared" si="4"/>
        <v>58</v>
      </c>
      <c r="L37" s="19" t="str">
        <f t="shared" si="2"/>
        <v/>
      </c>
      <c r="M37" s="19" t="str">
        <f t="shared" si="2"/>
        <v/>
      </c>
      <c r="N37" s="19" t="str">
        <f t="shared" si="2"/>
        <v/>
      </c>
      <c r="O37" s="19">
        <f t="shared" si="6"/>
        <v>-12.000000000000455</v>
      </c>
      <c r="P37" s="19">
        <f t="shared" si="7"/>
        <v>-4.0000000000004476</v>
      </c>
      <c r="Q37" s="19">
        <f t="shared" si="8"/>
        <v>-6.9999999999996732</v>
      </c>
      <c r="R37" s="19">
        <f t="shared" si="2"/>
        <v>-16.000000000005343</v>
      </c>
      <c r="S37" s="27" t="str">
        <f t="shared" si="5"/>
        <v/>
      </c>
      <c r="T37" s="28" t="str">
        <f t="shared" si="5"/>
        <v/>
      </c>
      <c r="U37" s="28" t="str">
        <f t="shared" si="5"/>
        <v/>
      </c>
      <c r="V37" s="28">
        <f t="shared" si="5"/>
        <v>0</v>
      </c>
      <c r="W37" s="28">
        <f t="shared" si="5"/>
        <v>0</v>
      </c>
      <c r="X37" s="29">
        <f t="shared" si="5"/>
        <v>0</v>
      </c>
      <c r="Y37" s="24"/>
    </row>
    <row r="38" spans="2:25" ht="15" customHeight="1" x14ac:dyDescent="0.2">
      <c r="B38" s="31">
        <v>41738</v>
      </c>
      <c r="C38" s="33"/>
      <c r="D38" s="26"/>
      <c r="E38" s="16"/>
      <c r="F38" s="16">
        <v>13.112</v>
      </c>
      <c r="G38" s="16">
        <v>9.7240000000000002</v>
      </c>
      <c r="H38" s="16">
        <v>10.491</v>
      </c>
      <c r="I38" s="16">
        <v>101.47799999999999</v>
      </c>
      <c r="J38" s="32">
        <v>450</v>
      </c>
      <c r="K38" s="18">
        <f t="shared" si="4"/>
        <v>72</v>
      </c>
      <c r="L38" s="19" t="str">
        <f t="shared" si="2"/>
        <v/>
      </c>
      <c r="M38" s="19" t="str">
        <f t="shared" si="2"/>
        <v/>
      </c>
      <c r="N38" s="19" t="str">
        <f t="shared" si="2"/>
        <v/>
      </c>
      <c r="O38" s="19">
        <f t="shared" si="6"/>
        <v>-12.999999999999901</v>
      </c>
      <c r="P38" s="19">
        <f t="shared" si="7"/>
        <v>-4.0000000000004476</v>
      </c>
      <c r="Q38" s="19">
        <f t="shared" si="8"/>
        <v>-6.9999999999996732</v>
      </c>
      <c r="R38" s="19">
        <f t="shared" si="2"/>
        <v>-16.000000000005343</v>
      </c>
      <c r="S38" s="27" t="str">
        <f t="shared" si="5"/>
        <v/>
      </c>
      <c r="T38" s="28" t="str">
        <f t="shared" si="5"/>
        <v/>
      </c>
      <c r="U38" s="28" t="str">
        <f t="shared" si="5"/>
        <v/>
      </c>
      <c r="V38" s="28">
        <f t="shared" si="5"/>
        <v>-0.99999999999944578</v>
      </c>
      <c r="W38" s="28">
        <f t="shared" si="5"/>
        <v>0</v>
      </c>
      <c r="X38" s="29">
        <f t="shared" si="5"/>
        <v>0</v>
      </c>
      <c r="Y38" s="24"/>
    </row>
    <row r="39" spans="2:25" ht="15" customHeight="1" x14ac:dyDescent="0.2">
      <c r="B39" s="31">
        <v>41739</v>
      </c>
      <c r="C39" s="33"/>
      <c r="D39" s="26"/>
      <c r="E39" s="16"/>
      <c r="F39" s="16">
        <v>13.112</v>
      </c>
      <c r="G39" s="16">
        <v>9.7240000000000002</v>
      </c>
      <c r="H39" s="16">
        <v>10.491</v>
      </c>
      <c r="I39" s="16">
        <v>101.47799999999999</v>
      </c>
      <c r="J39" s="32">
        <v>457</v>
      </c>
      <c r="K39" s="18">
        <f t="shared" si="4"/>
        <v>79</v>
      </c>
      <c r="L39" s="19" t="str">
        <f t="shared" si="2"/>
        <v/>
      </c>
      <c r="M39" s="19" t="str">
        <f t="shared" si="2"/>
        <v/>
      </c>
      <c r="N39" s="19" t="str">
        <f t="shared" si="2"/>
        <v/>
      </c>
      <c r="O39" s="19">
        <f t="shared" si="6"/>
        <v>-12.999999999999901</v>
      </c>
      <c r="P39" s="19">
        <f t="shared" si="7"/>
        <v>-4.0000000000004476</v>
      </c>
      <c r="Q39" s="19">
        <f t="shared" si="8"/>
        <v>-6.9999999999996732</v>
      </c>
      <c r="R39" s="19">
        <f t="shared" si="2"/>
        <v>-16.000000000005343</v>
      </c>
      <c r="S39" s="27" t="str">
        <f t="shared" si="5"/>
        <v/>
      </c>
      <c r="T39" s="28" t="str">
        <f t="shared" si="5"/>
        <v/>
      </c>
      <c r="U39" s="28" t="str">
        <f t="shared" si="5"/>
        <v/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41745</v>
      </c>
      <c r="C40" s="33"/>
      <c r="D40" s="26"/>
      <c r="E40" s="16"/>
      <c r="F40" s="16">
        <v>13.112</v>
      </c>
      <c r="G40" s="16">
        <v>9.7240000000000002</v>
      </c>
      <c r="H40" s="16">
        <v>10.49</v>
      </c>
      <c r="I40" s="16">
        <v>101.479</v>
      </c>
      <c r="J40" s="32">
        <v>516</v>
      </c>
      <c r="K40" s="18">
        <f t="shared" si="4"/>
        <v>138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6"/>
        <v>-12.999999999999901</v>
      </c>
      <c r="P40" s="19">
        <f t="shared" si="7"/>
        <v>-4.0000000000004476</v>
      </c>
      <c r="Q40" s="19">
        <f t="shared" si="8"/>
        <v>-7.9999999999991189</v>
      </c>
      <c r="R40" s="19">
        <f t="shared" si="2"/>
        <v>-15.000000000000568</v>
      </c>
      <c r="S40" s="27" t="str">
        <f t="shared" si="5"/>
        <v/>
      </c>
      <c r="T40" s="28" t="str">
        <f t="shared" si="5"/>
        <v/>
      </c>
      <c r="U40" s="28" t="str">
        <f t="shared" si="5"/>
        <v/>
      </c>
      <c r="V40" s="28">
        <f t="shared" si="5"/>
        <v>0</v>
      </c>
      <c r="W40" s="28">
        <f t="shared" si="5"/>
        <v>0</v>
      </c>
      <c r="X40" s="29">
        <f t="shared" si="5"/>
        <v>-0.16666666666657429</v>
      </c>
      <c r="Y40" s="24"/>
    </row>
    <row r="41" spans="2:25" ht="15" customHeight="1" x14ac:dyDescent="0.2">
      <c r="B41" s="31">
        <v>41752</v>
      </c>
      <c r="C41" s="33"/>
      <c r="D41" s="26"/>
      <c r="E41" s="16"/>
      <c r="F41" s="16">
        <v>13.112</v>
      </c>
      <c r="G41" s="16">
        <v>9.7240000000000002</v>
      </c>
      <c r="H41" s="16">
        <v>10.49</v>
      </c>
      <c r="I41" s="16">
        <v>101.479</v>
      </c>
      <c r="J41" s="32">
        <v>534.5</v>
      </c>
      <c r="K41" s="18">
        <f t="shared" si="4"/>
        <v>156.5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6"/>
        <v>-12.999999999999901</v>
      </c>
      <c r="P41" s="19">
        <f t="shared" si="7"/>
        <v>-4.0000000000004476</v>
      </c>
      <c r="Q41" s="19">
        <f t="shared" si="8"/>
        <v>-7.9999999999991189</v>
      </c>
      <c r="R41" s="19">
        <f t="shared" si="2"/>
        <v>-15.000000000000568</v>
      </c>
      <c r="S41" s="27" t="str">
        <f t="shared" si="5"/>
        <v/>
      </c>
      <c r="T41" s="28" t="str">
        <f t="shared" si="5"/>
        <v/>
      </c>
      <c r="U41" s="28" t="str">
        <f t="shared" si="5"/>
        <v/>
      </c>
      <c r="V41" s="28">
        <f t="shared" si="5"/>
        <v>0</v>
      </c>
      <c r="W41" s="28">
        <f t="shared" si="5"/>
        <v>0</v>
      </c>
      <c r="X41" s="29">
        <f t="shared" si="5"/>
        <v>0</v>
      </c>
      <c r="Y41" s="24" t="s">
        <v>35</v>
      </c>
    </row>
    <row r="42" spans="2:25" ht="15" customHeight="1" x14ac:dyDescent="0.2">
      <c r="B42" s="31">
        <v>41759</v>
      </c>
      <c r="C42" s="33"/>
      <c r="D42" s="26"/>
      <c r="E42" s="16"/>
      <c r="F42" s="16">
        <v>13.112</v>
      </c>
      <c r="G42" s="16">
        <v>9.7240000000000002</v>
      </c>
      <c r="H42" s="16">
        <v>10.489000000000001</v>
      </c>
      <c r="I42" s="16">
        <v>101.479</v>
      </c>
      <c r="J42" s="32">
        <v>534.5</v>
      </c>
      <c r="K42" s="18">
        <f t="shared" si="4"/>
        <v>156.5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6"/>
        <v>-12.999999999999901</v>
      </c>
      <c r="P42" s="19">
        <f t="shared" si="7"/>
        <v>-4.0000000000004476</v>
      </c>
      <c r="Q42" s="19">
        <f t="shared" si="8"/>
        <v>-8.9999999999985647</v>
      </c>
      <c r="R42" s="19">
        <f t="shared" si="2"/>
        <v>-15.000000000000568</v>
      </c>
      <c r="S42" s="27" t="str">
        <f t="shared" si="5"/>
        <v/>
      </c>
      <c r="T42" s="28" t="str">
        <f t="shared" si="5"/>
        <v/>
      </c>
      <c r="U42" s="28" t="str">
        <f t="shared" si="5"/>
        <v/>
      </c>
      <c r="V42" s="28">
        <f t="shared" si="5"/>
        <v>0</v>
      </c>
      <c r="W42" s="28">
        <f t="shared" si="5"/>
        <v>0</v>
      </c>
      <c r="X42" s="29">
        <f t="shared" si="5"/>
        <v>-0.14285714285706369</v>
      </c>
      <c r="Y42" s="24"/>
    </row>
    <row r="43" spans="2:25" ht="15" customHeight="1" x14ac:dyDescent="0.2">
      <c r="B43" s="31">
        <v>41781</v>
      </c>
      <c r="C43" s="33"/>
      <c r="D43" s="26"/>
      <c r="E43" s="16"/>
      <c r="F43" s="16">
        <v>13.112</v>
      </c>
      <c r="G43" s="16">
        <v>9.7249999999999996</v>
      </c>
      <c r="H43" s="16">
        <v>10.49</v>
      </c>
      <c r="I43" s="16">
        <v>101.479</v>
      </c>
      <c r="J43" s="58">
        <v>792</v>
      </c>
      <c r="K43" s="18">
        <f t="shared" ref="K43:K48" si="9">IF(ISBLANK(J43),"",(J43-$J$8))</f>
        <v>414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6"/>
        <v>-12.999999999999901</v>
      </c>
      <c r="P43" s="19">
        <f t="shared" si="7"/>
        <v>-3.0000000000010019</v>
      </c>
      <c r="Q43" s="19">
        <f t="shared" si="8"/>
        <v>-7.9999999999991189</v>
      </c>
      <c r="R43" s="19">
        <f t="shared" si="2"/>
        <v>-15.000000000000568</v>
      </c>
      <c r="S43" s="27" t="str">
        <f t="shared" si="5"/>
        <v/>
      </c>
      <c r="T43" s="28" t="str">
        <f t="shared" si="5"/>
        <v/>
      </c>
      <c r="U43" s="28" t="str">
        <f t="shared" si="5"/>
        <v/>
      </c>
      <c r="V43" s="28">
        <f t="shared" si="5"/>
        <v>0</v>
      </c>
      <c r="W43" s="28">
        <f>IF(G43="","",((G43-G42)*1000)/($B43-$B42))</f>
        <v>4.5454545454520261E-2</v>
      </c>
      <c r="X43" s="29">
        <f t="shared" si="5"/>
        <v>4.5454545454520261E-2</v>
      </c>
      <c r="Y43" s="24"/>
    </row>
    <row r="44" spans="2:25" ht="15" customHeight="1" x14ac:dyDescent="0.2">
      <c r="B44" s="31">
        <v>41843</v>
      </c>
      <c r="C44" s="33"/>
      <c r="D44" s="26"/>
      <c r="E44" s="16"/>
      <c r="F44" s="16">
        <v>13.112</v>
      </c>
      <c r="G44" s="16">
        <v>9.7249999999999996</v>
      </c>
      <c r="H44" s="16">
        <v>10.49</v>
      </c>
      <c r="I44" s="16">
        <v>101.479</v>
      </c>
      <c r="J44" s="58">
        <v>943</v>
      </c>
      <c r="K44" s="18">
        <f t="shared" si="9"/>
        <v>565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6"/>
        <v>-12.999999999999901</v>
      </c>
      <c r="P44" s="19">
        <f t="shared" si="7"/>
        <v>-3.0000000000010019</v>
      </c>
      <c r="Q44" s="19">
        <f t="shared" si="8"/>
        <v>-7.9999999999991189</v>
      </c>
      <c r="R44" s="19">
        <f t="shared" si="2"/>
        <v>-15.000000000000568</v>
      </c>
      <c r="S44" s="27" t="str">
        <f t="shared" si="5"/>
        <v/>
      </c>
      <c r="T44" s="28" t="str">
        <f t="shared" si="5"/>
        <v/>
      </c>
      <c r="U44" s="28" t="str">
        <f t="shared" si="5"/>
        <v/>
      </c>
      <c r="V44" s="28">
        <f t="shared" si="5"/>
        <v>0</v>
      </c>
      <c r="W44" s="28">
        <f t="shared" si="5"/>
        <v>0</v>
      </c>
      <c r="X44" s="29">
        <f t="shared" si="5"/>
        <v>0</v>
      </c>
      <c r="Y44" s="24"/>
    </row>
    <row r="45" spans="2:25" ht="15" customHeight="1" x14ac:dyDescent="0.2">
      <c r="B45" s="31">
        <v>41933</v>
      </c>
      <c r="C45" s="33">
        <v>12.635</v>
      </c>
      <c r="D45" s="26">
        <v>7.3010000000000002</v>
      </c>
      <c r="E45" s="16">
        <v>8.2810000000000006</v>
      </c>
      <c r="F45" s="16">
        <v>13.111000000000001</v>
      </c>
      <c r="G45" s="16">
        <v>9.7249999999999996</v>
      </c>
      <c r="H45" s="16">
        <v>10.491</v>
      </c>
      <c r="I45" s="16">
        <v>101.48</v>
      </c>
      <c r="J45" s="58">
        <v>943</v>
      </c>
      <c r="K45" s="18">
        <f t="shared" si="9"/>
        <v>565</v>
      </c>
      <c r="L45" s="19">
        <f t="shared" si="2"/>
        <v>-13.999999999999346</v>
      </c>
      <c r="M45" s="19">
        <f t="shared" si="2"/>
        <v>-8.0000000000000071</v>
      </c>
      <c r="N45" s="19">
        <f t="shared" si="2"/>
        <v>-7.9999999999991189</v>
      </c>
      <c r="O45" s="19">
        <f t="shared" si="6"/>
        <v>-13.999999999999346</v>
      </c>
      <c r="P45" s="19">
        <f t="shared" si="7"/>
        <v>-3.0000000000010019</v>
      </c>
      <c r="Q45" s="19">
        <f t="shared" si="8"/>
        <v>-6.9999999999996732</v>
      </c>
      <c r="R45" s="19">
        <f t="shared" si="2"/>
        <v>-13.999999999995794</v>
      </c>
      <c r="S45" s="27"/>
      <c r="T45" s="28"/>
      <c r="U45" s="28"/>
      <c r="V45" s="28">
        <f t="shared" si="5"/>
        <v>-1.1111111111104953E-2</v>
      </c>
      <c r="W45" s="28">
        <f t="shared" si="5"/>
        <v>0</v>
      </c>
      <c r="X45" s="29">
        <f t="shared" si="5"/>
        <v>1.1111111111104953E-2</v>
      </c>
      <c r="Y45" s="24"/>
    </row>
    <row r="46" spans="2:25" ht="15" customHeight="1" x14ac:dyDescent="0.2">
      <c r="B46" s="31">
        <v>42025</v>
      </c>
      <c r="C46" s="33"/>
      <c r="D46" s="26"/>
      <c r="E46" s="16"/>
      <c r="F46" s="16">
        <v>13.111000000000001</v>
      </c>
      <c r="G46" s="16">
        <v>9.7249999999999996</v>
      </c>
      <c r="H46" s="16">
        <v>10.492000000000001</v>
      </c>
      <c r="I46" s="16">
        <v>101.48</v>
      </c>
      <c r="J46" s="58">
        <v>943</v>
      </c>
      <c r="K46" s="18">
        <f t="shared" si="9"/>
        <v>565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6"/>
        <v>-13.999999999999346</v>
      </c>
      <c r="P46" s="19">
        <f t="shared" si="7"/>
        <v>-3.0000000000010019</v>
      </c>
      <c r="Q46" s="19">
        <f t="shared" si="8"/>
        <v>-5.999999999998451</v>
      </c>
      <c r="R46" s="19">
        <f t="shared" si="2"/>
        <v>-13.999999999995794</v>
      </c>
      <c r="S46" s="27" t="str">
        <f t="shared" si="5"/>
        <v/>
      </c>
      <c r="T46" s="28" t="str">
        <f t="shared" si="5"/>
        <v/>
      </c>
      <c r="U46" s="28" t="str">
        <f t="shared" si="5"/>
        <v/>
      </c>
      <c r="V46" s="28">
        <f t="shared" si="5"/>
        <v>0</v>
      </c>
      <c r="W46" s="28">
        <f t="shared" si="5"/>
        <v>0</v>
      </c>
      <c r="X46" s="29">
        <f t="shared" si="5"/>
        <v>1.0869565217404589E-2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13.11</v>
      </c>
      <c r="G47" s="16">
        <v>9.7260000000000009</v>
      </c>
      <c r="H47" s="16">
        <v>10.493</v>
      </c>
      <c r="I47" s="16">
        <v>101.48099999999999</v>
      </c>
      <c r="J47" s="58">
        <v>943</v>
      </c>
      <c r="K47" s="18">
        <f t="shared" si="9"/>
        <v>565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6"/>
        <v>-15.000000000000568</v>
      </c>
      <c r="P47" s="19">
        <f t="shared" si="7"/>
        <v>-1.9999999999997797</v>
      </c>
      <c r="Q47" s="19">
        <f t="shared" si="8"/>
        <v>-4.9999999999990052</v>
      </c>
      <c r="R47" s="19">
        <f t="shared" si="2"/>
        <v>-13.00000000000523</v>
      </c>
      <c r="S47" s="27" t="str">
        <f t="shared" si="5"/>
        <v/>
      </c>
      <c r="T47" s="28" t="str">
        <f t="shared" si="5"/>
        <v/>
      </c>
      <c r="U47" s="28" t="str">
        <f t="shared" si="5"/>
        <v/>
      </c>
      <c r="V47" s="28">
        <f t="shared" si="5"/>
        <v>-1.1904761904776453E-2</v>
      </c>
      <c r="W47" s="28">
        <f t="shared" si="5"/>
        <v>1.1904761904776453E-2</v>
      </c>
      <c r="X47" s="29">
        <f t="shared" si="5"/>
        <v>1.1904761904755307E-2</v>
      </c>
      <c r="Y47" s="24"/>
    </row>
    <row r="48" spans="2:25" ht="15" customHeight="1" x14ac:dyDescent="0.2">
      <c r="B48" s="31">
        <v>42221</v>
      </c>
      <c r="C48" s="33"/>
      <c r="D48" s="16"/>
      <c r="E48" s="16"/>
      <c r="F48" s="16">
        <v>13.111000000000001</v>
      </c>
      <c r="G48" s="16">
        <v>9.7260000000000009</v>
      </c>
      <c r="H48" s="16">
        <v>10.493</v>
      </c>
      <c r="I48" s="16">
        <v>101.48099999999999</v>
      </c>
      <c r="J48" s="32">
        <v>1253</v>
      </c>
      <c r="K48" s="18">
        <f t="shared" si="9"/>
        <v>875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6"/>
        <v>-13.999999999999346</v>
      </c>
      <c r="P48" s="19">
        <f t="shared" si="7"/>
        <v>-1.9999999999997797</v>
      </c>
      <c r="Q48" s="19">
        <f t="shared" si="8"/>
        <v>-4.9999999999990052</v>
      </c>
      <c r="R48" s="19">
        <f t="shared" si="2"/>
        <v>-13.00000000000523</v>
      </c>
      <c r="S48" s="27" t="str">
        <f t="shared" si="5"/>
        <v/>
      </c>
      <c r="T48" s="28" t="str">
        <f t="shared" si="5"/>
        <v/>
      </c>
      <c r="U48" s="28" t="str">
        <f t="shared" si="5"/>
        <v/>
      </c>
      <c r="V48" s="28">
        <f t="shared" si="5"/>
        <v>8.9285714285823412E-3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42318</v>
      </c>
      <c r="C49" s="33"/>
      <c r="D49" s="16"/>
      <c r="E49" s="16"/>
      <c r="F49" s="16">
        <v>13.109</v>
      </c>
      <c r="G49" s="16">
        <v>9.7260000000000009</v>
      </c>
      <c r="H49" s="16">
        <v>10.492000000000001</v>
      </c>
      <c r="I49" s="16">
        <v>101.48099999999999</v>
      </c>
      <c r="J49" s="32">
        <v>2220</v>
      </c>
      <c r="K49" s="18">
        <f t="shared" ref="K49:K51" si="10">IF(ISBLANK(J49),"",(J49-$J$8))</f>
        <v>1842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6"/>
        <v>-16.000000000000014</v>
      </c>
      <c r="P49" s="19">
        <f t="shared" si="7"/>
        <v>-1.9999999999997797</v>
      </c>
      <c r="Q49" s="19">
        <f t="shared" si="8"/>
        <v>-5.999999999998451</v>
      </c>
      <c r="R49" s="19">
        <f t="shared" si="2"/>
        <v>-13.00000000000523</v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>
        <f t="shared" si="11"/>
        <v>-2.0618556701037814E-2</v>
      </c>
      <c r="W49" s="28">
        <f t="shared" si="11"/>
        <v>0</v>
      </c>
      <c r="X49" s="29">
        <f t="shared" si="11"/>
        <v>-1.030927835050975E-2</v>
      </c>
      <c r="Y49" s="24"/>
    </row>
    <row r="50" spans="2:25" ht="15" customHeight="1" x14ac:dyDescent="0.2">
      <c r="B50" s="31">
        <v>42404</v>
      </c>
      <c r="C50" s="33">
        <v>12.634</v>
      </c>
      <c r="D50" s="26">
        <v>7.3</v>
      </c>
      <c r="E50" s="16">
        <v>8.2799999999999994</v>
      </c>
      <c r="F50" s="16">
        <v>13.108000000000001</v>
      </c>
      <c r="G50" s="16">
        <v>9.7270000000000003</v>
      </c>
      <c r="H50" s="16">
        <v>10.492000000000001</v>
      </c>
      <c r="I50" s="16">
        <v>101.48099999999999</v>
      </c>
      <c r="J50" s="58">
        <v>2484</v>
      </c>
      <c r="K50" s="18">
        <f t="shared" si="10"/>
        <v>2106</v>
      </c>
      <c r="L50" s="19">
        <f t="shared" si="2"/>
        <v>-14.999999999998792</v>
      </c>
      <c r="M50" s="19">
        <f t="shared" si="2"/>
        <v>-9.0000000000003411</v>
      </c>
      <c r="N50" s="19">
        <f t="shared" si="2"/>
        <v>-9.0000000000003411</v>
      </c>
      <c r="O50" s="19">
        <f t="shared" si="6"/>
        <v>-16.99999999999946</v>
      </c>
      <c r="P50" s="19">
        <f t="shared" si="7"/>
        <v>-1.000000000000334</v>
      </c>
      <c r="Q50" s="19">
        <f t="shared" si="8"/>
        <v>-5.999999999998451</v>
      </c>
      <c r="R50" s="19">
        <f t="shared" si="2"/>
        <v>-13.00000000000523</v>
      </c>
      <c r="S50" s="27"/>
      <c r="T50" s="28"/>
      <c r="U50" s="28"/>
      <c r="V50" s="28">
        <f t="shared" si="11"/>
        <v>-1.1627906976737741E-2</v>
      </c>
      <c r="W50" s="28">
        <f t="shared" si="11"/>
        <v>1.1627906976737741E-2</v>
      </c>
      <c r="X50" s="29">
        <f t="shared" si="11"/>
        <v>0</v>
      </c>
      <c r="Y50" s="24"/>
    </row>
    <row r="51" spans="2:25" ht="15" customHeight="1" x14ac:dyDescent="0.2">
      <c r="B51" s="31">
        <v>42529</v>
      </c>
      <c r="C51" s="33"/>
      <c r="D51" s="26"/>
      <c r="E51" s="16"/>
      <c r="F51" s="16">
        <v>13.109</v>
      </c>
      <c r="G51" s="16">
        <v>9.7270000000000003</v>
      </c>
      <c r="H51" s="16">
        <v>10.492000000000001</v>
      </c>
      <c r="I51" s="16">
        <v>101.48099999999999</v>
      </c>
      <c r="J51" s="58">
        <v>2603</v>
      </c>
      <c r="K51" s="18">
        <f t="shared" si="10"/>
        <v>2225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6"/>
        <v>-16.000000000000014</v>
      </c>
      <c r="P51" s="19">
        <f t="shared" si="7"/>
        <v>-1.000000000000334</v>
      </c>
      <c r="Q51" s="19">
        <f t="shared" si="8"/>
        <v>-5.999999999998451</v>
      </c>
      <c r="R51" s="19">
        <f t="shared" si="2"/>
        <v>-13.00000000000523</v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>
        <f t="shared" si="11"/>
        <v>7.9999999999955662E-3</v>
      </c>
      <c r="W51" s="28">
        <f t="shared" si="11"/>
        <v>0</v>
      </c>
      <c r="X51" s="29">
        <f t="shared" si="11"/>
        <v>0</v>
      </c>
      <c r="Y51" s="24"/>
    </row>
    <row r="52" spans="2:25" ht="15" customHeight="1" x14ac:dyDescent="0.2">
      <c r="B52" s="31"/>
      <c r="C52" s="33"/>
      <c r="D52" s="26"/>
      <c r="E52" s="16"/>
      <c r="F52" s="16"/>
      <c r="G52" s="16"/>
      <c r="H52" s="16"/>
      <c r="I52" s="16"/>
      <c r="J52" s="58"/>
      <c r="K52" s="18"/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 t="str">
        <f t="shared" si="6"/>
        <v/>
      </c>
      <c r="P52" s="19" t="str">
        <f t="shared" si="7"/>
        <v/>
      </c>
      <c r="Q52" s="19" t="str">
        <f t="shared" si="8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26"/>
      <c r="E53" s="16"/>
      <c r="F53" s="16"/>
      <c r="G53" s="16"/>
      <c r="H53" s="16"/>
      <c r="I53" s="16"/>
      <c r="J53" s="58"/>
      <c r="K53" s="18"/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 t="str">
        <f t="shared" si="6"/>
        <v/>
      </c>
      <c r="P53" s="19" t="str">
        <f t="shared" si="7"/>
        <v/>
      </c>
      <c r="Q53" s="19" t="str">
        <f t="shared" si="8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 t="str">
        <f t="shared" si="6"/>
        <v/>
      </c>
      <c r="P54" s="19" t="str">
        <f t="shared" si="7"/>
        <v/>
      </c>
      <c r="Q54" s="19" t="str">
        <f t="shared" si="8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 t="str">
        <f t="shared" si="6"/>
        <v/>
      </c>
      <c r="P55" s="19" t="str">
        <f t="shared" si="7"/>
        <v/>
      </c>
      <c r="Q55" s="19" t="str">
        <f t="shared" si="8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6"/>
        <v/>
      </c>
      <c r="P56" s="19" t="str">
        <f t="shared" si="7"/>
        <v/>
      </c>
      <c r="Q56" s="19" t="str">
        <f t="shared" si="8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6"/>
        <v/>
      </c>
      <c r="P57" s="19" t="str">
        <f t="shared" si="7"/>
        <v/>
      </c>
      <c r="Q57" s="19" t="str">
        <f t="shared" si="8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6"/>
        <v/>
      </c>
      <c r="P58" s="19" t="str">
        <f t="shared" si="7"/>
        <v/>
      </c>
      <c r="Q58" s="19" t="str">
        <f t="shared" si="8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6"/>
        <v/>
      </c>
      <c r="P59" s="19" t="str">
        <f t="shared" si="7"/>
        <v/>
      </c>
      <c r="Q59" s="19" t="str">
        <f t="shared" si="8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6"/>
        <v/>
      </c>
      <c r="P60" s="19" t="str">
        <f t="shared" si="7"/>
        <v/>
      </c>
      <c r="Q60" s="19" t="str">
        <f t="shared" si="8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6"/>
        <v/>
      </c>
      <c r="P61" s="19" t="str">
        <f t="shared" si="7"/>
        <v/>
      </c>
      <c r="Q61" s="19" t="str">
        <f t="shared" si="8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6"/>
        <v/>
      </c>
      <c r="P62" s="19" t="str">
        <f t="shared" si="7"/>
        <v/>
      </c>
      <c r="Q62" s="19" t="str">
        <f t="shared" si="8"/>
        <v/>
      </c>
      <c r="R62" s="19" t="str">
        <f t="shared" ref="R62:R93" si="12">IF(ISBLANK(I62),"",(I62-I$16)*1000)</f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3">IF(ISBLANK(C63),"",(C63-C$16)*1000)</f>
        <v/>
      </c>
      <c r="M63" s="19" t="str">
        <f t="shared" ref="M63:M94" si="14">IF(ISBLANK(D63),"",(D63-D$16)*1000)</f>
        <v/>
      </c>
      <c r="N63" s="19" t="str">
        <f t="shared" ref="N63:N94" si="15">IF(ISBLANK(E63),"",(E63-E$16)*1000)</f>
        <v/>
      </c>
      <c r="O63" s="19" t="str">
        <f t="shared" si="6"/>
        <v/>
      </c>
      <c r="P63" s="19" t="str">
        <f t="shared" si="7"/>
        <v/>
      </c>
      <c r="Q63" s="19" t="str">
        <f t="shared" si="8"/>
        <v/>
      </c>
      <c r="R63" s="19" t="str">
        <f t="shared" si="1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3"/>
        <v/>
      </c>
      <c r="M64" s="19" t="str">
        <f t="shared" si="14"/>
        <v/>
      </c>
      <c r="N64" s="19" t="str">
        <f t="shared" si="15"/>
        <v/>
      </c>
      <c r="O64" s="19" t="str">
        <f t="shared" si="6"/>
        <v/>
      </c>
      <c r="P64" s="19" t="str">
        <f t="shared" si="7"/>
        <v/>
      </c>
      <c r="Q64" s="19" t="str">
        <f t="shared" si="8"/>
        <v/>
      </c>
      <c r="R64" s="19" t="str">
        <f t="shared" si="1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3"/>
        <v/>
      </c>
      <c r="M65" s="19" t="str">
        <f t="shared" si="14"/>
        <v/>
      </c>
      <c r="N65" s="19" t="str">
        <f t="shared" si="15"/>
        <v/>
      </c>
      <c r="O65" s="19" t="str">
        <f t="shared" si="6"/>
        <v/>
      </c>
      <c r="P65" s="19" t="str">
        <f t="shared" si="7"/>
        <v/>
      </c>
      <c r="Q65" s="19" t="str">
        <f t="shared" si="8"/>
        <v/>
      </c>
      <c r="R65" s="19" t="str">
        <f t="shared" si="12"/>
        <v/>
      </c>
      <c r="S65" s="27" t="str">
        <f t="shared" ref="S65:X80" si="16">IF(C65="","",((C65-C64)*1000)/($B65-$B64))</f>
        <v/>
      </c>
      <c r="T65" s="28" t="str">
        <f t="shared" si="16"/>
        <v/>
      </c>
      <c r="U65" s="28" t="str">
        <f t="shared" si="16"/>
        <v/>
      </c>
      <c r="V65" s="28" t="str">
        <f t="shared" si="16"/>
        <v/>
      </c>
      <c r="W65" s="28" t="str">
        <f t="shared" si="16"/>
        <v/>
      </c>
      <c r="X65" s="29" t="str">
        <f t="shared" si="1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3"/>
        <v/>
      </c>
      <c r="M66" s="19" t="str">
        <f t="shared" si="14"/>
        <v/>
      </c>
      <c r="N66" s="19" t="str">
        <f t="shared" si="15"/>
        <v/>
      </c>
      <c r="O66" s="19" t="str">
        <f t="shared" si="6"/>
        <v/>
      </c>
      <c r="P66" s="19" t="str">
        <f t="shared" si="7"/>
        <v/>
      </c>
      <c r="Q66" s="19" t="str">
        <f t="shared" si="8"/>
        <v/>
      </c>
      <c r="R66" s="19" t="str">
        <f t="shared" si="12"/>
        <v/>
      </c>
      <c r="S66" s="27" t="str">
        <f t="shared" si="16"/>
        <v/>
      </c>
      <c r="T66" s="28" t="str">
        <f t="shared" si="16"/>
        <v/>
      </c>
      <c r="U66" s="28" t="str">
        <f t="shared" si="16"/>
        <v/>
      </c>
      <c r="V66" s="28" t="str">
        <f t="shared" si="16"/>
        <v/>
      </c>
      <c r="W66" s="28" t="str">
        <f t="shared" si="16"/>
        <v/>
      </c>
      <c r="X66" s="29" t="str">
        <f t="shared" si="1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3"/>
        <v/>
      </c>
      <c r="M67" s="19" t="str">
        <f t="shared" si="14"/>
        <v/>
      </c>
      <c r="N67" s="19" t="str">
        <f t="shared" si="15"/>
        <v/>
      </c>
      <c r="O67" s="19" t="str">
        <f t="shared" si="6"/>
        <v/>
      </c>
      <c r="P67" s="19" t="str">
        <f t="shared" si="7"/>
        <v/>
      </c>
      <c r="Q67" s="19" t="str">
        <f t="shared" si="8"/>
        <v/>
      </c>
      <c r="R67" s="19" t="str">
        <f t="shared" si="12"/>
        <v/>
      </c>
      <c r="S67" s="27" t="str">
        <f t="shared" si="16"/>
        <v/>
      </c>
      <c r="T67" s="28" t="str">
        <f t="shared" si="16"/>
        <v/>
      </c>
      <c r="U67" s="28" t="str">
        <f t="shared" si="16"/>
        <v/>
      </c>
      <c r="V67" s="28" t="str">
        <f t="shared" si="16"/>
        <v/>
      </c>
      <c r="W67" s="28" t="str">
        <f t="shared" si="16"/>
        <v/>
      </c>
      <c r="X67" s="29" t="str">
        <f t="shared" si="1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3"/>
        <v/>
      </c>
      <c r="M68" s="19" t="str">
        <f t="shared" si="14"/>
        <v/>
      </c>
      <c r="N68" s="19" t="str">
        <f t="shared" si="15"/>
        <v/>
      </c>
      <c r="O68" s="19" t="str">
        <f t="shared" si="6"/>
        <v/>
      </c>
      <c r="P68" s="19" t="str">
        <f t="shared" si="7"/>
        <v/>
      </c>
      <c r="Q68" s="19" t="str">
        <f t="shared" si="8"/>
        <v/>
      </c>
      <c r="R68" s="19" t="str">
        <f t="shared" si="12"/>
        <v/>
      </c>
      <c r="S68" s="27" t="str">
        <f t="shared" si="16"/>
        <v/>
      </c>
      <c r="T68" s="28" t="str">
        <f t="shared" si="16"/>
        <v/>
      </c>
      <c r="U68" s="28" t="str">
        <f t="shared" si="16"/>
        <v/>
      </c>
      <c r="V68" s="28" t="str">
        <f t="shared" si="16"/>
        <v/>
      </c>
      <c r="W68" s="28" t="str">
        <f t="shared" si="16"/>
        <v/>
      </c>
      <c r="X68" s="29" t="str">
        <f t="shared" si="1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3"/>
        <v/>
      </c>
      <c r="M69" s="19" t="str">
        <f t="shared" si="14"/>
        <v/>
      </c>
      <c r="N69" s="19" t="str">
        <f t="shared" si="15"/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2"/>
        <v/>
      </c>
      <c r="S69" s="27" t="str">
        <f t="shared" si="16"/>
        <v/>
      </c>
      <c r="T69" s="28" t="str">
        <f t="shared" si="16"/>
        <v/>
      </c>
      <c r="U69" s="28" t="str">
        <f t="shared" si="16"/>
        <v/>
      </c>
      <c r="V69" s="28" t="str">
        <f t="shared" si="16"/>
        <v/>
      </c>
      <c r="W69" s="28" t="str">
        <f t="shared" si="16"/>
        <v/>
      </c>
      <c r="X69" s="29" t="str">
        <f t="shared" si="1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3"/>
        <v/>
      </c>
      <c r="M70" s="19" t="str">
        <f t="shared" si="14"/>
        <v/>
      </c>
      <c r="N70" s="19" t="str">
        <f t="shared" si="15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2"/>
        <v/>
      </c>
      <c r="S70" s="27" t="str">
        <f t="shared" si="16"/>
        <v/>
      </c>
      <c r="T70" s="28" t="str">
        <f t="shared" si="16"/>
        <v/>
      </c>
      <c r="U70" s="28" t="str">
        <f t="shared" si="16"/>
        <v/>
      </c>
      <c r="V70" s="28" t="str">
        <f t="shared" si="16"/>
        <v/>
      </c>
      <c r="W70" s="28" t="str">
        <f t="shared" si="16"/>
        <v/>
      </c>
      <c r="X70" s="29" t="str">
        <f t="shared" si="1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3"/>
        <v/>
      </c>
      <c r="M71" s="19" t="str">
        <f t="shared" si="14"/>
        <v/>
      </c>
      <c r="N71" s="19" t="str">
        <f t="shared" si="15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2"/>
        <v/>
      </c>
      <c r="S71" s="27" t="str">
        <f t="shared" si="16"/>
        <v/>
      </c>
      <c r="T71" s="28" t="str">
        <f t="shared" si="16"/>
        <v/>
      </c>
      <c r="U71" s="28" t="str">
        <f t="shared" si="16"/>
        <v/>
      </c>
      <c r="V71" s="28" t="str">
        <f t="shared" si="16"/>
        <v/>
      </c>
      <c r="W71" s="28" t="str">
        <f t="shared" si="16"/>
        <v/>
      </c>
      <c r="X71" s="29" t="str">
        <f t="shared" si="1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3"/>
        <v/>
      </c>
      <c r="M72" s="19" t="str">
        <f t="shared" si="14"/>
        <v/>
      </c>
      <c r="N72" s="19" t="str">
        <f t="shared" si="15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2"/>
        <v/>
      </c>
      <c r="S72" s="27" t="str">
        <f t="shared" si="16"/>
        <v/>
      </c>
      <c r="T72" s="28" t="str">
        <f t="shared" si="16"/>
        <v/>
      </c>
      <c r="U72" s="28" t="str">
        <f t="shared" si="16"/>
        <v/>
      </c>
      <c r="V72" s="28" t="str">
        <f t="shared" si="16"/>
        <v/>
      </c>
      <c r="W72" s="28" t="str">
        <f t="shared" si="16"/>
        <v/>
      </c>
      <c r="X72" s="29" t="str">
        <f t="shared" si="1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3"/>
        <v/>
      </c>
      <c r="M73" s="19" t="str">
        <f t="shared" si="14"/>
        <v/>
      </c>
      <c r="N73" s="19" t="str">
        <f t="shared" si="15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2"/>
        <v/>
      </c>
      <c r="S73" s="27" t="str">
        <f t="shared" si="16"/>
        <v/>
      </c>
      <c r="T73" s="28" t="str">
        <f t="shared" si="16"/>
        <v/>
      </c>
      <c r="U73" s="28" t="str">
        <f t="shared" si="16"/>
        <v/>
      </c>
      <c r="V73" s="28" t="str">
        <f t="shared" si="16"/>
        <v/>
      </c>
      <c r="W73" s="28" t="str">
        <f t="shared" si="16"/>
        <v/>
      </c>
      <c r="X73" s="29" t="str">
        <f t="shared" si="1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3"/>
        <v/>
      </c>
      <c r="M74" s="19" t="str">
        <f t="shared" si="14"/>
        <v/>
      </c>
      <c r="N74" s="19" t="str">
        <f t="shared" si="15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2"/>
        <v/>
      </c>
      <c r="S74" s="27" t="str">
        <f t="shared" si="16"/>
        <v/>
      </c>
      <c r="T74" s="28" t="str">
        <f t="shared" si="16"/>
        <v/>
      </c>
      <c r="U74" s="28" t="str">
        <f t="shared" si="16"/>
        <v/>
      </c>
      <c r="V74" s="28" t="str">
        <f t="shared" si="16"/>
        <v/>
      </c>
      <c r="W74" s="28" t="str">
        <f t="shared" si="16"/>
        <v/>
      </c>
      <c r="X74" s="29" t="str">
        <f t="shared" si="1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3"/>
        <v/>
      </c>
      <c r="M75" s="19" t="str">
        <f t="shared" si="14"/>
        <v/>
      </c>
      <c r="N75" s="19" t="str">
        <f t="shared" si="15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2"/>
        <v/>
      </c>
      <c r="S75" s="27" t="str">
        <f t="shared" si="16"/>
        <v/>
      </c>
      <c r="T75" s="28" t="str">
        <f t="shared" si="16"/>
        <v/>
      </c>
      <c r="U75" s="28" t="str">
        <f t="shared" si="16"/>
        <v/>
      </c>
      <c r="V75" s="28" t="str">
        <f t="shared" si="16"/>
        <v/>
      </c>
      <c r="W75" s="28" t="str">
        <f t="shared" si="16"/>
        <v/>
      </c>
      <c r="X75" s="29" t="str">
        <f t="shared" si="1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3"/>
        <v/>
      </c>
      <c r="M76" s="19" t="str">
        <f t="shared" si="14"/>
        <v/>
      </c>
      <c r="N76" s="19" t="str">
        <f t="shared" si="15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2"/>
        <v/>
      </c>
      <c r="S76" s="27" t="str">
        <f t="shared" si="16"/>
        <v/>
      </c>
      <c r="T76" s="28" t="str">
        <f t="shared" si="16"/>
        <v/>
      </c>
      <c r="U76" s="28" t="str">
        <f t="shared" si="16"/>
        <v/>
      </c>
      <c r="V76" s="28" t="str">
        <f t="shared" si="16"/>
        <v/>
      </c>
      <c r="W76" s="28" t="str">
        <f t="shared" si="16"/>
        <v/>
      </c>
      <c r="X76" s="29" t="str">
        <f t="shared" si="1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3"/>
        <v/>
      </c>
      <c r="M77" s="19" t="str">
        <f t="shared" si="14"/>
        <v/>
      </c>
      <c r="N77" s="19" t="str">
        <f t="shared" si="15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2"/>
        <v/>
      </c>
      <c r="S77" s="27" t="str">
        <f t="shared" si="16"/>
        <v/>
      </c>
      <c r="T77" s="28" t="str">
        <f t="shared" si="16"/>
        <v/>
      </c>
      <c r="U77" s="28" t="str">
        <f t="shared" si="16"/>
        <v/>
      </c>
      <c r="V77" s="28" t="str">
        <f t="shared" si="16"/>
        <v/>
      </c>
      <c r="W77" s="28" t="str">
        <f t="shared" si="16"/>
        <v/>
      </c>
      <c r="X77" s="29" t="str">
        <f t="shared" si="1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3"/>
        <v/>
      </c>
      <c r="M78" s="19" t="str">
        <f t="shared" si="14"/>
        <v/>
      </c>
      <c r="N78" s="19" t="str">
        <f t="shared" si="15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2"/>
        <v/>
      </c>
      <c r="S78" s="27" t="str">
        <f t="shared" si="16"/>
        <v/>
      </c>
      <c r="T78" s="28" t="str">
        <f t="shared" si="16"/>
        <v/>
      </c>
      <c r="U78" s="28" t="str">
        <f t="shared" si="16"/>
        <v/>
      </c>
      <c r="V78" s="28" t="str">
        <f t="shared" si="16"/>
        <v/>
      </c>
      <c r="W78" s="28" t="str">
        <f t="shared" si="16"/>
        <v/>
      </c>
      <c r="X78" s="29" t="str">
        <f t="shared" si="1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3"/>
        <v/>
      </c>
      <c r="M79" s="19" t="str">
        <f t="shared" si="14"/>
        <v/>
      </c>
      <c r="N79" s="19" t="str">
        <f t="shared" si="15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2"/>
        <v/>
      </c>
      <c r="S79" s="27" t="str">
        <f t="shared" si="16"/>
        <v/>
      </c>
      <c r="T79" s="28" t="str">
        <f t="shared" si="16"/>
        <v/>
      </c>
      <c r="U79" s="28" t="str">
        <f t="shared" si="16"/>
        <v/>
      </c>
      <c r="V79" s="28" t="str">
        <f t="shared" si="16"/>
        <v/>
      </c>
      <c r="W79" s="28" t="str">
        <f t="shared" si="16"/>
        <v/>
      </c>
      <c r="X79" s="29" t="str">
        <f t="shared" si="1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3"/>
        <v/>
      </c>
      <c r="M80" s="19" t="str">
        <f t="shared" si="14"/>
        <v/>
      </c>
      <c r="N80" s="19" t="str">
        <f t="shared" si="15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2"/>
        <v/>
      </c>
      <c r="S80" s="27" t="str">
        <f t="shared" si="16"/>
        <v/>
      </c>
      <c r="T80" s="28" t="str">
        <f t="shared" si="16"/>
        <v/>
      </c>
      <c r="U80" s="28" t="str">
        <f t="shared" si="16"/>
        <v/>
      </c>
      <c r="V80" s="28" t="str">
        <f t="shared" si="16"/>
        <v/>
      </c>
      <c r="W80" s="28" t="str">
        <f t="shared" si="16"/>
        <v/>
      </c>
      <c r="X80" s="29" t="str">
        <f t="shared" si="1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3"/>
        <v/>
      </c>
      <c r="M81" s="19" t="str">
        <f t="shared" si="14"/>
        <v/>
      </c>
      <c r="N81" s="19" t="str">
        <f t="shared" si="15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2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3"/>
        <v/>
      </c>
      <c r="M82" s="19" t="str">
        <f t="shared" si="14"/>
        <v/>
      </c>
      <c r="N82" s="19" t="str">
        <f t="shared" si="15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2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3"/>
        <v/>
      </c>
      <c r="M83" s="19" t="str">
        <f t="shared" si="14"/>
        <v/>
      </c>
      <c r="N83" s="19" t="str">
        <f t="shared" si="15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2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3"/>
        <v/>
      </c>
      <c r="M84" s="19" t="str">
        <f t="shared" si="14"/>
        <v/>
      </c>
      <c r="N84" s="19" t="str">
        <f t="shared" si="15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2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3"/>
        <v/>
      </c>
      <c r="M85" s="19" t="str">
        <f t="shared" si="14"/>
        <v/>
      </c>
      <c r="N85" s="19" t="str">
        <f t="shared" si="15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2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3"/>
        <v/>
      </c>
      <c r="M86" s="19" t="str">
        <f t="shared" si="14"/>
        <v/>
      </c>
      <c r="N86" s="19" t="str">
        <f t="shared" si="15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2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3"/>
        <v/>
      </c>
      <c r="M87" s="19" t="str">
        <f t="shared" si="14"/>
        <v/>
      </c>
      <c r="N87" s="19" t="str">
        <f t="shared" si="15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2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3"/>
        <v/>
      </c>
      <c r="M88" s="19" t="str">
        <f t="shared" si="14"/>
        <v/>
      </c>
      <c r="N88" s="19" t="str">
        <f t="shared" si="15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2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3"/>
        <v/>
      </c>
      <c r="M89" s="19" t="str">
        <f t="shared" si="14"/>
        <v/>
      </c>
      <c r="N89" s="19" t="str">
        <f t="shared" si="15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2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3"/>
        <v/>
      </c>
      <c r="M90" s="19" t="str">
        <f t="shared" si="14"/>
        <v/>
      </c>
      <c r="N90" s="19" t="str">
        <f t="shared" si="15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2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3"/>
        <v/>
      </c>
      <c r="M91" s="19" t="str">
        <f t="shared" si="14"/>
        <v/>
      </c>
      <c r="N91" s="19" t="str">
        <f t="shared" si="15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2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3"/>
        <v/>
      </c>
      <c r="M92" s="19" t="str">
        <f t="shared" si="14"/>
        <v/>
      </c>
      <c r="N92" s="19" t="str">
        <f t="shared" si="15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2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3"/>
        <v/>
      </c>
      <c r="M93" s="19" t="str">
        <f t="shared" si="14"/>
        <v/>
      </c>
      <c r="N93" s="19" t="str">
        <f t="shared" si="15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2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3"/>
        <v/>
      </c>
      <c r="M94" s="19" t="str">
        <f t="shared" si="14"/>
        <v/>
      </c>
      <c r="N94" s="19" t="str">
        <f t="shared" si="15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ref="O99:O153" si="23">IF(ISBLANK(F99),"",((F99-F$34)*1000)+L$34)</f>
        <v/>
      </c>
      <c r="P99" s="19" t="str">
        <f t="shared" ref="P99:P153" si="24">IF(ISBLANK(G99),"",((G99-G$34)*1000)+M$34)</f>
        <v/>
      </c>
      <c r="Q99" s="19" t="str">
        <f t="shared" ref="Q99:Q153" si="25">IF(ISBLANK(H99),"",((H99-H$34)*1000)+N$34)</f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3"/>
        <v/>
      </c>
      <c r="P100" s="19" t="str">
        <f t="shared" si="24"/>
        <v/>
      </c>
      <c r="Q100" s="19" t="str">
        <f t="shared" si="25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3"/>
        <v/>
      </c>
      <c r="P101" s="19" t="str">
        <f t="shared" si="24"/>
        <v/>
      </c>
      <c r="Q101" s="19" t="str">
        <f t="shared" si="25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3"/>
        <v/>
      </c>
      <c r="P102" s="19" t="str">
        <f t="shared" si="24"/>
        <v/>
      </c>
      <c r="Q102" s="19" t="str">
        <f t="shared" si="25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3"/>
        <v/>
      </c>
      <c r="P103" s="19" t="str">
        <f t="shared" si="24"/>
        <v/>
      </c>
      <c r="Q103" s="19" t="str">
        <f t="shared" si="25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3"/>
        <v/>
      </c>
      <c r="P104" s="19" t="str">
        <f t="shared" si="24"/>
        <v/>
      </c>
      <c r="Q104" s="19" t="str">
        <f t="shared" si="25"/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6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TZ-14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39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41670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 t="s">
        <v>40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41671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49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155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413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41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41673</v>
      </c>
      <c r="C16" s="35">
        <v>12.986000000000001</v>
      </c>
      <c r="D16" s="36">
        <v>8.1379999999999999</v>
      </c>
      <c r="E16" s="36">
        <v>8.1859999999999999</v>
      </c>
      <c r="F16" s="37"/>
      <c r="G16" s="37"/>
      <c r="H16" s="37"/>
      <c r="I16" s="38">
        <v>102.462</v>
      </c>
      <c r="J16" s="39">
        <v>430</v>
      </c>
      <c r="K16" s="53">
        <f t="shared" ref="K16:K22" si="0">IF(ISBLANK(J16),"",(J16-$J$8))</f>
        <v>17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41674</v>
      </c>
      <c r="C17" s="25">
        <v>12.981999999999999</v>
      </c>
      <c r="D17" s="26">
        <v>8.1370000000000005</v>
      </c>
      <c r="E17" s="26">
        <v>8.1829999999999998</v>
      </c>
      <c r="F17" s="16"/>
      <c r="G17" s="16"/>
      <c r="H17" s="16"/>
      <c r="I17" s="17">
        <v>102.46</v>
      </c>
      <c r="J17" s="32">
        <v>438</v>
      </c>
      <c r="K17" s="18">
        <f t="shared" si="0"/>
        <v>25</v>
      </c>
      <c r="L17" s="19">
        <f t="shared" ref="L17:R62" si="2">IF(ISBLANK(C17),"",(C17-C$16)*1000)</f>
        <v>-4.0000000000013358</v>
      </c>
      <c r="M17" s="19">
        <f t="shared" si="2"/>
        <v>-0.99999999999944578</v>
      </c>
      <c r="N17" s="19">
        <f t="shared" si="2"/>
        <v>-3.0000000000001137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-2.0000000000095497</v>
      </c>
      <c r="S17" s="27">
        <f t="shared" ref="S17:X32" si="3">IF(C17="","",((C17-C16)*1000)/($B17-$B16))</f>
        <v>-4.0000000000013358</v>
      </c>
      <c r="T17" s="28">
        <f t="shared" si="3"/>
        <v>-0.99999999999944578</v>
      </c>
      <c r="U17" s="28">
        <f t="shared" si="3"/>
        <v>-3.0000000000001137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41675</v>
      </c>
      <c r="C18" s="25">
        <v>12.983000000000001</v>
      </c>
      <c r="D18" s="26">
        <v>8.1370000000000005</v>
      </c>
      <c r="E18" s="26">
        <v>8.1829999999999998</v>
      </c>
      <c r="F18" s="16"/>
      <c r="G18" s="16"/>
      <c r="H18" s="16"/>
      <c r="I18" s="17">
        <v>102.46</v>
      </c>
      <c r="J18" s="32">
        <v>446</v>
      </c>
      <c r="K18" s="18">
        <f t="shared" si="0"/>
        <v>33</v>
      </c>
      <c r="L18" s="19">
        <f t="shared" si="2"/>
        <v>-3.0000000000001137</v>
      </c>
      <c r="M18" s="19">
        <f t="shared" si="2"/>
        <v>-0.99999999999944578</v>
      </c>
      <c r="N18" s="19">
        <f t="shared" si="2"/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1.0000000000012221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41676</v>
      </c>
      <c r="C19" s="25">
        <v>12.984</v>
      </c>
      <c r="D19" s="26">
        <v>8.1379999999999999</v>
      </c>
      <c r="E19" s="26">
        <v>8.1839999999999993</v>
      </c>
      <c r="F19" s="16"/>
      <c r="G19" s="16"/>
      <c r="H19" s="16"/>
      <c r="I19" s="17">
        <v>102.46</v>
      </c>
      <c r="J19" s="32">
        <v>453</v>
      </c>
      <c r="K19" s="18">
        <f t="shared" si="0"/>
        <v>40</v>
      </c>
      <c r="L19" s="19">
        <f t="shared" si="2"/>
        <v>-2.0000000000006679</v>
      </c>
      <c r="M19" s="19">
        <f t="shared" si="2"/>
        <v>0</v>
      </c>
      <c r="N19" s="19">
        <f t="shared" si="2"/>
        <v>-2.0000000000006679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0.99999999999944578</v>
      </c>
      <c r="T19" s="28">
        <f t="shared" si="3"/>
        <v>0.99999999999944578</v>
      </c>
      <c r="U19" s="28">
        <f t="shared" si="3"/>
        <v>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41677</v>
      </c>
      <c r="C20" s="25">
        <v>12.984</v>
      </c>
      <c r="D20" s="26">
        <v>8.1370000000000005</v>
      </c>
      <c r="E20" s="26">
        <v>8.1839999999999993</v>
      </c>
      <c r="F20" s="16"/>
      <c r="G20" s="16"/>
      <c r="H20" s="16"/>
      <c r="I20" s="17">
        <v>102.46</v>
      </c>
      <c r="J20" s="32">
        <v>456</v>
      </c>
      <c r="K20" s="18">
        <f t="shared" si="0"/>
        <v>43</v>
      </c>
      <c r="L20" s="19">
        <f t="shared" si="2"/>
        <v>-2.0000000000006679</v>
      </c>
      <c r="M20" s="19">
        <f t="shared" si="2"/>
        <v>-0.99999999999944578</v>
      </c>
      <c r="N20" s="19">
        <f t="shared" si="2"/>
        <v>-2.0000000000006679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41680</v>
      </c>
      <c r="C21" s="25">
        <v>12.984999999999999</v>
      </c>
      <c r="D21" s="26">
        <v>8.1370000000000005</v>
      </c>
      <c r="E21" s="26">
        <v>8.1839999999999993</v>
      </c>
      <c r="F21" s="16"/>
      <c r="G21" s="16"/>
      <c r="H21" s="16"/>
      <c r="I21" s="17">
        <v>102.459</v>
      </c>
      <c r="J21" s="32">
        <v>460</v>
      </c>
      <c r="K21" s="18">
        <f t="shared" si="0"/>
        <v>47</v>
      </c>
      <c r="L21" s="19">
        <f t="shared" si="2"/>
        <v>-1.0000000000012221</v>
      </c>
      <c r="M21" s="19">
        <f t="shared" si="2"/>
        <v>-0.99999999999944578</v>
      </c>
      <c r="N21" s="19">
        <f t="shared" si="2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0.33333333333314857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41681</v>
      </c>
      <c r="C22" s="25">
        <v>12.984999999999999</v>
      </c>
      <c r="D22" s="26">
        <v>8.1370000000000005</v>
      </c>
      <c r="E22" s="26">
        <v>8.1839999999999993</v>
      </c>
      <c r="F22" s="16"/>
      <c r="G22" s="16"/>
      <c r="H22" s="16"/>
      <c r="I22" s="17">
        <v>102.459</v>
      </c>
      <c r="J22" s="32">
        <v>464.5</v>
      </c>
      <c r="K22" s="18">
        <f t="shared" si="0"/>
        <v>51.5</v>
      </c>
      <c r="L22" s="19">
        <f t="shared" si="2"/>
        <v>-1.0000000000012221</v>
      </c>
      <c r="M22" s="19">
        <f t="shared" si="2"/>
        <v>-0.99999999999944578</v>
      </c>
      <c r="N22" s="19">
        <f t="shared" si="2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-3.0000000000001137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41682</v>
      </c>
      <c r="C23" s="25">
        <v>12.984999999999999</v>
      </c>
      <c r="D23" s="26">
        <v>8.1359999999999992</v>
      </c>
      <c r="E23" s="26">
        <v>8.1839999999999993</v>
      </c>
      <c r="F23" s="16"/>
      <c r="G23" s="16"/>
      <c r="H23" s="16"/>
      <c r="I23" s="17">
        <v>102.458</v>
      </c>
      <c r="J23" s="32">
        <v>469</v>
      </c>
      <c r="K23" s="18">
        <f t="shared" ref="K23:K31" si="4">IF(ISBLANK(J23),"",(J23-$J$8))</f>
        <v>56</v>
      </c>
      <c r="L23" s="19">
        <f t="shared" si="2"/>
        <v>-1.0000000000012221</v>
      </c>
      <c r="M23" s="19">
        <f t="shared" si="2"/>
        <v>-2.0000000000006679</v>
      </c>
      <c r="N23" s="19">
        <f t="shared" si="2"/>
        <v>-2.0000000000006679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-1.0000000000012221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41683</v>
      </c>
      <c r="C24" s="25">
        <v>12.984999999999999</v>
      </c>
      <c r="D24" s="26">
        <v>8.1359999999999992</v>
      </c>
      <c r="E24" s="26">
        <v>8.1839999999999993</v>
      </c>
      <c r="F24" s="16"/>
      <c r="G24" s="16"/>
      <c r="H24" s="16"/>
      <c r="I24" s="17">
        <v>102.458</v>
      </c>
      <c r="J24" s="32">
        <v>472</v>
      </c>
      <c r="K24" s="18">
        <f t="shared" si="4"/>
        <v>59</v>
      </c>
      <c r="L24" s="19">
        <f t="shared" si="2"/>
        <v>-1.0000000000012221</v>
      </c>
      <c r="M24" s="19">
        <f t="shared" si="2"/>
        <v>-2.0000000000006679</v>
      </c>
      <c r="N24" s="19">
        <f t="shared" si="2"/>
        <v>-2.0000000000006679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-4.0000000000048885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41684</v>
      </c>
      <c r="C25" s="25">
        <v>12.984999999999999</v>
      </c>
      <c r="D25" s="26">
        <v>8.1349999999999998</v>
      </c>
      <c r="E25" s="26">
        <v>8.1839999999999993</v>
      </c>
      <c r="F25" s="16"/>
      <c r="G25" s="16"/>
      <c r="H25" s="16"/>
      <c r="I25" s="17">
        <v>102.458</v>
      </c>
      <c r="J25" s="32">
        <v>477</v>
      </c>
      <c r="K25" s="18">
        <f t="shared" si="4"/>
        <v>64</v>
      </c>
      <c r="L25" s="19">
        <f t="shared" si="2"/>
        <v>-1.0000000000012221</v>
      </c>
      <c r="M25" s="19">
        <f t="shared" si="2"/>
        <v>-3.0000000000001137</v>
      </c>
      <c r="N25" s="19">
        <f t="shared" si="2"/>
        <v>-2.0000000000006679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-4.0000000000048885</v>
      </c>
      <c r="S25" s="27">
        <f t="shared" si="3"/>
        <v>0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41687</v>
      </c>
      <c r="C26" s="25">
        <v>12.984</v>
      </c>
      <c r="D26" s="26">
        <v>8.1340000000000003</v>
      </c>
      <c r="E26" s="26">
        <v>8.1839999999999993</v>
      </c>
      <c r="F26" s="16"/>
      <c r="G26" s="16"/>
      <c r="H26" s="16"/>
      <c r="I26" s="17">
        <v>102.458</v>
      </c>
      <c r="J26" s="32">
        <v>485</v>
      </c>
      <c r="K26" s="18">
        <f t="shared" si="4"/>
        <v>72</v>
      </c>
      <c r="L26" s="19">
        <f t="shared" si="2"/>
        <v>-2.0000000000006679</v>
      </c>
      <c r="M26" s="19">
        <f t="shared" si="2"/>
        <v>-3.9999999999995595</v>
      </c>
      <c r="N26" s="19">
        <f t="shared" si="2"/>
        <v>-2.0000000000006679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-4.0000000000048885</v>
      </c>
      <c r="S26" s="27">
        <f t="shared" si="3"/>
        <v>-0.33333333333314857</v>
      </c>
      <c r="T26" s="28">
        <f t="shared" si="3"/>
        <v>-0.33333333333314857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41688</v>
      </c>
      <c r="C27" s="25">
        <v>12.984</v>
      </c>
      <c r="D27" s="26">
        <v>8.1340000000000003</v>
      </c>
      <c r="E27" s="26">
        <v>8.1839999999999993</v>
      </c>
      <c r="F27" s="16"/>
      <c r="G27" s="16"/>
      <c r="H27" s="16"/>
      <c r="I27" s="17">
        <v>102.458</v>
      </c>
      <c r="J27" s="32">
        <v>492</v>
      </c>
      <c r="K27" s="18">
        <f t="shared" si="4"/>
        <v>79</v>
      </c>
      <c r="L27" s="19">
        <f t="shared" si="2"/>
        <v>-2.0000000000006679</v>
      </c>
      <c r="M27" s="19">
        <f t="shared" si="2"/>
        <v>-3.9999999999995595</v>
      </c>
      <c r="N27" s="19">
        <f t="shared" si="2"/>
        <v>-2.0000000000006679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-4.0000000000048885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41689</v>
      </c>
      <c r="C28" s="25">
        <v>12.983000000000001</v>
      </c>
      <c r="D28" s="26">
        <v>8.1329999999999991</v>
      </c>
      <c r="E28" s="26">
        <v>8.1839999999999993</v>
      </c>
      <c r="F28" s="16"/>
      <c r="G28" s="16"/>
      <c r="H28" s="16"/>
      <c r="I28" s="17">
        <v>102.458</v>
      </c>
      <c r="J28" s="32">
        <v>502</v>
      </c>
      <c r="K28" s="18">
        <f t="shared" si="4"/>
        <v>89</v>
      </c>
      <c r="L28" s="19">
        <f t="shared" si="2"/>
        <v>-3.0000000000001137</v>
      </c>
      <c r="M28" s="19">
        <f t="shared" si="2"/>
        <v>-5.0000000000007816</v>
      </c>
      <c r="N28" s="19">
        <f t="shared" si="2"/>
        <v>-2.0000000000006679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-0.99999999999944578</v>
      </c>
      <c r="T28" s="28">
        <f t="shared" si="3"/>
        <v>-1.0000000000012221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41690</v>
      </c>
      <c r="C29" s="25">
        <v>12.984</v>
      </c>
      <c r="D29" s="26">
        <v>8.1329999999999991</v>
      </c>
      <c r="E29" s="26">
        <v>8.1839999999999993</v>
      </c>
      <c r="F29" s="16"/>
      <c r="G29" s="16"/>
      <c r="H29" s="16"/>
      <c r="I29" s="17">
        <v>102.458</v>
      </c>
      <c r="J29" s="32">
        <v>510</v>
      </c>
      <c r="K29" s="18">
        <f t="shared" si="4"/>
        <v>97</v>
      </c>
      <c r="L29" s="19">
        <f t="shared" si="2"/>
        <v>-2.0000000000006679</v>
      </c>
      <c r="M29" s="19">
        <f t="shared" si="2"/>
        <v>-5.0000000000007816</v>
      </c>
      <c r="N29" s="19">
        <f t="shared" si="2"/>
        <v>-2.0000000000006679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0.99999999999944578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41691</v>
      </c>
      <c r="C30" s="25">
        <v>12.984</v>
      </c>
      <c r="D30" s="26">
        <v>8.1329999999999991</v>
      </c>
      <c r="E30" s="26">
        <v>8.1839999999999993</v>
      </c>
      <c r="F30" s="16"/>
      <c r="G30" s="16"/>
      <c r="H30" s="16"/>
      <c r="I30" s="17">
        <v>102.45699999999999</v>
      </c>
      <c r="J30" s="32">
        <v>517</v>
      </c>
      <c r="K30" s="18">
        <f t="shared" si="4"/>
        <v>104</v>
      </c>
      <c r="L30" s="19">
        <f t="shared" si="2"/>
        <v>-2.0000000000006679</v>
      </c>
      <c r="M30" s="19">
        <f t="shared" si="2"/>
        <v>-5.0000000000007816</v>
      </c>
      <c r="N30" s="19">
        <f t="shared" si="2"/>
        <v>-2.0000000000006679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-5.0000000000096634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41694</v>
      </c>
      <c r="C31" s="25">
        <v>12.984</v>
      </c>
      <c r="D31" s="26">
        <v>8.1329999999999991</v>
      </c>
      <c r="E31" s="26">
        <v>8.1839999999999993</v>
      </c>
      <c r="F31" s="16"/>
      <c r="G31" s="16"/>
      <c r="H31" s="16"/>
      <c r="I31" s="17">
        <v>102.45699999999999</v>
      </c>
      <c r="J31" s="32">
        <v>523.5</v>
      </c>
      <c r="K31" s="18">
        <f t="shared" si="4"/>
        <v>110.5</v>
      </c>
      <c r="L31" s="19">
        <f t="shared" si="2"/>
        <v>-2.0000000000006679</v>
      </c>
      <c r="M31" s="19">
        <f t="shared" si="2"/>
        <v>-5.0000000000007816</v>
      </c>
      <c r="N31" s="19">
        <f t="shared" si="2"/>
        <v>-2.0000000000006679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-5.0000000000096634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41701</v>
      </c>
      <c r="C32" s="25">
        <v>12.983000000000001</v>
      </c>
      <c r="D32" s="26">
        <v>8.1329999999999991</v>
      </c>
      <c r="E32" s="26">
        <v>8.1839999999999993</v>
      </c>
      <c r="F32" s="16"/>
      <c r="G32" s="16"/>
      <c r="H32" s="16"/>
      <c r="I32" s="17">
        <v>102.456</v>
      </c>
      <c r="J32" s="58">
        <v>555.5</v>
      </c>
      <c r="K32" s="18">
        <f t="shared" ref="K32:K51" si="5">IF(ISBLANK(J32),"",(J32-$J$8))</f>
        <v>142.5</v>
      </c>
      <c r="L32" s="19">
        <f t="shared" si="2"/>
        <v>-3.0000000000001137</v>
      </c>
      <c r="M32" s="19">
        <f t="shared" si="2"/>
        <v>-5.0000000000007816</v>
      </c>
      <c r="N32" s="19">
        <f t="shared" si="2"/>
        <v>-2.0000000000006679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-6.0000000000002274</v>
      </c>
      <c r="S32" s="27">
        <f t="shared" si="3"/>
        <v>-0.14285714285706369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41708</v>
      </c>
      <c r="C33" s="25">
        <v>12.984</v>
      </c>
      <c r="D33" s="26">
        <v>8.1329999999999991</v>
      </c>
      <c r="E33" s="26">
        <v>8.1839999999999993</v>
      </c>
      <c r="F33" s="16"/>
      <c r="G33" s="16"/>
      <c r="H33" s="16"/>
      <c r="I33" s="17">
        <v>102.456</v>
      </c>
      <c r="J33" s="58">
        <v>576</v>
      </c>
      <c r="K33" s="18">
        <f t="shared" si="5"/>
        <v>163</v>
      </c>
      <c r="L33" s="19">
        <f t="shared" si="2"/>
        <v>-2.0000000000006679</v>
      </c>
      <c r="M33" s="19">
        <f t="shared" si="2"/>
        <v>-5.0000000000007816</v>
      </c>
      <c r="N33" s="19">
        <f t="shared" si="2"/>
        <v>-2.0000000000006679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-6.0000000000002274</v>
      </c>
      <c r="S33" s="27">
        <f t="shared" ref="S33:X48" si="6">IF(C33="","",((C33-C32)*1000)/($B33-$B32))</f>
        <v>0.14285714285706369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41723</v>
      </c>
      <c r="C34" s="25">
        <v>12.984</v>
      </c>
      <c r="D34" s="26">
        <v>8.1340000000000003</v>
      </c>
      <c r="E34" s="26">
        <v>8.1829999999999998</v>
      </c>
      <c r="F34" s="16"/>
      <c r="G34" s="16"/>
      <c r="H34" s="16"/>
      <c r="I34" s="17">
        <v>102.45699999999999</v>
      </c>
      <c r="J34" s="32">
        <v>308</v>
      </c>
      <c r="K34" s="18">
        <f t="shared" si="5"/>
        <v>-105</v>
      </c>
      <c r="L34" s="19">
        <f t="shared" si="2"/>
        <v>-2.0000000000006679</v>
      </c>
      <c r="M34" s="19">
        <f t="shared" si="2"/>
        <v>-3.9999999999995595</v>
      </c>
      <c r="N34" s="19">
        <f t="shared" si="2"/>
        <v>-3.0000000000001137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-5.0000000000096634</v>
      </c>
      <c r="S34" s="27">
        <f t="shared" si="6"/>
        <v>0</v>
      </c>
      <c r="T34" s="28">
        <f t="shared" si="6"/>
        <v>6.6666666666748142E-2</v>
      </c>
      <c r="U34" s="28">
        <f t="shared" si="6"/>
        <v>-6.6666666666629723E-2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 t="s">
        <v>23</v>
      </c>
    </row>
    <row r="35" spans="2:25" ht="15" customHeight="1" x14ac:dyDescent="0.2">
      <c r="B35" s="31">
        <v>41732</v>
      </c>
      <c r="C35" s="25">
        <v>12.981</v>
      </c>
      <c r="D35" s="65">
        <v>8.1340000000000003</v>
      </c>
      <c r="E35" s="65">
        <v>8.1829999999999998</v>
      </c>
      <c r="F35" s="16"/>
      <c r="G35" s="16"/>
      <c r="H35" s="16"/>
      <c r="I35" s="66">
        <v>102.45699999999999</v>
      </c>
      <c r="J35" s="32">
        <v>387</v>
      </c>
      <c r="K35" s="18">
        <f t="shared" si="5"/>
        <v>-26</v>
      </c>
      <c r="L35" s="19">
        <f t="shared" si="2"/>
        <v>-5.0000000000007816</v>
      </c>
      <c r="M35" s="19">
        <f t="shared" si="2"/>
        <v>-3.9999999999995595</v>
      </c>
      <c r="N35" s="19">
        <f t="shared" si="2"/>
        <v>-3.0000000000001137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-5.0000000000096634</v>
      </c>
      <c r="S35" s="27">
        <f t="shared" si="6"/>
        <v>-0.33333333333334597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41733</v>
      </c>
      <c r="C36" s="64">
        <v>12.981</v>
      </c>
      <c r="D36" s="65">
        <v>8.1340000000000003</v>
      </c>
      <c r="E36" s="26">
        <v>8.1820000000000004</v>
      </c>
      <c r="F36" s="47"/>
      <c r="G36" s="47"/>
      <c r="H36" s="47"/>
      <c r="I36" s="57">
        <v>102.45099999999999</v>
      </c>
      <c r="J36" s="32">
        <v>395</v>
      </c>
      <c r="K36" s="18">
        <f t="shared" si="5"/>
        <v>-18</v>
      </c>
      <c r="L36" s="19">
        <f t="shared" si="2"/>
        <v>-5.0000000000007816</v>
      </c>
      <c r="M36" s="19">
        <f t="shared" si="2"/>
        <v>-3.9999999999995595</v>
      </c>
      <c r="N36" s="19">
        <f t="shared" si="2"/>
        <v>-3.9999999999995595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-11.000000000009891</v>
      </c>
      <c r="S36" s="27">
        <f t="shared" si="6"/>
        <v>0</v>
      </c>
      <c r="T36" s="28">
        <f t="shared" si="6"/>
        <v>0</v>
      </c>
      <c r="U36" s="28">
        <f t="shared" si="6"/>
        <v>-0.99999999999944578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/>
    </row>
    <row r="37" spans="2:25" ht="15" customHeight="1" x14ac:dyDescent="0.2">
      <c r="B37" s="31">
        <v>41736</v>
      </c>
      <c r="C37" s="64">
        <v>12.981</v>
      </c>
      <c r="D37" s="65">
        <v>8.1340000000000003</v>
      </c>
      <c r="E37" s="26">
        <v>8.1820000000000004</v>
      </c>
      <c r="F37" s="47"/>
      <c r="G37" s="47"/>
      <c r="H37" s="47"/>
      <c r="I37" s="57">
        <v>102.45099999999999</v>
      </c>
      <c r="J37" s="32">
        <v>408</v>
      </c>
      <c r="K37" s="18">
        <f t="shared" si="5"/>
        <v>-5</v>
      </c>
      <c r="L37" s="19">
        <f t="shared" si="2"/>
        <v>-5.0000000000007816</v>
      </c>
      <c r="M37" s="19">
        <f t="shared" si="2"/>
        <v>-3.9999999999995595</v>
      </c>
      <c r="N37" s="19">
        <f t="shared" si="2"/>
        <v>-3.9999999999995595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-11.000000000009891</v>
      </c>
      <c r="S37" s="27">
        <f t="shared" si="6"/>
        <v>0</v>
      </c>
      <c r="T37" s="28">
        <f t="shared" si="6"/>
        <v>0</v>
      </c>
      <c r="U37" s="28">
        <f t="shared" si="6"/>
        <v>0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41737</v>
      </c>
      <c r="C38" s="25">
        <v>12.976000000000001</v>
      </c>
      <c r="D38" s="26">
        <v>8.1310000000000002</v>
      </c>
      <c r="E38" s="26">
        <v>8.1820000000000004</v>
      </c>
      <c r="F38" s="47">
        <v>14.016999999999999</v>
      </c>
      <c r="G38" s="47">
        <v>10.845000000000001</v>
      </c>
      <c r="H38" s="47">
        <v>11.385</v>
      </c>
      <c r="I38" s="57">
        <v>102.45099999999999</v>
      </c>
      <c r="J38" s="32">
        <v>436</v>
      </c>
      <c r="K38" s="18">
        <f t="shared" si="5"/>
        <v>23</v>
      </c>
      <c r="L38" s="19">
        <f t="shared" si="2"/>
        <v>-9.9999999999997868</v>
      </c>
      <c r="M38" s="19">
        <f t="shared" si="2"/>
        <v>-6.9999999999996732</v>
      </c>
      <c r="N38" s="19">
        <f t="shared" si="2"/>
        <v>-3.9999999999995595</v>
      </c>
      <c r="O38" s="19">
        <f>IF(ISBLANK(F38),"",((F38-F$38)*1000)+L$38)</f>
        <v>-9.9999999999997868</v>
      </c>
      <c r="P38" s="19">
        <f>IF(ISBLANK(G38),"",((G38-G$38)*1000)+M$38)</f>
        <v>-6.9999999999996732</v>
      </c>
      <c r="Q38" s="19">
        <f>IF(ISBLANK(H38),"",((H38-H$38)*1000)+N$38)</f>
        <v>-3.9999999999995595</v>
      </c>
      <c r="R38" s="19">
        <f t="shared" si="2"/>
        <v>-11.000000000009891</v>
      </c>
      <c r="S38" s="27">
        <f t="shared" si="6"/>
        <v>-4.9999999999990052</v>
      </c>
      <c r="T38" s="28">
        <f t="shared" si="6"/>
        <v>-3.0000000000001137</v>
      </c>
      <c r="U38" s="28">
        <f t="shared" si="6"/>
        <v>0</v>
      </c>
      <c r="V38" s="28"/>
      <c r="W38" s="28"/>
      <c r="X38" s="29"/>
      <c r="Y38" s="24"/>
    </row>
    <row r="39" spans="2:25" ht="15" customHeight="1" x14ac:dyDescent="0.2">
      <c r="B39" s="31">
        <v>41738</v>
      </c>
      <c r="C39" s="25">
        <v>12.975</v>
      </c>
      <c r="D39" s="26">
        <v>8.1300000000000008</v>
      </c>
      <c r="E39" s="26">
        <v>8.1820000000000004</v>
      </c>
      <c r="F39" s="47">
        <v>14.016</v>
      </c>
      <c r="G39" s="47">
        <v>10.843</v>
      </c>
      <c r="H39" s="47">
        <v>11.385</v>
      </c>
      <c r="I39" s="57">
        <v>102.45099999999999</v>
      </c>
      <c r="J39" s="32">
        <v>450</v>
      </c>
      <c r="K39" s="18">
        <f t="shared" si="5"/>
        <v>37</v>
      </c>
      <c r="L39" s="19">
        <f t="shared" si="2"/>
        <v>-11.000000000001009</v>
      </c>
      <c r="M39" s="19">
        <f t="shared" si="2"/>
        <v>-7.9999999999991189</v>
      </c>
      <c r="N39" s="19">
        <f t="shared" si="2"/>
        <v>-3.9999999999995595</v>
      </c>
      <c r="O39" s="19">
        <f t="shared" ref="O39:O102" si="7">IF(ISBLANK(F39),"",((F39-F$38)*1000)+L$38)</f>
        <v>-10.999999999999233</v>
      </c>
      <c r="P39" s="19">
        <f t="shared" ref="P39:P102" si="8">IF(ISBLANK(G39),"",((G39-G$38)*1000)+M$38)</f>
        <v>-9.0000000000003411</v>
      </c>
      <c r="Q39" s="19">
        <f t="shared" ref="Q39:Q102" si="9">IF(ISBLANK(H39),"",((H39-H$38)*1000)+N$38)</f>
        <v>-3.9999999999995595</v>
      </c>
      <c r="R39" s="19">
        <f t="shared" si="2"/>
        <v>-11.000000000009891</v>
      </c>
      <c r="S39" s="27">
        <f t="shared" si="6"/>
        <v>-1.0000000000012221</v>
      </c>
      <c r="T39" s="28">
        <f t="shared" si="6"/>
        <v>-0.99999999999944578</v>
      </c>
      <c r="U39" s="28">
        <f t="shared" si="6"/>
        <v>0</v>
      </c>
      <c r="V39" s="28">
        <f t="shared" si="6"/>
        <v>-0.99999999999944578</v>
      </c>
      <c r="W39" s="28">
        <f t="shared" si="6"/>
        <v>-2.0000000000006679</v>
      </c>
      <c r="X39" s="29">
        <f t="shared" si="6"/>
        <v>0</v>
      </c>
      <c r="Y39" s="24"/>
    </row>
    <row r="40" spans="2:25" ht="15" customHeight="1" x14ac:dyDescent="0.2">
      <c r="B40" s="31">
        <v>41739</v>
      </c>
      <c r="C40" s="25"/>
      <c r="D40" s="26"/>
      <c r="E40" s="26"/>
      <c r="F40" s="47">
        <v>14.016</v>
      </c>
      <c r="G40" s="47">
        <v>10.843</v>
      </c>
      <c r="H40" s="47">
        <v>11.385</v>
      </c>
      <c r="I40" s="57">
        <v>102.45099999999999</v>
      </c>
      <c r="J40" s="32">
        <v>457</v>
      </c>
      <c r="K40" s="18">
        <f t="shared" si="5"/>
        <v>44</v>
      </c>
      <c r="L40" s="19" t="str">
        <f t="shared" si="2"/>
        <v/>
      </c>
      <c r="M40" s="19" t="str">
        <f t="shared" si="2"/>
        <v/>
      </c>
      <c r="N40" s="19" t="str">
        <f t="shared" si="2"/>
        <v/>
      </c>
      <c r="O40" s="19">
        <f t="shared" si="7"/>
        <v>-10.999999999999233</v>
      </c>
      <c r="P40" s="19">
        <f t="shared" si="8"/>
        <v>-9.0000000000003411</v>
      </c>
      <c r="Q40" s="19">
        <f t="shared" si="9"/>
        <v>-3.9999999999995595</v>
      </c>
      <c r="R40" s="19">
        <f t="shared" si="2"/>
        <v>-11.000000000009891</v>
      </c>
      <c r="S40" s="27" t="str">
        <f t="shared" si="6"/>
        <v/>
      </c>
      <c r="T40" s="28" t="str">
        <f t="shared" si="6"/>
        <v/>
      </c>
      <c r="U40" s="28" t="str">
        <f t="shared" si="6"/>
        <v/>
      </c>
      <c r="V40" s="28">
        <f t="shared" si="6"/>
        <v>0</v>
      </c>
      <c r="W40" s="28">
        <f t="shared" si="6"/>
        <v>0</v>
      </c>
      <c r="X40" s="29">
        <f t="shared" si="6"/>
        <v>0</v>
      </c>
      <c r="Y40" s="24"/>
    </row>
    <row r="41" spans="2:25" ht="15" customHeight="1" x14ac:dyDescent="0.2">
      <c r="B41" s="31">
        <v>41740</v>
      </c>
      <c r="C41" s="25"/>
      <c r="D41" s="26"/>
      <c r="E41" s="26"/>
      <c r="F41" s="47">
        <v>14.016</v>
      </c>
      <c r="G41" s="47">
        <v>10.843</v>
      </c>
      <c r="H41" s="47">
        <v>11.384</v>
      </c>
      <c r="I41" s="57">
        <v>102.45</v>
      </c>
      <c r="J41" s="32">
        <v>466</v>
      </c>
      <c r="K41" s="18">
        <f t="shared" si="5"/>
        <v>53</v>
      </c>
      <c r="L41" s="19" t="str">
        <f t="shared" si="2"/>
        <v/>
      </c>
      <c r="M41" s="19" t="str">
        <f t="shared" si="2"/>
        <v/>
      </c>
      <c r="N41" s="19" t="str">
        <f t="shared" si="2"/>
        <v/>
      </c>
      <c r="O41" s="19">
        <f t="shared" si="7"/>
        <v>-10.999999999999233</v>
      </c>
      <c r="P41" s="19">
        <f t="shared" si="8"/>
        <v>-9.0000000000003411</v>
      </c>
      <c r="Q41" s="19">
        <f t="shared" si="9"/>
        <v>-4.9999999999990052</v>
      </c>
      <c r="R41" s="19">
        <f t="shared" si="2"/>
        <v>-12.000000000000455</v>
      </c>
      <c r="S41" s="27" t="str">
        <f t="shared" si="6"/>
        <v/>
      </c>
      <c r="T41" s="28" t="str">
        <f t="shared" si="6"/>
        <v/>
      </c>
      <c r="U41" s="28" t="str">
        <f t="shared" si="6"/>
        <v/>
      </c>
      <c r="V41" s="28">
        <f t="shared" si="6"/>
        <v>0</v>
      </c>
      <c r="W41" s="28">
        <f t="shared" si="6"/>
        <v>0</v>
      </c>
      <c r="X41" s="29">
        <f t="shared" si="6"/>
        <v>-0.99999999999944578</v>
      </c>
      <c r="Y41" s="24"/>
    </row>
    <row r="42" spans="2:25" ht="15" customHeight="1" x14ac:dyDescent="0.2">
      <c r="B42" s="31">
        <v>41743</v>
      </c>
      <c r="C42" s="25"/>
      <c r="D42" s="26"/>
      <c r="E42" s="26"/>
      <c r="F42" s="47">
        <v>14.015000000000001</v>
      </c>
      <c r="G42" s="47">
        <v>10.843</v>
      </c>
      <c r="H42" s="47">
        <v>11.385</v>
      </c>
      <c r="I42" s="57">
        <v>102.45</v>
      </c>
      <c r="J42" s="32">
        <v>484</v>
      </c>
      <c r="K42" s="18">
        <f t="shared" si="5"/>
        <v>71</v>
      </c>
      <c r="L42" s="19" t="str">
        <f t="shared" si="2"/>
        <v/>
      </c>
      <c r="M42" s="19" t="str">
        <f t="shared" si="2"/>
        <v/>
      </c>
      <c r="N42" s="19" t="str">
        <f t="shared" si="2"/>
        <v/>
      </c>
      <c r="O42" s="19">
        <f t="shared" si="7"/>
        <v>-11.999999999998678</v>
      </c>
      <c r="P42" s="19">
        <f t="shared" si="8"/>
        <v>-9.0000000000003411</v>
      </c>
      <c r="Q42" s="19">
        <f t="shared" si="9"/>
        <v>-3.9999999999995595</v>
      </c>
      <c r="R42" s="19">
        <f t="shared" si="2"/>
        <v>-12.000000000000455</v>
      </c>
      <c r="S42" s="27" t="str">
        <f t="shared" si="6"/>
        <v/>
      </c>
      <c r="T42" s="28" t="str">
        <f t="shared" si="6"/>
        <v/>
      </c>
      <c r="U42" s="28" t="str">
        <f t="shared" si="6"/>
        <v/>
      </c>
      <c r="V42" s="28">
        <f t="shared" si="6"/>
        <v>-0.33333333333314857</v>
      </c>
      <c r="W42" s="28">
        <f t="shared" si="6"/>
        <v>0</v>
      </c>
      <c r="X42" s="29">
        <f t="shared" si="6"/>
        <v>0.33333333333314857</v>
      </c>
      <c r="Y42" s="24"/>
    </row>
    <row r="43" spans="2:25" ht="15" customHeight="1" x14ac:dyDescent="0.2">
      <c r="B43" s="31">
        <v>41744</v>
      </c>
      <c r="C43" s="25"/>
      <c r="D43" s="26"/>
      <c r="E43" s="26"/>
      <c r="F43" s="47">
        <v>14.016</v>
      </c>
      <c r="G43" s="47">
        <v>10.843</v>
      </c>
      <c r="H43" s="47">
        <v>11.385</v>
      </c>
      <c r="I43" s="57">
        <v>102.45</v>
      </c>
      <c r="J43" s="32">
        <v>499</v>
      </c>
      <c r="K43" s="18">
        <f t="shared" si="5"/>
        <v>86</v>
      </c>
      <c r="L43" s="19" t="str">
        <f t="shared" si="2"/>
        <v/>
      </c>
      <c r="M43" s="19" t="str">
        <f t="shared" si="2"/>
        <v/>
      </c>
      <c r="N43" s="19" t="str">
        <f t="shared" si="2"/>
        <v/>
      </c>
      <c r="O43" s="19">
        <f t="shared" si="7"/>
        <v>-10.999999999999233</v>
      </c>
      <c r="P43" s="19">
        <f t="shared" si="8"/>
        <v>-9.0000000000003411</v>
      </c>
      <c r="Q43" s="19">
        <f t="shared" si="9"/>
        <v>-3.9999999999995595</v>
      </c>
      <c r="R43" s="19">
        <f t="shared" si="2"/>
        <v>-12.000000000000455</v>
      </c>
      <c r="S43" s="27" t="str">
        <f t="shared" si="6"/>
        <v/>
      </c>
      <c r="T43" s="28" t="str">
        <f t="shared" si="6"/>
        <v/>
      </c>
      <c r="U43" s="28" t="str">
        <f t="shared" si="6"/>
        <v/>
      </c>
      <c r="V43" s="28">
        <f t="shared" si="6"/>
        <v>0.99999999999944578</v>
      </c>
      <c r="W43" s="28">
        <f t="shared" si="6"/>
        <v>0</v>
      </c>
      <c r="X43" s="29">
        <f t="shared" si="6"/>
        <v>0</v>
      </c>
      <c r="Y43" s="24"/>
    </row>
    <row r="44" spans="2:25" ht="15" customHeight="1" x14ac:dyDescent="0.2">
      <c r="B44" s="31">
        <v>41745</v>
      </c>
      <c r="C44" s="25"/>
      <c r="D44" s="26"/>
      <c r="E44" s="26"/>
      <c r="F44" s="47">
        <v>14.015000000000001</v>
      </c>
      <c r="G44" s="47">
        <v>10.843999999999999</v>
      </c>
      <c r="H44" s="47">
        <v>11.384</v>
      </c>
      <c r="I44" s="57">
        <v>102.449</v>
      </c>
      <c r="J44" s="32">
        <v>516.5</v>
      </c>
      <c r="K44" s="18">
        <f t="shared" si="5"/>
        <v>103.5</v>
      </c>
      <c r="L44" s="19" t="str">
        <f t="shared" si="2"/>
        <v/>
      </c>
      <c r="M44" s="19" t="str">
        <f t="shared" si="2"/>
        <v/>
      </c>
      <c r="N44" s="19" t="str">
        <f t="shared" si="2"/>
        <v/>
      </c>
      <c r="O44" s="19">
        <f t="shared" si="7"/>
        <v>-11.999999999998678</v>
      </c>
      <c r="P44" s="19">
        <f t="shared" si="8"/>
        <v>-8.0000000000008953</v>
      </c>
      <c r="Q44" s="19">
        <f t="shared" si="9"/>
        <v>-4.9999999999990052</v>
      </c>
      <c r="R44" s="19">
        <f t="shared" si="2"/>
        <v>-13.00000000000523</v>
      </c>
      <c r="S44" s="27" t="str">
        <f t="shared" si="6"/>
        <v/>
      </c>
      <c r="T44" s="28" t="str">
        <f t="shared" si="6"/>
        <v/>
      </c>
      <c r="U44" s="28" t="str">
        <f t="shared" si="6"/>
        <v/>
      </c>
      <c r="V44" s="28">
        <f t="shared" si="6"/>
        <v>-0.99999999999944578</v>
      </c>
      <c r="W44" s="28">
        <f t="shared" si="6"/>
        <v>0.99999999999944578</v>
      </c>
      <c r="X44" s="29">
        <f t="shared" si="6"/>
        <v>-0.99999999999944578</v>
      </c>
      <c r="Y44" s="24"/>
    </row>
    <row r="45" spans="2:25" ht="15" customHeight="1" x14ac:dyDescent="0.2">
      <c r="B45" s="31">
        <v>41751</v>
      </c>
      <c r="C45" s="25"/>
      <c r="D45" s="26"/>
      <c r="E45" s="26"/>
      <c r="F45" s="47">
        <v>14.015000000000001</v>
      </c>
      <c r="G45" s="47">
        <v>10.843</v>
      </c>
      <c r="H45" s="47">
        <v>11.385</v>
      </c>
      <c r="I45" s="57">
        <v>102.45</v>
      </c>
      <c r="J45" s="32">
        <v>534.5</v>
      </c>
      <c r="K45" s="18">
        <f t="shared" si="5"/>
        <v>121.5</v>
      </c>
      <c r="L45" s="19" t="str">
        <f t="shared" si="2"/>
        <v/>
      </c>
      <c r="M45" s="19" t="str">
        <f t="shared" si="2"/>
        <v/>
      </c>
      <c r="N45" s="19" t="str">
        <f t="shared" si="2"/>
        <v/>
      </c>
      <c r="O45" s="19">
        <f t="shared" si="7"/>
        <v>-11.999999999998678</v>
      </c>
      <c r="P45" s="19">
        <f t="shared" si="8"/>
        <v>-9.0000000000003411</v>
      </c>
      <c r="Q45" s="19">
        <f t="shared" si="9"/>
        <v>-3.9999999999995595</v>
      </c>
      <c r="R45" s="19">
        <f t="shared" si="2"/>
        <v>-12.000000000000455</v>
      </c>
      <c r="S45" s="27" t="str">
        <f t="shared" si="6"/>
        <v/>
      </c>
      <c r="T45" s="28" t="str">
        <f t="shared" si="6"/>
        <v/>
      </c>
      <c r="U45" s="28" t="str">
        <f t="shared" si="6"/>
        <v/>
      </c>
      <c r="V45" s="28">
        <f t="shared" si="6"/>
        <v>0</v>
      </c>
      <c r="W45" s="28">
        <f t="shared" si="6"/>
        <v>-0.16666666666657429</v>
      </c>
      <c r="X45" s="29">
        <f t="shared" si="6"/>
        <v>0.16666666666657429</v>
      </c>
      <c r="Y45" s="24" t="s">
        <v>35</v>
      </c>
    </row>
    <row r="46" spans="2:25" ht="15" customHeight="1" x14ac:dyDescent="0.2">
      <c r="B46" s="31">
        <v>41752</v>
      </c>
      <c r="C46" s="25"/>
      <c r="D46" s="26"/>
      <c r="E46" s="26"/>
      <c r="F46" s="47">
        <v>14.015000000000001</v>
      </c>
      <c r="G46" s="47">
        <v>10.843</v>
      </c>
      <c r="H46" s="47">
        <v>11.384</v>
      </c>
      <c r="I46" s="57">
        <v>102.449</v>
      </c>
      <c r="J46" s="32">
        <v>534.5</v>
      </c>
      <c r="K46" s="18">
        <f t="shared" si="5"/>
        <v>121.5</v>
      </c>
      <c r="L46" s="19" t="str">
        <f t="shared" si="2"/>
        <v/>
      </c>
      <c r="M46" s="19" t="str">
        <f t="shared" si="2"/>
        <v/>
      </c>
      <c r="N46" s="19" t="str">
        <f t="shared" si="2"/>
        <v/>
      </c>
      <c r="O46" s="19">
        <f t="shared" si="7"/>
        <v>-11.999999999998678</v>
      </c>
      <c r="P46" s="19">
        <f t="shared" si="8"/>
        <v>-9.0000000000003411</v>
      </c>
      <c r="Q46" s="19">
        <f t="shared" si="9"/>
        <v>-4.9999999999990052</v>
      </c>
      <c r="R46" s="19">
        <f t="shared" si="2"/>
        <v>-13.00000000000523</v>
      </c>
      <c r="S46" s="27" t="str">
        <f t="shared" si="6"/>
        <v/>
      </c>
      <c r="T46" s="28" t="str">
        <f t="shared" si="6"/>
        <v/>
      </c>
      <c r="U46" s="28" t="str">
        <f t="shared" si="6"/>
        <v/>
      </c>
      <c r="V46" s="28">
        <f t="shared" si="6"/>
        <v>0</v>
      </c>
      <c r="W46" s="28">
        <f t="shared" si="6"/>
        <v>0</v>
      </c>
      <c r="X46" s="29">
        <f t="shared" si="6"/>
        <v>-0.99999999999944578</v>
      </c>
      <c r="Y46" s="24"/>
    </row>
    <row r="47" spans="2:25" ht="15" customHeight="1" x14ac:dyDescent="0.2">
      <c r="B47" s="31">
        <v>41753</v>
      </c>
      <c r="C47" s="25"/>
      <c r="D47" s="26"/>
      <c r="E47" s="26"/>
      <c r="F47" s="47">
        <v>14.015000000000001</v>
      </c>
      <c r="G47" s="47">
        <v>10.843</v>
      </c>
      <c r="H47" s="47">
        <v>11.384</v>
      </c>
      <c r="I47" s="57">
        <v>102.45</v>
      </c>
      <c r="J47" s="32">
        <v>534.5</v>
      </c>
      <c r="K47" s="18">
        <f t="shared" si="5"/>
        <v>121.5</v>
      </c>
      <c r="L47" s="19" t="str">
        <f t="shared" si="2"/>
        <v/>
      </c>
      <c r="M47" s="19" t="str">
        <f t="shared" si="2"/>
        <v/>
      </c>
      <c r="N47" s="19" t="str">
        <f t="shared" si="2"/>
        <v/>
      </c>
      <c r="O47" s="19">
        <f t="shared" si="7"/>
        <v>-11.999999999998678</v>
      </c>
      <c r="P47" s="19">
        <f t="shared" si="8"/>
        <v>-9.0000000000003411</v>
      </c>
      <c r="Q47" s="19">
        <f t="shared" si="9"/>
        <v>-4.9999999999990052</v>
      </c>
      <c r="R47" s="19">
        <f t="shared" si="2"/>
        <v>-12.000000000000455</v>
      </c>
      <c r="S47" s="27" t="str">
        <f t="shared" si="6"/>
        <v/>
      </c>
      <c r="T47" s="28" t="str">
        <f t="shared" si="6"/>
        <v/>
      </c>
      <c r="U47" s="28" t="str">
        <f t="shared" si="6"/>
        <v/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41754</v>
      </c>
      <c r="C48" s="25"/>
      <c r="D48" s="26"/>
      <c r="E48" s="26"/>
      <c r="F48" s="47">
        <v>14.015000000000001</v>
      </c>
      <c r="G48" s="47">
        <v>10.843999999999999</v>
      </c>
      <c r="H48" s="47">
        <v>11.384</v>
      </c>
      <c r="I48" s="57">
        <v>102.449</v>
      </c>
      <c r="J48" s="32">
        <v>534.5</v>
      </c>
      <c r="K48" s="18">
        <f t="shared" si="5"/>
        <v>121.5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-11.999999999998678</v>
      </c>
      <c r="P48" s="19">
        <f t="shared" si="8"/>
        <v>-8.0000000000008953</v>
      </c>
      <c r="Q48" s="19">
        <f t="shared" si="9"/>
        <v>-4.9999999999990052</v>
      </c>
      <c r="R48" s="19">
        <f t="shared" si="2"/>
        <v>-13.00000000000523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0.99999999999944578</v>
      </c>
      <c r="X48" s="29">
        <f t="shared" si="6"/>
        <v>0</v>
      </c>
      <c r="Y48" s="24"/>
    </row>
    <row r="49" spans="2:25" ht="15" customHeight="1" x14ac:dyDescent="0.2">
      <c r="B49" s="31">
        <v>41757</v>
      </c>
      <c r="C49" s="25"/>
      <c r="D49" s="26"/>
      <c r="E49" s="26"/>
      <c r="F49" s="47">
        <v>14.013999999999999</v>
      </c>
      <c r="G49" s="47">
        <v>10.843</v>
      </c>
      <c r="H49" s="47">
        <v>11.382999999999999</v>
      </c>
      <c r="I49" s="57">
        <v>102.449</v>
      </c>
      <c r="J49" s="32">
        <v>534.5</v>
      </c>
      <c r="K49" s="18">
        <f t="shared" si="5"/>
        <v>121.5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-12.999999999999901</v>
      </c>
      <c r="P49" s="19">
        <f t="shared" si="8"/>
        <v>-9.0000000000003411</v>
      </c>
      <c r="Q49" s="19">
        <f t="shared" si="9"/>
        <v>-6.0000000000002274</v>
      </c>
      <c r="R49" s="19">
        <f t="shared" si="2"/>
        <v>-13.00000000000523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-0.33333333333374071</v>
      </c>
      <c r="W49" s="28">
        <f t="shared" si="10"/>
        <v>-0.33333333333314857</v>
      </c>
      <c r="X49" s="29">
        <f t="shared" si="10"/>
        <v>-0.33333333333374071</v>
      </c>
      <c r="Y49" s="24"/>
    </row>
    <row r="50" spans="2:25" ht="15" customHeight="1" x14ac:dyDescent="0.2">
      <c r="B50" s="31">
        <v>41758</v>
      </c>
      <c r="C50" s="33"/>
      <c r="D50" s="16"/>
      <c r="E50" s="16"/>
      <c r="F50" s="47">
        <v>14.015000000000001</v>
      </c>
      <c r="G50" s="47">
        <v>10.843</v>
      </c>
      <c r="H50" s="47">
        <v>11.384</v>
      </c>
      <c r="I50" s="57">
        <v>102.449</v>
      </c>
      <c r="J50" s="32">
        <v>534.5</v>
      </c>
      <c r="K50" s="18">
        <f t="shared" si="5"/>
        <v>121.5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-11.999999999998678</v>
      </c>
      <c r="P50" s="19">
        <f t="shared" si="8"/>
        <v>-9.0000000000003411</v>
      </c>
      <c r="Q50" s="19">
        <f t="shared" si="9"/>
        <v>-4.9999999999990052</v>
      </c>
      <c r="R50" s="19">
        <f t="shared" si="2"/>
        <v>-13.00000000000523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1.0000000000012221</v>
      </c>
      <c r="W50" s="28">
        <f t="shared" si="10"/>
        <v>0</v>
      </c>
      <c r="X50" s="29">
        <f t="shared" si="10"/>
        <v>1.0000000000012221</v>
      </c>
      <c r="Y50" s="24"/>
    </row>
    <row r="51" spans="2:25" ht="15" customHeight="1" x14ac:dyDescent="0.2">
      <c r="B51" s="31">
        <v>41759</v>
      </c>
      <c r="C51" s="33"/>
      <c r="D51" s="16"/>
      <c r="E51" s="16"/>
      <c r="F51" s="47">
        <v>14.013999999999999</v>
      </c>
      <c r="G51" s="47">
        <v>10.843</v>
      </c>
      <c r="H51" s="47">
        <v>11.382999999999999</v>
      </c>
      <c r="I51" s="57">
        <v>102.449</v>
      </c>
      <c r="J51" s="32">
        <v>534.5</v>
      </c>
      <c r="K51" s="18">
        <f t="shared" si="5"/>
        <v>121.5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-12.999999999999901</v>
      </c>
      <c r="P51" s="19">
        <f t="shared" si="8"/>
        <v>-9.0000000000003411</v>
      </c>
      <c r="Q51" s="19">
        <f t="shared" si="9"/>
        <v>-6.0000000000002274</v>
      </c>
      <c r="R51" s="19">
        <f t="shared" si="2"/>
        <v>-13.00000000000523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-1.0000000000012221</v>
      </c>
      <c r="W51" s="28">
        <f t="shared" si="10"/>
        <v>0</v>
      </c>
      <c r="X51" s="29">
        <f t="shared" si="10"/>
        <v>-1.0000000000012221</v>
      </c>
      <c r="Y51" s="24"/>
    </row>
    <row r="52" spans="2:25" ht="15" customHeight="1" x14ac:dyDescent="0.2">
      <c r="B52" s="31">
        <v>41781</v>
      </c>
      <c r="C52" s="33"/>
      <c r="D52" s="16"/>
      <c r="E52" s="16"/>
      <c r="F52" s="47">
        <v>14.013999999999999</v>
      </c>
      <c r="G52" s="47">
        <v>10.843</v>
      </c>
      <c r="H52" s="47">
        <v>11.382</v>
      </c>
      <c r="I52" s="57">
        <v>102.449</v>
      </c>
      <c r="J52" s="58">
        <v>792</v>
      </c>
      <c r="K52" s="18">
        <f t="shared" ref="K52:K57" si="11">IF(ISBLANK(J52),"",(J52-$J$8))</f>
        <v>379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-12.999999999999901</v>
      </c>
      <c r="P52" s="19">
        <f t="shared" si="8"/>
        <v>-9.0000000000003411</v>
      </c>
      <c r="Q52" s="19">
        <f t="shared" si="9"/>
        <v>-6.9999999999996732</v>
      </c>
      <c r="R52" s="19">
        <f t="shared" si="2"/>
        <v>-13.00000000000523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0</v>
      </c>
      <c r="W52" s="28">
        <f t="shared" si="10"/>
        <v>0</v>
      </c>
      <c r="X52" s="29">
        <f t="shared" si="10"/>
        <v>-4.5454545454520261E-2</v>
      </c>
      <c r="Y52" s="24"/>
    </row>
    <row r="53" spans="2:25" ht="15" customHeight="1" x14ac:dyDescent="0.2">
      <c r="B53" s="31">
        <v>41843</v>
      </c>
      <c r="C53" s="33"/>
      <c r="D53" s="16"/>
      <c r="E53" s="16"/>
      <c r="F53" s="47">
        <v>14.013</v>
      </c>
      <c r="G53" s="47">
        <v>10.843</v>
      </c>
      <c r="H53" s="47">
        <v>11.382</v>
      </c>
      <c r="I53" s="57">
        <v>102.449</v>
      </c>
      <c r="J53" s="58">
        <v>943</v>
      </c>
      <c r="K53" s="18">
        <f t="shared" si="11"/>
        <v>530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-13.999999999999346</v>
      </c>
      <c r="P53" s="19">
        <f t="shared" si="8"/>
        <v>-9.0000000000003411</v>
      </c>
      <c r="Q53" s="19">
        <f t="shared" si="9"/>
        <v>-6.9999999999996732</v>
      </c>
      <c r="R53" s="19">
        <f t="shared" si="2"/>
        <v>-13.00000000000523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-1.6129032258055578E-2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41933</v>
      </c>
      <c r="C54" s="33"/>
      <c r="D54" s="16"/>
      <c r="E54" s="16"/>
      <c r="F54" s="47">
        <v>14.013999999999999</v>
      </c>
      <c r="G54" s="47">
        <v>10.843</v>
      </c>
      <c r="H54" s="47">
        <v>11.382999999999999</v>
      </c>
      <c r="I54" s="57">
        <v>102.45</v>
      </c>
      <c r="J54" s="58">
        <v>943</v>
      </c>
      <c r="K54" s="18">
        <f t="shared" si="11"/>
        <v>530</v>
      </c>
      <c r="L54" s="19" t="str">
        <f t="shared" si="2"/>
        <v/>
      </c>
      <c r="M54" s="19" t="str">
        <f t="shared" si="2"/>
        <v/>
      </c>
      <c r="N54" s="19" t="str">
        <f t="shared" si="2"/>
        <v/>
      </c>
      <c r="O54" s="19">
        <f t="shared" si="7"/>
        <v>-12.999999999999901</v>
      </c>
      <c r="P54" s="19">
        <f t="shared" si="8"/>
        <v>-9.0000000000003411</v>
      </c>
      <c r="Q54" s="19">
        <f t="shared" si="9"/>
        <v>-6.0000000000002274</v>
      </c>
      <c r="R54" s="19">
        <f t="shared" si="2"/>
        <v>-12.000000000000455</v>
      </c>
      <c r="S54" s="27" t="str">
        <f t="shared" si="10"/>
        <v/>
      </c>
      <c r="T54" s="28" t="str">
        <f t="shared" si="10"/>
        <v/>
      </c>
      <c r="U54" s="28" t="str">
        <f t="shared" si="10"/>
        <v/>
      </c>
      <c r="V54" s="28">
        <f t="shared" si="10"/>
        <v>1.1111111111104953E-2</v>
      </c>
      <c r="W54" s="28">
        <f t="shared" si="10"/>
        <v>0</v>
      </c>
      <c r="X54" s="29">
        <f t="shared" si="10"/>
        <v>1.1111111111104953E-2</v>
      </c>
      <c r="Y54" s="24"/>
    </row>
    <row r="55" spans="2:25" ht="15" customHeight="1" x14ac:dyDescent="0.2">
      <c r="B55" s="31">
        <v>42025</v>
      </c>
      <c r="C55" s="33"/>
      <c r="D55" s="16"/>
      <c r="E55" s="16"/>
      <c r="F55" s="47">
        <v>14.013999999999999</v>
      </c>
      <c r="G55" s="47">
        <v>10.842000000000001</v>
      </c>
      <c r="H55" s="47">
        <v>11.384</v>
      </c>
      <c r="I55" s="57">
        <v>102.449</v>
      </c>
      <c r="J55" s="58">
        <v>943</v>
      </c>
      <c r="K55" s="18">
        <f t="shared" si="11"/>
        <v>530</v>
      </c>
      <c r="L55" s="19" t="str">
        <f t="shared" si="2"/>
        <v/>
      </c>
      <c r="M55" s="19" t="str">
        <f t="shared" si="2"/>
        <v/>
      </c>
      <c r="N55" s="19" t="str">
        <f t="shared" si="2"/>
        <v/>
      </c>
      <c r="O55" s="19">
        <f t="shared" si="7"/>
        <v>-12.999999999999901</v>
      </c>
      <c r="P55" s="19">
        <f t="shared" si="8"/>
        <v>-9.9999999999997868</v>
      </c>
      <c r="Q55" s="19">
        <f t="shared" si="9"/>
        <v>-4.9999999999990052</v>
      </c>
      <c r="R55" s="19">
        <f t="shared" si="2"/>
        <v>-13.00000000000523</v>
      </c>
      <c r="S55" s="27" t="str">
        <f t="shared" si="10"/>
        <v/>
      </c>
      <c r="T55" s="28" t="str">
        <f t="shared" si="10"/>
        <v/>
      </c>
      <c r="U55" s="28" t="str">
        <f t="shared" si="10"/>
        <v/>
      </c>
      <c r="V55" s="28">
        <f t="shared" si="10"/>
        <v>0</v>
      </c>
      <c r="W55" s="28">
        <f t="shared" si="10"/>
        <v>-1.0869565217385279E-2</v>
      </c>
      <c r="X55" s="29">
        <f t="shared" si="10"/>
        <v>1.0869565217404589E-2</v>
      </c>
      <c r="Y55" s="24"/>
    </row>
    <row r="56" spans="2:25" ht="15" customHeight="1" x14ac:dyDescent="0.2">
      <c r="B56" s="31">
        <v>42109</v>
      </c>
      <c r="C56" s="25"/>
      <c r="D56" s="26"/>
      <c r="E56" s="26"/>
      <c r="F56" s="47">
        <v>14.013</v>
      </c>
      <c r="G56" s="47">
        <v>10.842000000000001</v>
      </c>
      <c r="H56" s="47">
        <v>11.381</v>
      </c>
      <c r="I56" s="57">
        <v>102.44799999999999</v>
      </c>
      <c r="J56" s="58">
        <v>943</v>
      </c>
      <c r="K56" s="18">
        <f t="shared" si="11"/>
        <v>530</v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>
        <f t="shared" si="7"/>
        <v>-13.999999999999346</v>
      </c>
      <c r="P56" s="19">
        <f t="shared" si="8"/>
        <v>-9.9999999999997868</v>
      </c>
      <c r="Q56" s="19">
        <f t="shared" si="9"/>
        <v>-7.9999999999991189</v>
      </c>
      <c r="R56" s="19">
        <f t="shared" si="2"/>
        <v>-14.000000000010004</v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>
        <f t="shared" si="10"/>
        <v>-1.1904761904755307E-2</v>
      </c>
      <c r="W56" s="28">
        <f t="shared" si="10"/>
        <v>0</v>
      </c>
      <c r="X56" s="29">
        <f t="shared" si="10"/>
        <v>-3.5714285714287065E-2</v>
      </c>
      <c r="Y56" s="24"/>
    </row>
    <row r="57" spans="2:25" ht="15" customHeight="1" x14ac:dyDescent="0.2">
      <c r="B57" s="31">
        <v>42221</v>
      </c>
      <c r="C57" s="77"/>
      <c r="D57" s="16"/>
      <c r="E57" s="76"/>
      <c r="F57" s="16">
        <v>14.013</v>
      </c>
      <c r="G57" s="16">
        <v>10.843</v>
      </c>
      <c r="H57" s="16">
        <v>11.381</v>
      </c>
      <c r="I57" s="16">
        <v>102.44799999999999</v>
      </c>
      <c r="J57" s="32">
        <v>1253</v>
      </c>
      <c r="K57" s="18">
        <f t="shared" si="11"/>
        <v>840</v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>
        <f t="shared" si="7"/>
        <v>-13.999999999999346</v>
      </c>
      <c r="P57" s="19">
        <f t="shared" si="8"/>
        <v>-9.0000000000003411</v>
      </c>
      <c r="Q57" s="19">
        <f t="shared" si="9"/>
        <v>-7.9999999999991189</v>
      </c>
      <c r="R57" s="19">
        <f t="shared" si="2"/>
        <v>-14.000000000010004</v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>
        <f t="shared" si="10"/>
        <v>0</v>
      </c>
      <c r="W57" s="28">
        <f t="shared" si="10"/>
        <v>8.9285714285664806E-3</v>
      </c>
      <c r="X57" s="29">
        <f t="shared" si="10"/>
        <v>0</v>
      </c>
      <c r="Y57" s="24"/>
    </row>
    <row r="58" spans="2:25" ht="15" customHeight="1" x14ac:dyDescent="0.2">
      <c r="B58" s="31">
        <v>42318</v>
      </c>
      <c r="C58" s="77"/>
      <c r="D58" s="16"/>
      <c r="E58" s="76"/>
      <c r="F58" s="16">
        <v>14.013</v>
      </c>
      <c r="G58" s="16">
        <v>10.843</v>
      </c>
      <c r="H58" s="16">
        <v>11.382999999999999</v>
      </c>
      <c r="I58" s="16">
        <v>102.44799999999999</v>
      </c>
      <c r="J58" s="32">
        <v>2220</v>
      </c>
      <c r="K58" s="18">
        <f t="shared" ref="K58:K60" si="12">IF(ISBLANK(J58),"",(J58-$J$8))</f>
        <v>1807</v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>
        <f t="shared" si="7"/>
        <v>-13.999999999999346</v>
      </c>
      <c r="P58" s="19">
        <f t="shared" si="8"/>
        <v>-9.0000000000003411</v>
      </c>
      <c r="Q58" s="19">
        <f t="shared" si="9"/>
        <v>-6.0000000000002274</v>
      </c>
      <c r="R58" s="19">
        <f t="shared" si="2"/>
        <v>-14.000000000010004</v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>
        <f t="shared" si="10"/>
        <v>0</v>
      </c>
      <c r="W58" s="28">
        <f t="shared" si="10"/>
        <v>0</v>
      </c>
      <c r="X58" s="29">
        <f t="shared" si="10"/>
        <v>2.0618556701019499E-2</v>
      </c>
      <c r="Y58" s="24"/>
    </row>
    <row r="59" spans="2:25" ht="15" customHeight="1" x14ac:dyDescent="0.2">
      <c r="B59" s="31">
        <v>42404</v>
      </c>
      <c r="C59" s="33"/>
      <c r="D59" s="16">
        <v>8.1289999999999996</v>
      </c>
      <c r="E59" s="16"/>
      <c r="F59" s="16">
        <v>14.012</v>
      </c>
      <c r="G59" s="16">
        <v>10.842000000000001</v>
      </c>
      <c r="H59" s="16">
        <v>11.381</v>
      </c>
      <c r="I59" s="16">
        <v>102.44799999999999</v>
      </c>
      <c r="J59" s="58">
        <v>2484</v>
      </c>
      <c r="K59" s="18">
        <f t="shared" si="12"/>
        <v>2071</v>
      </c>
      <c r="L59" s="19" t="str">
        <f t="shared" si="2"/>
        <v/>
      </c>
      <c r="M59" s="19">
        <f t="shared" si="2"/>
        <v>-9.0000000000003411</v>
      </c>
      <c r="N59" s="19" t="str">
        <f t="shared" si="2"/>
        <v/>
      </c>
      <c r="O59" s="19">
        <f t="shared" si="7"/>
        <v>-14.999999999998792</v>
      </c>
      <c r="P59" s="19">
        <f t="shared" si="8"/>
        <v>-9.9999999999997868</v>
      </c>
      <c r="Q59" s="19">
        <f t="shared" si="9"/>
        <v>-7.9999999999991189</v>
      </c>
      <c r="R59" s="19">
        <f t="shared" si="2"/>
        <v>-14.000000000010004</v>
      </c>
      <c r="S59" s="27" t="str">
        <f t="shared" si="10"/>
        <v/>
      </c>
      <c r="T59" s="28"/>
      <c r="U59" s="28" t="str">
        <f t="shared" si="10"/>
        <v/>
      </c>
      <c r="V59" s="28">
        <f t="shared" si="10"/>
        <v>-1.1627906976737741E-2</v>
      </c>
      <c r="W59" s="28">
        <f t="shared" si="10"/>
        <v>-1.1627906976737741E-2</v>
      </c>
      <c r="X59" s="29">
        <f t="shared" si="10"/>
        <v>-2.3255813953475483E-2</v>
      </c>
      <c r="Y59" s="24"/>
    </row>
    <row r="60" spans="2:25" ht="15" customHeight="1" x14ac:dyDescent="0.2">
      <c r="B60" s="31">
        <v>42529</v>
      </c>
      <c r="C60" s="25"/>
      <c r="D60" s="26"/>
      <c r="E60" s="26"/>
      <c r="F60" s="16">
        <v>14.012</v>
      </c>
      <c r="G60" s="16">
        <v>10.842000000000001</v>
      </c>
      <c r="H60" s="16">
        <v>11.38</v>
      </c>
      <c r="I60" s="16">
        <v>102.447</v>
      </c>
      <c r="J60" s="58">
        <v>2603</v>
      </c>
      <c r="K60" s="18">
        <f t="shared" si="12"/>
        <v>2190</v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>
        <f t="shared" si="7"/>
        <v>-14.999999999998792</v>
      </c>
      <c r="P60" s="19">
        <f t="shared" si="8"/>
        <v>-9.9999999999997868</v>
      </c>
      <c r="Q60" s="19">
        <f t="shared" si="9"/>
        <v>-8.9999999999985647</v>
      </c>
      <c r="R60" s="19">
        <f t="shared" si="2"/>
        <v>-15.000000000000568</v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>
        <f t="shared" si="10"/>
        <v>0</v>
      </c>
      <c r="W60" s="28">
        <f t="shared" si="10"/>
        <v>0</v>
      </c>
      <c r="X60" s="29">
        <f t="shared" si="10"/>
        <v>-7.9999999999955662E-3</v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2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ref="R62:R93" si="13">IF(ISBLANK(I62),"",(I62-I$16)*1000)</f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4">IF(ISBLANK(C63),"",(C63-C$16)*1000)</f>
        <v/>
      </c>
      <c r="M63" s="19" t="str">
        <f t="shared" ref="M63:M94" si="15">IF(ISBLANK(D63),"",(D63-D$16)*1000)</f>
        <v/>
      </c>
      <c r="N63" s="19" t="str">
        <f t="shared" ref="N63:N94" si="16">IF(ISBLANK(E63),"",(E63-E$16)*1000)</f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13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4"/>
        <v/>
      </c>
      <c r="M64" s="19" t="str">
        <f t="shared" si="15"/>
        <v/>
      </c>
      <c r="N64" s="19" t="str">
        <f t="shared" si="16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13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4"/>
        <v/>
      </c>
      <c r="M65" s="19" t="str">
        <f t="shared" si="15"/>
        <v/>
      </c>
      <c r="N65" s="19" t="str">
        <f t="shared" si="16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13"/>
        <v/>
      </c>
      <c r="S65" s="27" t="str">
        <f t="shared" ref="S65:X80" si="17">IF(C65="","",((C65-C64)*1000)/($B65-$B64))</f>
        <v/>
      </c>
      <c r="T65" s="28" t="str">
        <f t="shared" si="17"/>
        <v/>
      </c>
      <c r="U65" s="28" t="str">
        <f t="shared" si="17"/>
        <v/>
      </c>
      <c r="V65" s="28" t="str">
        <f t="shared" si="17"/>
        <v/>
      </c>
      <c r="W65" s="28" t="str">
        <f t="shared" si="17"/>
        <v/>
      </c>
      <c r="X65" s="29" t="str">
        <f t="shared" si="1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4"/>
        <v/>
      </c>
      <c r="M66" s="19" t="str">
        <f t="shared" si="15"/>
        <v/>
      </c>
      <c r="N66" s="19" t="str">
        <f t="shared" si="16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13"/>
        <v/>
      </c>
      <c r="S66" s="27" t="str">
        <f t="shared" si="17"/>
        <v/>
      </c>
      <c r="T66" s="28" t="str">
        <f t="shared" si="17"/>
        <v/>
      </c>
      <c r="U66" s="28" t="str">
        <f t="shared" si="17"/>
        <v/>
      </c>
      <c r="V66" s="28" t="str">
        <f t="shared" si="17"/>
        <v/>
      </c>
      <c r="W66" s="28" t="str">
        <f t="shared" si="17"/>
        <v/>
      </c>
      <c r="X66" s="29" t="str">
        <f t="shared" si="1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4"/>
        <v/>
      </c>
      <c r="M67" s="19" t="str">
        <f t="shared" si="15"/>
        <v/>
      </c>
      <c r="N67" s="19" t="str">
        <f t="shared" si="16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13"/>
        <v/>
      </c>
      <c r="S67" s="27" t="str">
        <f t="shared" si="17"/>
        <v/>
      </c>
      <c r="T67" s="28" t="str">
        <f t="shared" si="17"/>
        <v/>
      </c>
      <c r="U67" s="28" t="str">
        <f t="shared" si="17"/>
        <v/>
      </c>
      <c r="V67" s="28" t="str">
        <f t="shared" si="17"/>
        <v/>
      </c>
      <c r="W67" s="28" t="str">
        <f t="shared" si="17"/>
        <v/>
      </c>
      <c r="X67" s="29" t="str">
        <f t="shared" si="1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4"/>
        <v/>
      </c>
      <c r="M68" s="19" t="str">
        <f t="shared" si="15"/>
        <v/>
      </c>
      <c r="N68" s="19" t="str">
        <f t="shared" si="16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13"/>
        <v/>
      </c>
      <c r="S68" s="27" t="str">
        <f t="shared" si="17"/>
        <v/>
      </c>
      <c r="T68" s="28" t="str">
        <f t="shared" si="17"/>
        <v/>
      </c>
      <c r="U68" s="28" t="str">
        <f t="shared" si="17"/>
        <v/>
      </c>
      <c r="V68" s="28" t="str">
        <f t="shared" si="17"/>
        <v/>
      </c>
      <c r="W68" s="28" t="str">
        <f t="shared" si="17"/>
        <v/>
      </c>
      <c r="X68" s="29" t="str">
        <f t="shared" si="1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4"/>
        <v/>
      </c>
      <c r="M69" s="19" t="str">
        <f t="shared" si="15"/>
        <v/>
      </c>
      <c r="N69" s="19" t="str">
        <f t="shared" si="16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13"/>
        <v/>
      </c>
      <c r="S69" s="27" t="str">
        <f t="shared" si="17"/>
        <v/>
      </c>
      <c r="T69" s="28" t="str">
        <f t="shared" si="17"/>
        <v/>
      </c>
      <c r="U69" s="28" t="str">
        <f t="shared" si="17"/>
        <v/>
      </c>
      <c r="V69" s="28" t="str">
        <f t="shared" si="17"/>
        <v/>
      </c>
      <c r="W69" s="28" t="str">
        <f t="shared" si="17"/>
        <v/>
      </c>
      <c r="X69" s="29" t="str">
        <f t="shared" si="1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13"/>
        <v/>
      </c>
      <c r="S70" s="27" t="str">
        <f t="shared" si="17"/>
        <v/>
      </c>
      <c r="T70" s="28" t="str">
        <f t="shared" si="17"/>
        <v/>
      </c>
      <c r="U70" s="28" t="str">
        <f t="shared" si="17"/>
        <v/>
      </c>
      <c r="V70" s="28" t="str">
        <f t="shared" si="17"/>
        <v/>
      </c>
      <c r="W70" s="28" t="str">
        <f t="shared" si="17"/>
        <v/>
      </c>
      <c r="X70" s="29" t="str">
        <f t="shared" si="1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13"/>
        <v/>
      </c>
      <c r="S71" s="27" t="str">
        <f t="shared" si="17"/>
        <v/>
      </c>
      <c r="T71" s="28" t="str">
        <f t="shared" si="17"/>
        <v/>
      </c>
      <c r="U71" s="28" t="str">
        <f t="shared" si="17"/>
        <v/>
      </c>
      <c r="V71" s="28" t="str">
        <f t="shared" si="17"/>
        <v/>
      </c>
      <c r="W71" s="28" t="str">
        <f t="shared" si="17"/>
        <v/>
      </c>
      <c r="X71" s="29" t="str">
        <f t="shared" si="1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13"/>
        <v/>
      </c>
      <c r="S72" s="27" t="str">
        <f t="shared" si="17"/>
        <v/>
      </c>
      <c r="T72" s="28" t="str">
        <f t="shared" si="17"/>
        <v/>
      </c>
      <c r="U72" s="28" t="str">
        <f t="shared" si="17"/>
        <v/>
      </c>
      <c r="V72" s="28" t="str">
        <f t="shared" si="17"/>
        <v/>
      </c>
      <c r="W72" s="28" t="str">
        <f t="shared" si="17"/>
        <v/>
      </c>
      <c r="X72" s="29" t="str">
        <f t="shared" si="1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13"/>
        <v/>
      </c>
      <c r="S73" s="27" t="str">
        <f t="shared" si="17"/>
        <v/>
      </c>
      <c r="T73" s="28" t="str">
        <f t="shared" si="17"/>
        <v/>
      </c>
      <c r="U73" s="28" t="str">
        <f t="shared" si="17"/>
        <v/>
      </c>
      <c r="V73" s="28" t="str">
        <f t="shared" si="17"/>
        <v/>
      </c>
      <c r="W73" s="28" t="str">
        <f t="shared" si="17"/>
        <v/>
      </c>
      <c r="X73" s="29" t="str">
        <f t="shared" si="1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13"/>
        <v/>
      </c>
      <c r="S74" s="27" t="str">
        <f t="shared" si="17"/>
        <v/>
      </c>
      <c r="T74" s="28" t="str">
        <f t="shared" si="17"/>
        <v/>
      </c>
      <c r="U74" s="28" t="str">
        <f t="shared" si="17"/>
        <v/>
      </c>
      <c r="V74" s="28" t="str">
        <f t="shared" si="17"/>
        <v/>
      </c>
      <c r="W74" s="28" t="str">
        <f t="shared" si="17"/>
        <v/>
      </c>
      <c r="X74" s="29" t="str">
        <f t="shared" si="1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13"/>
        <v/>
      </c>
      <c r="S75" s="27" t="str">
        <f t="shared" si="17"/>
        <v/>
      </c>
      <c r="T75" s="28" t="str">
        <f t="shared" si="17"/>
        <v/>
      </c>
      <c r="U75" s="28" t="str">
        <f t="shared" si="17"/>
        <v/>
      </c>
      <c r="V75" s="28" t="str">
        <f t="shared" si="17"/>
        <v/>
      </c>
      <c r="W75" s="28" t="str">
        <f t="shared" si="17"/>
        <v/>
      </c>
      <c r="X75" s="29" t="str">
        <f t="shared" si="1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13"/>
        <v/>
      </c>
      <c r="S76" s="27" t="str">
        <f t="shared" si="17"/>
        <v/>
      </c>
      <c r="T76" s="28" t="str">
        <f t="shared" si="17"/>
        <v/>
      </c>
      <c r="U76" s="28" t="str">
        <f t="shared" si="17"/>
        <v/>
      </c>
      <c r="V76" s="28" t="str">
        <f t="shared" si="17"/>
        <v/>
      </c>
      <c r="W76" s="28" t="str">
        <f t="shared" si="17"/>
        <v/>
      </c>
      <c r="X76" s="29" t="str">
        <f t="shared" si="1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13"/>
        <v/>
      </c>
      <c r="S77" s="27" t="str">
        <f t="shared" si="17"/>
        <v/>
      </c>
      <c r="T77" s="28" t="str">
        <f t="shared" si="17"/>
        <v/>
      </c>
      <c r="U77" s="28" t="str">
        <f t="shared" si="17"/>
        <v/>
      </c>
      <c r="V77" s="28" t="str">
        <f t="shared" si="17"/>
        <v/>
      </c>
      <c r="W77" s="28" t="str">
        <f t="shared" si="17"/>
        <v/>
      </c>
      <c r="X77" s="29" t="str">
        <f t="shared" si="1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13"/>
        <v/>
      </c>
      <c r="S78" s="27" t="str">
        <f t="shared" si="17"/>
        <v/>
      </c>
      <c r="T78" s="28" t="str">
        <f t="shared" si="17"/>
        <v/>
      </c>
      <c r="U78" s="28" t="str">
        <f t="shared" si="17"/>
        <v/>
      </c>
      <c r="V78" s="28" t="str">
        <f t="shared" si="17"/>
        <v/>
      </c>
      <c r="W78" s="28" t="str">
        <f t="shared" si="17"/>
        <v/>
      </c>
      <c r="X78" s="29" t="str">
        <f t="shared" si="1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13"/>
        <v/>
      </c>
      <c r="S79" s="27" t="str">
        <f t="shared" si="17"/>
        <v/>
      </c>
      <c r="T79" s="28" t="str">
        <f t="shared" si="17"/>
        <v/>
      </c>
      <c r="U79" s="28" t="str">
        <f t="shared" si="17"/>
        <v/>
      </c>
      <c r="V79" s="28" t="str">
        <f t="shared" si="17"/>
        <v/>
      </c>
      <c r="W79" s="28" t="str">
        <f t="shared" si="17"/>
        <v/>
      </c>
      <c r="X79" s="29" t="str">
        <f t="shared" si="1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13"/>
        <v/>
      </c>
      <c r="S80" s="27" t="str">
        <f t="shared" si="17"/>
        <v/>
      </c>
      <c r="T80" s="28" t="str">
        <f t="shared" si="17"/>
        <v/>
      </c>
      <c r="U80" s="28" t="str">
        <f t="shared" si="17"/>
        <v/>
      </c>
      <c r="V80" s="28" t="str">
        <f t="shared" si="17"/>
        <v/>
      </c>
      <c r="W80" s="28" t="str">
        <f t="shared" si="17"/>
        <v/>
      </c>
      <c r="X80" s="29" t="str">
        <f t="shared" si="1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13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13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13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13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13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13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13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13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13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si="13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3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3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3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ref="R94:R116" si="19">IF(ISBLANK(I94),"",(I94-I$16)*1000)</f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20">IF(ISBLANK(C95),"",(C95-C$16)*1000)</f>
        <v/>
      </c>
      <c r="M95" s="19" t="str">
        <f t="shared" ref="M95:M116" si="21">IF(ISBLANK(D95),"",(D95-D$16)*1000)</f>
        <v/>
      </c>
      <c r="N95" s="19" t="str">
        <f t="shared" ref="N95:N116" si="22">IF(ISBLANK(E95),"",(E95-E$16)*1000)</f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9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9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9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9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9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9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9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9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ref="O103:O153" si="24">IF(ISBLANK(F103),"",((F103-F$38)*1000)+L$38)</f>
        <v/>
      </c>
      <c r="P103" s="19" t="str">
        <f t="shared" ref="P103:P153" si="25">IF(ISBLANK(G103),"",((G103-G$38)*1000)+M$38)</f>
        <v/>
      </c>
      <c r="Q103" s="19" t="str">
        <f t="shared" ref="Q103:Q153" si="26">IF(ISBLANK(H103),"",((H103-H$38)*1000)+N$38)</f>
        <v/>
      </c>
      <c r="R103" s="19" t="str">
        <f t="shared" si="19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24"/>
        <v/>
      </c>
      <c r="P104" s="19" t="str">
        <f t="shared" si="25"/>
        <v/>
      </c>
      <c r="Q104" s="19" t="str">
        <f t="shared" si="26"/>
        <v/>
      </c>
      <c r="R104" s="19" t="str">
        <f t="shared" si="19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24"/>
        <v/>
      </c>
      <c r="P105" s="19" t="str">
        <f t="shared" si="25"/>
        <v/>
      </c>
      <c r="Q105" s="19" t="str">
        <f t="shared" si="26"/>
        <v/>
      </c>
      <c r="R105" s="19" t="str">
        <f t="shared" si="19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24"/>
        <v/>
      </c>
      <c r="P106" s="19" t="str">
        <f t="shared" si="25"/>
        <v/>
      </c>
      <c r="Q106" s="19" t="str">
        <f t="shared" si="26"/>
        <v/>
      </c>
      <c r="R106" s="19" t="str">
        <f t="shared" si="19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24"/>
        <v/>
      </c>
      <c r="P107" s="19" t="str">
        <f t="shared" si="25"/>
        <v/>
      </c>
      <c r="Q107" s="19" t="str">
        <f t="shared" si="26"/>
        <v/>
      </c>
      <c r="R107" s="19" t="str">
        <f t="shared" si="19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24"/>
        <v/>
      </c>
      <c r="P108" s="19" t="str">
        <f t="shared" si="25"/>
        <v/>
      </c>
      <c r="Q108" s="19" t="str">
        <f t="shared" si="26"/>
        <v/>
      </c>
      <c r="R108" s="19" t="str">
        <f t="shared" si="19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24"/>
        <v/>
      </c>
      <c r="P109" s="19" t="str">
        <f t="shared" si="25"/>
        <v/>
      </c>
      <c r="Q109" s="19" t="str">
        <f t="shared" si="26"/>
        <v/>
      </c>
      <c r="R109" s="19" t="str">
        <f t="shared" si="19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24"/>
        <v/>
      </c>
      <c r="P110" s="19" t="str">
        <f t="shared" si="25"/>
        <v/>
      </c>
      <c r="Q110" s="19" t="str">
        <f t="shared" si="26"/>
        <v/>
      </c>
      <c r="R110" s="19" t="str">
        <f t="shared" si="19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24"/>
        <v/>
      </c>
      <c r="P111" s="19" t="str">
        <f t="shared" si="25"/>
        <v/>
      </c>
      <c r="Q111" s="19" t="str">
        <f t="shared" si="26"/>
        <v/>
      </c>
      <c r="R111" s="19" t="str">
        <f t="shared" si="19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24"/>
        <v/>
      </c>
      <c r="P112" s="19" t="str">
        <f t="shared" si="25"/>
        <v/>
      </c>
      <c r="Q112" s="19" t="str">
        <f t="shared" si="26"/>
        <v/>
      </c>
      <c r="R112" s="19" t="str">
        <f t="shared" si="19"/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24"/>
        <v/>
      </c>
      <c r="P113" s="19" t="str">
        <f t="shared" si="25"/>
        <v/>
      </c>
      <c r="Q113" s="19" t="str">
        <f t="shared" si="26"/>
        <v/>
      </c>
      <c r="R113" s="19" t="str">
        <f t="shared" si="19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24"/>
        <v/>
      </c>
      <c r="P114" s="19" t="str">
        <f t="shared" si="25"/>
        <v/>
      </c>
      <c r="Q114" s="19" t="str">
        <f t="shared" si="26"/>
        <v/>
      </c>
      <c r="R114" s="19" t="str">
        <f t="shared" si="19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24"/>
        <v/>
      </c>
      <c r="P115" s="19" t="str">
        <f t="shared" si="25"/>
        <v/>
      </c>
      <c r="Q115" s="19" t="str">
        <f t="shared" si="26"/>
        <v/>
      </c>
      <c r="R115" s="19" t="str">
        <f t="shared" si="19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24"/>
        <v/>
      </c>
      <c r="P116" s="19" t="str">
        <f t="shared" si="25"/>
        <v/>
      </c>
      <c r="Q116" s="19" t="str">
        <f t="shared" si="26"/>
        <v/>
      </c>
      <c r="R116" s="19" t="str">
        <f t="shared" si="19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8">IF(ISBLANK(D117),"",(D117-D$16)*1000)</f>
        <v/>
      </c>
      <c r="N117" s="19" t="str">
        <f t="shared" si="28"/>
        <v/>
      </c>
      <c r="O117" s="19" t="str">
        <f t="shared" si="24"/>
        <v/>
      </c>
      <c r="P117" s="19" t="str">
        <f t="shared" si="25"/>
        <v/>
      </c>
      <c r="Q117" s="19" t="str">
        <f t="shared" si="26"/>
        <v/>
      </c>
      <c r="R117" s="19" t="str">
        <f t="shared" si="28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9">IF(ISBLANK(C118),"",(C118-C$16)*1000)</f>
        <v/>
      </c>
      <c r="M118" s="19" t="str">
        <f t="shared" si="28"/>
        <v/>
      </c>
      <c r="N118" s="19" t="str">
        <f t="shared" si="28"/>
        <v/>
      </c>
      <c r="O118" s="19" t="str">
        <f t="shared" si="24"/>
        <v/>
      </c>
      <c r="P118" s="19" t="str">
        <f t="shared" si="25"/>
        <v/>
      </c>
      <c r="Q118" s="19" t="str">
        <f t="shared" si="26"/>
        <v/>
      </c>
      <c r="R118" s="19" t="str">
        <f t="shared" si="28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9"/>
        <v/>
      </c>
      <c r="M119" s="19" t="str">
        <f t="shared" si="28"/>
        <v/>
      </c>
      <c r="N119" s="19" t="str">
        <f t="shared" si="28"/>
        <v/>
      </c>
      <c r="O119" s="19" t="str">
        <f t="shared" si="24"/>
        <v/>
      </c>
      <c r="P119" s="19" t="str">
        <f t="shared" si="25"/>
        <v/>
      </c>
      <c r="Q119" s="19" t="str">
        <f t="shared" si="26"/>
        <v/>
      </c>
      <c r="R119" s="19" t="str">
        <f t="shared" si="28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9"/>
        <v/>
      </c>
      <c r="M120" s="19" t="str">
        <f t="shared" si="28"/>
        <v/>
      </c>
      <c r="N120" s="19" t="str">
        <f t="shared" si="28"/>
        <v/>
      </c>
      <c r="O120" s="19" t="str">
        <f t="shared" si="24"/>
        <v/>
      </c>
      <c r="P120" s="19" t="str">
        <f t="shared" si="25"/>
        <v/>
      </c>
      <c r="Q120" s="19" t="str">
        <f t="shared" si="26"/>
        <v/>
      </c>
      <c r="R120" s="19" t="str">
        <f t="shared" si="28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9"/>
        <v/>
      </c>
      <c r="M121" s="19" t="str">
        <f t="shared" si="28"/>
        <v/>
      </c>
      <c r="N121" s="19" t="str">
        <f t="shared" si="28"/>
        <v/>
      </c>
      <c r="O121" s="19" t="str">
        <f t="shared" si="24"/>
        <v/>
      </c>
      <c r="P121" s="19" t="str">
        <f t="shared" si="25"/>
        <v/>
      </c>
      <c r="Q121" s="19" t="str">
        <f t="shared" si="26"/>
        <v/>
      </c>
      <c r="R121" s="19" t="str">
        <f t="shared" si="28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9"/>
        <v/>
      </c>
      <c r="M122" s="19" t="str">
        <f t="shared" si="28"/>
        <v/>
      </c>
      <c r="N122" s="19" t="str">
        <f t="shared" si="28"/>
        <v/>
      </c>
      <c r="O122" s="19" t="str">
        <f t="shared" si="24"/>
        <v/>
      </c>
      <c r="P122" s="19" t="str">
        <f t="shared" si="25"/>
        <v/>
      </c>
      <c r="Q122" s="19" t="str">
        <f t="shared" si="26"/>
        <v/>
      </c>
      <c r="R122" s="19" t="str">
        <f t="shared" si="28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9"/>
        <v/>
      </c>
      <c r="M123" s="19" t="str">
        <f t="shared" si="28"/>
        <v/>
      </c>
      <c r="N123" s="19" t="str">
        <f t="shared" si="28"/>
        <v/>
      </c>
      <c r="O123" s="19" t="str">
        <f t="shared" si="24"/>
        <v/>
      </c>
      <c r="P123" s="19" t="str">
        <f t="shared" si="25"/>
        <v/>
      </c>
      <c r="Q123" s="19" t="str">
        <f t="shared" si="26"/>
        <v/>
      </c>
      <c r="R123" s="19" t="str">
        <f t="shared" si="28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9"/>
        <v/>
      </c>
      <c r="M124" s="19" t="str">
        <f t="shared" si="28"/>
        <v/>
      </c>
      <c r="N124" s="19" t="str">
        <f t="shared" si="28"/>
        <v/>
      </c>
      <c r="O124" s="19" t="str">
        <f t="shared" si="24"/>
        <v/>
      </c>
      <c r="P124" s="19" t="str">
        <f t="shared" si="25"/>
        <v/>
      </c>
      <c r="Q124" s="19" t="str">
        <f t="shared" si="26"/>
        <v/>
      </c>
      <c r="R124" s="19" t="str">
        <f t="shared" si="28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9"/>
        <v/>
      </c>
      <c r="M125" s="19" t="str">
        <f t="shared" si="28"/>
        <v/>
      </c>
      <c r="N125" s="19" t="str">
        <f t="shared" si="28"/>
        <v/>
      </c>
      <c r="O125" s="19" t="str">
        <f t="shared" si="24"/>
        <v/>
      </c>
      <c r="P125" s="19" t="str">
        <f t="shared" si="25"/>
        <v/>
      </c>
      <c r="Q125" s="19" t="str">
        <f t="shared" si="26"/>
        <v/>
      </c>
      <c r="R125" s="19" t="str">
        <f t="shared" si="28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9"/>
        <v/>
      </c>
      <c r="M126" s="19" t="str">
        <f t="shared" si="28"/>
        <v/>
      </c>
      <c r="N126" s="19" t="str">
        <f t="shared" si="28"/>
        <v/>
      </c>
      <c r="O126" s="19" t="str">
        <f t="shared" si="24"/>
        <v/>
      </c>
      <c r="P126" s="19" t="str">
        <f t="shared" si="25"/>
        <v/>
      </c>
      <c r="Q126" s="19" t="str">
        <f t="shared" si="26"/>
        <v/>
      </c>
      <c r="R126" s="19" t="str">
        <f t="shared" si="28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9"/>
        <v/>
      </c>
      <c r="M127" s="19" t="str">
        <f t="shared" si="28"/>
        <v/>
      </c>
      <c r="N127" s="19" t="str">
        <f t="shared" si="28"/>
        <v/>
      </c>
      <c r="O127" s="19" t="str">
        <f t="shared" si="24"/>
        <v/>
      </c>
      <c r="P127" s="19" t="str">
        <f t="shared" si="25"/>
        <v/>
      </c>
      <c r="Q127" s="19" t="str">
        <f t="shared" si="26"/>
        <v/>
      </c>
      <c r="R127" s="19" t="str">
        <f t="shared" si="28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9"/>
        <v/>
      </c>
      <c r="M128" s="19" t="str">
        <f t="shared" si="28"/>
        <v/>
      </c>
      <c r="N128" s="19" t="str">
        <f t="shared" si="28"/>
        <v/>
      </c>
      <c r="O128" s="19" t="str">
        <f t="shared" si="24"/>
        <v/>
      </c>
      <c r="P128" s="19" t="str">
        <f t="shared" si="25"/>
        <v/>
      </c>
      <c r="Q128" s="19" t="str">
        <f t="shared" si="26"/>
        <v/>
      </c>
      <c r="R128" s="19" t="str">
        <f t="shared" si="28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9"/>
        <v/>
      </c>
      <c r="M129" s="19" t="str">
        <f t="shared" si="28"/>
        <v/>
      </c>
      <c r="N129" s="19" t="str">
        <f t="shared" si="28"/>
        <v/>
      </c>
      <c r="O129" s="19" t="str">
        <f t="shared" si="24"/>
        <v/>
      </c>
      <c r="P129" s="19" t="str">
        <f t="shared" si="25"/>
        <v/>
      </c>
      <c r="Q129" s="19" t="str">
        <f t="shared" si="26"/>
        <v/>
      </c>
      <c r="R129" s="19" t="str">
        <f t="shared" si="28"/>
        <v/>
      </c>
      <c r="S129" s="27" t="str">
        <f t="shared" ref="S129:X144" si="30">IF(C129="","",((C129-C128)*1000)/($B129-$B128))</f>
        <v/>
      </c>
      <c r="T129" s="28" t="str">
        <f t="shared" si="30"/>
        <v/>
      </c>
      <c r="U129" s="28" t="str">
        <f t="shared" si="30"/>
        <v/>
      </c>
      <c r="V129" s="28" t="str">
        <f t="shared" si="30"/>
        <v/>
      </c>
      <c r="W129" s="28" t="str">
        <f t="shared" si="30"/>
        <v/>
      </c>
      <c r="X129" s="29" t="str">
        <f t="shared" si="30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9"/>
        <v/>
      </c>
      <c r="M130" s="19" t="str">
        <f t="shared" si="28"/>
        <v/>
      </c>
      <c r="N130" s="19" t="str">
        <f t="shared" si="28"/>
        <v/>
      </c>
      <c r="O130" s="19" t="str">
        <f t="shared" si="24"/>
        <v/>
      </c>
      <c r="P130" s="19" t="str">
        <f t="shared" si="25"/>
        <v/>
      </c>
      <c r="Q130" s="19" t="str">
        <f t="shared" si="26"/>
        <v/>
      </c>
      <c r="R130" s="19" t="str">
        <f t="shared" si="28"/>
        <v/>
      </c>
      <c r="S130" s="27" t="str">
        <f t="shared" si="30"/>
        <v/>
      </c>
      <c r="T130" s="28" t="str">
        <f t="shared" si="30"/>
        <v/>
      </c>
      <c r="U130" s="28" t="str">
        <f t="shared" si="30"/>
        <v/>
      </c>
      <c r="V130" s="28" t="str">
        <f t="shared" si="30"/>
        <v/>
      </c>
      <c r="W130" s="28" t="str">
        <f t="shared" si="30"/>
        <v/>
      </c>
      <c r="X130" s="29" t="str">
        <f t="shared" si="30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9"/>
        <v/>
      </c>
      <c r="M131" s="19" t="str">
        <f t="shared" si="28"/>
        <v/>
      </c>
      <c r="N131" s="19" t="str">
        <f t="shared" si="28"/>
        <v/>
      </c>
      <c r="O131" s="19" t="str">
        <f t="shared" si="24"/>
        <v/>
      </c>
      <c r="P131" s="19" t="str">
        <f t="shared" si="25"/>
        <v/>
      </c>
      <c r="Q131" s="19" t="str">
        <f t="shared" si="26"/>
        <v/>
      </c>
      <c r="R131" s="19" t="str">
        <f t="shared" si="28"/>
        <v/>
      </c>
      <c r="S131" s="27" t="str">
        <f t="shared" si="30"/>
        <v/>
      </c>
      <c r="T131" s="28" t="str">
        <f t="shared" si="30"/>
        <v/>
      </c>
      <c r="U131" s="28" t="str">
        <f t="shared" si="30"/>
        <v/>
      </c>
      <c r="V131" s="28" t="str">
        <f t="shared" si="30"/>
        <v/>
      </c>
      <c r="W131" s="28" t="str">
        <f t="shared" si="30"/>
        <v/>
      </c>
      <c r="X131" s="29" t="str">
        <f t="shared" si="30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9"/>
        <v/>
      </c>
      <c r="M132" s="19" t="str">
        <f t="shared" si="28"/>
        <v/>
      </c>
      <c r="N132" s="19" t="str">
        <f t="shared" si="28"/>
        <v/>
      </c>
      <c r="O132" s="19" t="str">
        <f t="shared" si="24"/>
        <v/>
      </c>
      <c r="P132" s="19" t="str">
        <f t="shared" si="25"/>
        <v/>
      </c>
      <c r="Q132" s="19" t="str">
        <f t="shared" si="26"/>
        <v/>
      </c>
      <c r="R132" s="19" t="str">
        <f t="shared" si="28"/>
        <v/>
      </c>
      <c r="S132" s="27" t="str">
        <f t="shared" si="30"/>
        <v/>
      </c>
      <c r="T132" s="28" t="str">
        <f t="shared" si="30"/>
        <v/>
      </c>
      <c r="U132" s="28" t="str">
        <f t="shared" si="30"/>
        <v/>
      </c>
      <c r="V132" s="28" t="str">
        <f t="shared" si="30"/>
        <v/>
      </c>
      <c r="W132" s="28" t="str">
        <f t="shared" si="30"/>
        <v/>
      </c>
      <c r="X132" s="29" t="str">
        <f t="shared" si="30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9"/>
        <v/>
      </c>
      <c r="M133" s="19" t="str">
        <f t="shared" si="28"/>
        <v/>
      </c>
      <c r="N133" s="19" t="str">
        <f t="shared" si="28"/>
        <v/>
      </c>
      <c r="O133" s="19" t="str">
        <f t="shared" si="24"/>
        <v/>
      </c>
      <c r="P133" s="19" t="str">
        <f t="shared" si="25"/>
        <v/>
      </c>
      <c r="Q133" s="19" t="str">
        <f t="shared" si="26"/>
        <v/>
      </c>
      <c r="R133" s="19" t="str">
        <f t="shared" si="28"/>
        <v/>
      </c>
      <c r="S133" s="27" t="str">
        <f t="shared" si="30"/>
        <v/>
      </c>
      <c r="T133" s="28" t="str">
        <f t="shared" si="30"/>
        <v/>
      </c>
      <c r="U133" s="28" t="str">
        <f t="shared" si="30"/>
        <v/>
      </c>
      <c r="V133" s="28" t="str">
        <f t="shared" si="30"/>
        <v/>
      </c>
      <c r="W133" s="28" t="str">
        <f t="shared" si="30"/>
        <v/>
      </c>
      <c r="X133" s="29" t="str">
        <f t="shared" si="30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9"/>
        <v/>
      </c>
      <c r="M134" s="19" t="str">
        <f t="shared" si="28"/>
        <v/>
      </c>
      <c r="N134" s="19" t="str">
        <f t="shared" si="28"/>
        <v/>
      </c>
      <c r="O134" s="19" t="str">
        <f t="shared" si="24"/>
        <v/>
      </c>
      <c r="P134" s="19" t="str">
        <f t="shared" si="25"/>
        <v/>
      </c>
      <c r="Q134" s="19" t="str">
        <f t="shared" si="26"/>
        <v/>
      </c>
      <c r="R134" s="19" t="str">
        <f t="shared" si="28"/>
        <v/>
      </c>
      <c r="S134" s="27" t="str">
        <f t="shared" si="30"/>
        <v/>
      </c>
      <c r="T134" s="28" t="str">
        <f t="shared" si="30"/>
        <v/>
      </c>
      <c r="U134" s="28" t="str">
        <f t="shared" si="30"/>
        <v/>
      </c>
      <c r="V134" s="28" t="str">
        <f t="shared" si="30"/>
        <v/>
      </c>
      <c r="W134" s="28" t="str">
        <f t="shared" si="30"/>
        <v/>
      </c>
      <c r="X134" s="29" t="str">
        <f t="shared" si="30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9"/>
        <v/>
      </c>
      <c r="M135" s="19" t="str">
        <f t="shared" si="28"/>
        <v/>
      </c>
      <c r="N135" s="19" t="str">
        <f t="shared" si="28"/>
        <v/>
      </c>
      <c r="O135" s="19" t="str">
        <f t="shared" si="24"/>
        <v/>
      </c>
      <c r="P135" s="19" t="str">
        <f t="shared" si="25"/>
        <v/>
      </c>
      <c r="Q135" s="19" t="str">
        <f t="shared" si="26"/>
        <v/>
      </c>
      <c r="R135" s="19" t="str">
        <f t="shared" si="28"/>
        <v/>
      </c>
      <c r="S135" s="27" t="str">
        <f t="shared" si="30"/>
        <v/>
      </c>
      <c r="T135" s="28" t="str">
        <f t="shared" si="30"/>
        <v/>
      </c>
      <c r="U135" s="28" t="str">
        <f t="shared" si="30"/>
        <v/>
      </c>
      <c r="V135" s="28" t="str">
        <f t="shared" si="30"/>
        <v/>
      </c>
      <c r="W135" s="28" t="str">
        <f t="shared" si="30"/>
        <v/>
      </c>
      <c r="X135" s="29" t="str">
        <f t="shared" si="30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9"/>
        <v/>
      </c>
      <c r="M136" s="19" t="str">
        <f t="shared" si="28"/>
        <v/>
      </c>
      <c r="N136" s="19" t="str">
        <f t="shared" si="28"/>
        <v/>
      </c>
      <c r="O136" s="19" t="str">
        <f t="shared" si="24"/>
        <v/>
      </c>
      <c r="P136" s="19" t="str">
        <f t="shared" si="25"/>
        <v/>
      </c>
      <c r="Q136" s="19" t="str">
        <f t="shared" si="26"/>
        <v/>
      </c>
      <c r="R136" s="19" t="str">
        <f t="shared" si="28"/>
        <v/>
      </c>
      <c r="S136" s="27" t="str">
        <f t="shared" si="30"/>
        <v/>
      </c>
      <c r="T136" s="28" t="str">
        <f t="shared" si="30"/>
        <v/>
      </c>
      <c r="U136" s="28" t="str">
        <f t="shared" si="30"/>
        <v/>
      </c>
      <c r="V136" s="28" t="str">
        <f t="shared" si="30"/>
        <v/>
      </c>
      <c r="W136" s="28" t="str">
        <f t="shared" si="30"/>
        <v/>
      </c>
      <c r="X136" s="29" t="str">
        <f t="shared" si="30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9"/>
        <v/>
      </c>
      <c r="M137" s="19" t="str">
        <f t="shared" si="28"/>
        <v/>
      </c>
      <c r="N137" s="19" t="str">
        <f t="shared" si="28"/>
        <v/>
      </c>
      <c r="O137" s="19" t="str">
        <f t="shared" si="24"/>
        <v/>
      </c>
      <c r="P137" s="19" t="str">
        <f t="shared" si="25"/>
        <v/>
      </c>
      <c r="Q137" s="19" t="str">
        <f t="shared" si="26"/>
        <v/>
      </c>
      <c r="R137" s="19" t="str">
        <f t="shared" si="28"/>
        <v/>
      </c>
      <c r="S137" s="27" t="str">
        <f t="shared" si="30"/>
        <v/>
      </c>
      <c r="T137" s="28" t="str">
        <f t="shared" si="30"/>
        <v/>
      </c>
      <c r="U137" s="28" t="str">
        <f t="shared" si="30"/>
        <v/>
      </c>
      <c r="V137" s="28" t="str">
        <f t="shared" si="30"/>
        <v/>
      </c>
      <c r="W137" s="28" t="str">
        <f t="shared" si="30"/>
        <v/>
      </c>
      <c r="X137" s="29" t="str">
        <f t="shared" si="30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9"/>
        <v/>
      </c>
      <c r="M138" s="19" t="str">
        <f t="shared" si="28"/>
        <v/>
      </c>
      <c r="N138" s="19" t="str">
        <f t="shared" si="28"/>
        <v/>
      </c>
      <c r="O138" s="19" t="str">
        <f t="shared" si="24"/>
        <v/>
      </c>
      <c r="P138" s="19" t="str">
        <f t="shared" si="25"/>
        <v/>
      </c>
      <c r="Q138" s="19" t="str">
        <f t="shared" si="26"/>
        <v/>
      </c>
      <c r="R138" s="19" t="str">
        <f t="shared" si="28"/>
        <v/>
      </c>
      <c r="S138" s="27" t="str">
        <f t="shared" si="30"/>
        <v/>
      </c>
      <c r="T138" s="28" t="str">
        <f t="shared" si="30"/>
        <v/>
      </c>
      <c r="U138" s="28" t="str">
        <f t="shared" si="30"/>
        <v/>
      </c>
      <c r="V138" s="28" t="str">
        <f t="shared" si="30"/>
        <v/>
      </c>
      <c r="W138" s="28" t="str">
        <f t="shared" si="30"/>
        <v/>
      </c>
      <c r="X138" s="29" t="str">
        <f t="shared" si="30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9"/>
        <v/>
      </c>
      <c r="M139" s="19" t="str">
        <f t="shared" si="28"/>
        <v/>
      </c>
      <c r="N139" s="19" t="str">
        <f t="shared" si="28"/>
        <v/>
      </c>
      <c r="O139" s="19" t="str">
        <f t="shared" si="24"/>
        <v/>
      </c>
      <c r="P139" s="19" t="str">
        <f t="shared" si="25"/>
        <v/>
      </c>
      <c r="Q139" s="19" t="str">
        <f t="shared" si="26"/>
        <v/>
      </c>
      <c r="R139" s="19" t="str">
        <f t="shared" si="28"/>
        <v/>
      </c>
      <c r="S139" s="27" t="str">
        <f t="shared" si="30"/>
        <v/>
      </c>
      <c r="T139" s="28" t="str">
        <f t="shared" si="30"/>
        <v/>
      </c>
      <c r="U139" s="28" t="str">
        <f t="shared" si="30"/>
        <v/>
      </c>
      <c r="V139" s="28" t="str">
        <f t="shared" si="30"/>
        <v/>
      </c>
      <c r="W139" s="28" t="str">
        <f t="shared" si="30"/>
        <v/>
      </c>
      <c r="X139" s="29" t="str">
        <f t="shared" si="30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9"/>
        <v/>
      </c>
      <c r="M140" s="19" t="str">
        <f t="shared" si="28"/>
        <v/>
      </c>
      <c r="N140" s="19" t="str">
        <f t="shared" si="28"/>
        <v/>
      </c>
      <c r="O140" s="19" t="str">
        <f t="shared" si="24"/>
        <v/>
      </c>
      <c r="P140" s="19" t="str">
        <f t="shared" si="25"/>
        <v/>
      </c>
      <c r="Q140" s="19" t="str">
        <f t="shared" si="26"/>
        <v/>
      </c>
      <c r="R140" s="19" t="str">
        <f t="shared" si="28"/>
        <v/>
      </c>
      <c r="S140" s="27" t="str">
        <f t="shared" si="30"/>
        <v/>
      </c>
      <c r="T140" s="28" t="str">
        <f t="shared" si="30"/>
        <v/>
      </c>
      <c r="U140" s="28" t="str">
        <f t="shared" si="30"/>
        <v/>
      </c>
      <c r="V140" s="28" t="str">
        <f t="shared" si="30"/>
        <v/>
      </c>
      <c r="W140" s="28" t="str">
        <f t="shared" si="30"/>
        <v/>
      </c>
      <c r="X140" s="29" t="str">
        <f t="shared" si="30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9"/>
        <v/>
      </c>
      <c r="M141" s="19" t="str">
        <f t="shared" si="28"/>
        <v/>
      </c>
      <c r="N141" s="19" t="str">
        <f t="shared" si="28"/>
        <v/>
      </c>
      <c r="O141" s="19" t="str">
        <f t="shared" si="24"/>
        <v/>
      </c>
      <c r="P141" s="19" t="str">
        <f t="shared" si="25"/>
        <v/>
      </c>
      <c r="Q141" s="19" t="str">
        <f t="shared" si="26"/>
        <v/>
      </c>
      <c r="R141" s="19" t="str">
        <f t="shared" si="28"/>
        <v/>
      </c>
      <c r="S141" s="27" t="str">
        <f t="shared" si="30"/>
        <v/>
      </c>
      <c r="T141" s="28" t="str">
        <f t="shared" si="30"/>
        <v/>
      </c>
      <c r="U141" s="28" t="str">
        <f t="shared" si="30"/>
        <v/>
      </c>
      <c r="V141" s="28" t="str">
        <f t="shared" si="30"/>
        <v/>
      </c>
      <c r="W141" s="28" t="str">
        <f t="shared" si="30"/>
        <v/>
      </c>
      <c r="X141" s="29" t="str">
        <f t="shared" si="30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9"/>
        <v/>
      </c>
      <c r="M142" s="19" t="str">
        <f t="shared" si="28"/>
        <v/>
      </c>
      <c r="N142" s="19" t="str">
        <f t="shared" si="28"/>
        <v/>
      </c>
      <c r="O142" s="19" t="str">
        <f t="shared" si="24"/>
        <v/>
      </c>
      <c r="P142" s="19" t="str">
        <f t="shared" si="25"/>
        <v/>
      </c>
      <c r="Q142" s="19" t="str">
        <f t="shared" si="26"/>
        <v/>
      </c>
      <c r="R142" s="19" t="str">
        <f t="shared" si="28"/>
        <v/>
      </c>
      <c r="S142" s="27" t="str">
        <f t="shared" si="30"/>
        <v/>
      </c>
      <c r="T142" s="28" t="str">
        <f t="shared" si="30"/>
        <v/>
      </c>
      <c r="U142" s="28" t="str">
        <f t="shared" si="30"/>
        <v/>
      </c>
      <c r="V142" s="28" t="str">
        <f t="shared" si="30"/>
        <v/>
      </c>
      <c r="W142" s="28" t="str">
        <f t="shared" si="30"/>
        <v/>
      </c>
      <c r="X142" s="29" t="str">
        <f t="shared" si="30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9"/>
        <v/>
      </c>
      <c r="M143" s="19" t="str">
        <f t="shared" si="28"/>
        <v/>
      </c>
      <c r="N143" s="19" t="str">
        <f t="shared" si="28"/>
        <v/>
      </c>
      <c r="O143" s="19" t="str">
        <f t="shared" si="24"/>
        <v/>
      </c>
      <c r="P143" s="19" t="str">
        <f t="shared" si="25"/>
        <v/>
      </c>
      <c r="Q143" s="19" t="str">
        <f t="shared" si="26"/>
        <v/>
      </c>
      <c r="R143" s="19" t="str">
        <f t="shared" si="28"/>
        <v/>
      </c>
      <c r="S143" s="27" t="str">
        <f t="shared" si="30"/>
        <v/>
      </c>
      <c r="T143" s="28" t="str">
        <f t="shared" si="30"/>
        <v/>
      </c>
      <c r="U143" s="28" t="str">
        <f t="shared" si="30"/>
        <v/>
      </c>
      <c r="V143" s="28" t="str">
        <f t="shared" si="30"/>
        <v/>
      </c>
      <c r="W143" s="28" t="str">
        <f t="shared" si="30"/>
        <v/>
      </c>
      <c r="X143" s="29" t="str">
        <f t="shared" si="30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9"/>
        <v/>
      </c>
      <c r="M144" s="19" t="str">
        <f t="shared" si="28"/>
        <v/>
      </c>
      <c r="N144" s="19" t="str">
        <f t="shared" si="28"/>
        <v/>
      </c>
      <c r="O144" s="19" t="str">
        <f t="shared" si="24"/>
        <v/>
      </c>
      <c r="P144" s="19" t="str">
        <f t="shared" si="25"/>
        <v/>
      </c>
      <c r="Q144" s="19" t="str">
        <f t="shared" si="26"/>
        <v/>
      </c>
      <c r="R144" s="19" t="str">
        <f t="shared" si="28"/>
        <v/>
      </c>
      <c r="S144" s="27" t="str">
        <f t="shared" si="30"/>
        <v/>
      </c>
      <c r="T144" s="28" t="str">
        <f t="shared" si="30"/>
        <v/>
      </c>
      <c r="U144" s="28" t="str">
        <f t="shared" si="30"/>
        <v/>
      </c>
      <c r="V144" s="28" t="str">
        <f t="shared" si="30"/>
        <v/>
      </c>
      <c r="W144" s="28" t="str">
        <f t="shared" si="30"/>
        <v/>
      </c>
      <c r="X144" s="29" t="str">
        <f t="shared" si="30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9"/>
        <v/>
      </c>
      <c r="M145" s="19" t="str">
        <f t="shared" si="28"/>
        <v/>
      </c>
      <c r="N145" s="19" t="str">
        <f t="shared" si="28"/>
        <v/>
      </c>
      <c r="O145" s="19" t="str">
        <f t="shared" si="24"/>
        <v/>
      </c>
      <c r="P145" s="19" t="str">
        <f t="shared" si="25"/>
        <v/>
      </c>
      <c r="Q145" s="19" t="str">
        <f t="shared" si="26"/>
        <v/>
      </c>
      <c r="R145" s="19" t="str">
        <f t="shared" si="28"/>
        <v/>
      </c>
      <c r="S145" s="27" t="str">
        <f t="shared" ref="S145:X153" si="31">IF(C145="","",((C145-C144)*1000)/($B145-$B144))</f>
        <v/>
      </c>
      <c r="T145" s="28" t="str">
        <f t="shared" si="31"/>
        <v/>
      </c>
      <c r="U145" s="28" t="str">
        <f t="shared" si="31"/>
        <v/>
      </c>
      <c r="V145" s="28" t="str">
        <f t="shared" si="31"/>
        <v/>
      </c>
      <c r="W145" s="28" t="str">
        <f t="shared" si="31"/>
        <v/>
      </c>
      <c r="X145" s="29" t="str">
        <f t="shared" si="31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9"/>
        <v/>
      </c>
      <c r="M146" s="19" t="str">
        <f t="shared" si="28"/>
        <v/>
      </c>
      <c r="N146" s="19" t="str">
        <f t="shared" si="28"/>
        <v/>
      </c>
      <c r="O146" s="19" t="str">
        <f t="shared" si="24"/>
        <v/>
      </c>
      <c r="P146" s="19" t="str">
        <f t="shared" si="25"/>
        <v/>
      </c>
      <c r="Q146" s="19" t="str">
        <f t="shared" si="26"/>
        <v/>
      </c>
      <c r="R146" s="19" t="str">
        <f t="shared" si="28"/>
        <v/>
      </c>
      <c r="S146" s="27" t="str">
        <f t="shared" si="31"/>
        <v/>
      </c>
      <c r="T146" s="28" t="str">
        <f t="shared" si="31"/>
        <v/>
      </c>
      <c r="U146" s="28" t="str">
        <f t="shared" si="31"/>
        <v/>
      </c>
      <c r="V146" s="28" t="str">
        <f t="shared" si="31"/>
        <v/>
      </c>
      <c r="W146" s="28" t="str">
        <f t="shared" si="31"/>
        <v/>
      </c>
      <c r="X146" s="29" t="str">
        <f t="shared" si="31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9"/>
        <v/>
      </c>
      <c r="M147" s="19" t="str">
        <f t="shared" si="28"/>
        <v/>
      </c>
      <c r="N147" s="19" t="str">
        <f t="shared" si="28"/>
        <v/>
      </c>
      <c r="O147" s="19" t="str">
        <f t="shared" si="24"/>
        <v/>
      </c>
      <c r="P147" s="19" t="str">
        <f t="shared" si="25"/>
        <v/>
      </c>
      <c r="Q147" s="19" t="str">
        <f t="shared" si="26"/>
        <v/>
      </c>
      <c r="R147" s="19" t="str">
        <f t="shared" si="28"/>
        <v/>
      </c>
      <c r="S147" s="27" t="str">
        <f t="shared" si="31"/>
        <v/>
      </c>
      <c r="T147" s="28" t="str">
        <f t="shared" si="31"/>
        <v/>
      </c>
      <c r="U147" s="28" t="str">
        <f t="shared" si="31"/>
        <v/>
      </c>
      <c r="V147" s="28" t="str">
        <f t="shared" si="31"/>
        <v/>
      </c>
      <c r="W147" s="28" t="str">
        <f t="shared" si="31"/>
        <v/>
      </c>
      <c r="X147" s="29" t="str">
        <f t="shared" si="31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9"/>
        <v/>
      </c>
      <c r="M148" s="19" t="str">
        <f t="shared" si="28"/>
        <v/>
      </c>
      <c r="N148" s="19" t="str">
        <f t="shared" si="28"/>
        <v/>
      </c>
      <c r="O148" s="19" t="str">
        <f t="shared" si="24"/>
        <v/>
      </c>
      <c r="P148" s="19" t="str">
        <f t="shared" si="25"/>
        <v/>
      </c>
      <c r="Q148" s="19" t="str">
        <f t="shared" si="26"/>
        <v/>
      </c>
      <c r="R148" s="19" t="str">
        <f t="shared" si="28"/>
        <v/>
      </c>
      <c r="S148" s="27" t="str">
        <f t="shared" si="31"/>
        <v/>
      </c>
      <c r="T148" s="28" t="str">
        <f t="shared" si="31"/>
        <v/>
      </c>
      <c r="U148" s="28" t="str">
        <f t="shared" si="31"/>
        <v/>
      </c>
      <c r="V148" s="28" t="str">
        <f t="shared" si="31"/>
        <v/>
      </c>
      <c r="W148" s="28" t="str">
        <f t="shared" si="31"/>
        <v/>
      </c>
      <c r="X148" s="29" t="str">
        <f t="shared" si="31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9"/>
        <v/>
      </c>
      <c r="M149" s="19" t="str">
        <f t="shared" si="28"/>
        <v/>
      </c>
      <c r="N149" s="19" t="str">
        <f t="shared" si="28"/>
        <v/>
      </c>
      <c r="O149" s="19" t="str">
        <f t="shared" si="24"/>
        <v/>
      </c>
      <c r="P149" s="19" t="str">
        <f t="shared" si="25"/>
        <v/>
      </c>
      <c r="Q149" s="19" t="str">
        <f t="shared" si="26"/>
        <v/>
      </c>
      <c r="R149" s="19" t="str">
        <f t="shared" si="28"/>
        <v/>
      </c>
      <c r="S149" s="27" t="str">
        <f t="shared" si="31"/>
        <v/>
      </c>
      <c r="T149" s="28" t="str">
        <f t="shared" si="31"/>
        <v/>
      </c>
      <c r="U149" s="28" t="str">
        <f t="shared" si="31"/>
        <v/>
      </c>
      <c r="V149" s="28" t="str">
        <f t="shared" si="31"/>
        <v/>
      </c>
      <c r="W149" s="28" t="str">
        <f t="shared" si="31"/>
        <v/>
      </c>
      <c r="X149" s="29" t="str">
        <f t="shared" si="31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9"/>
        <v/>
      </c>
      <c r="M150" s="19" t="str">
        <f t="shared" si="28"/>
        <v/>
      </c>
      <c r="N150" s="19" t="str">
        <f t="shared" si="28"/>
        <v/>
      </c>
      <c r="O150" s="19" t="str">
        <f t="shared" si="24"/>
        <v/>
      </c>
      <c r="P150" s="19" t="str">
        <f t="shared" si="25"/>
        <v/>
      </c>
      <c r="Q150" s="19" t="str">
        <f t="shared" si="26"/>
        <v/>
      </c>
      <c r="R150" s="19" t="str">
        <f t="shared" si="28"/>
        <v/>
      </c>
      <c r="S150" s="27" t="str">
        <f t="shared" si="31"/>
        <v/>
      </c>
      <c r="T150" s="28" t="str">
        <f t="shared" si="31"/>
        <v/>
      </c>
      <c r="U150" s="28" t="str">
        <f t="shared" si="31"/>
        <v/>
      </c>
      <c r="V150" s="28" t="str">
        <f t="shared" si="31"/>
        <v/>
      </c>
      <c r="W150" s="28" t="str">
        <f t="shared" si="31"/>
        <v/>
      </c>
      <c r="X150" s="29" t="str">
        <f t="shared" si="31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9"/>
        <v/>
      </c>
      <c r="M151" s="19" t="str">
        <f t="shared" si="28"/>
        <v/>
      </c>
      <c r="N151" s="19" t="str">
        <f t="shared" si="28"/>
        <v/>
      </c>
      <c r="O151" s="19" t="str">
        <f t="shared" si="24"/>
        <v/>
      </c>
      <c r="P151" s="19" t="str">
        <f t="shared" si="25"/>
        <v/>
      </c>
      <c r="Q151" s="19" t="str">
        <f t="shared" si="26"/>
        <v/>
      </c>
      <c r="R151" s="19" t="str">
        <f t="shared" si="28"/>
        <v/>
      </c>
      <c r="S151" s="27" t="str">
        <f t="shared" si="31"/>
        <v/>
      </c>
      <c r="T151" s="28" t="str">
        <f t="shared" si="31"/>
        <v/>
      </c>
      <c r="U151" s="28" t="str">
        <f t="shared" si="31"/>
        <v/>
      </c>
      <c r="V151" s="28" t="str">
        <f t="shared" si="31"/>
        <v/>
      </c>
      <c r="W151" s="28" t="str">
        <f t="shared" si="31"/>
        <v/>
      </c>
      <c r="X151" s="29" t="str">
        <f t="shared" si="31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9"/>
        <v/>
      </c>
      <c r="M152" s="19" t="str">
        <f t="shared" si="28"/>
        <v/>
      </c>
      <c r="N152" s="19" t="str">
        <f t="shared" si="28"/>
        <v/>
      </c>
      <c r="O152" s="19" t="str">
        <f t="shared" si="24"/>
        <v/>
      </c>
      <c r="P152" s="19" t="str">
        <f t="shared" si="25"/>
        <v/>
      </c>
      <c r="Q152" s="19" t="str">
        <f t="shared" si="26"/>
        <v/>
      </c>
      <c r="R152" s="19" t="str">
        <f t="shared" si="28"/>
        <v/>
      </c>
      <c r="S152" s="27" t="str">
        <f t="shared" si="31"/>
        <v/>
      </c>
      <c r="T152" s="28" t="str">
        <f t="shared" si="31"/>
        <v/>
      </c>
      <c r="U152" s="28" t="str">
        <f t="shared" si="31"/>
        <v/>
      </c>
      <c r="V152" s="28" t="str">
        <f t="shared" si="31"/>
        <v/>
      </c>
      <c r="W152" s="28" t="str">
        <f t="shared" si="31"/>
        <v/>
      </c>
      <c r="X152" s="29" t="str">
        <f t="shared" si="31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9"/>
        <v/>
      </c>
      <c r="M153" s="19" t="str">
        <f t="shared" si="28"/>
        <v/>
      </c>
      <c r="N153" s="19" t="str">
        <f t="shared" si="28"/>
        <v/>
      </c>
      <c r="O153" s="19" t="str">
        <f t="shared" si="24"/>
        <v/>
      </c>
      <c r="P153" s="19" t="str">
        <f t="shared" si="25"/>
        <v/>
      </c>
      <c r="Q153" s="19" t="str">
        <f t="shared" si="26"/>
        <v/>
      </c>
      <c r="R153" s="19" t="str">
        <f t="shared" si="28"/>
        <v/>
      </c>
      <c r="S153" s="27" t="str">
        <f t="shared" si="31"/>
        <v/>
      </c>
      <c r="T153" s="28" t="str">
        <f t="shared" si="31"/>
        <v/>
      </c>
      <c r="U153" s="28" t="str">
        <f t="shared" si="31"/>
        <v/>
      </c>
      <c r="V153" s="28" t="str">
        <f t="shared" si="31"/>
        <v/>
      </c>
      <c r="W153" s="28" t="str">
        <f t="shared" si="31"/>
        <v/>
      </c>
      <c r="X153" s="29" t="str">
        <f t="shared" si="31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8">
    <pageSetUpPr fitToPage="1"/>
  </sheetPr>
  <dimension ref="A1:AI153"/>
  <sheetViews>
    <sheetView showGridLines="0" zoomScale="75" zoomScaleNormal="75" zoomScaleSheetLayoutView="40" zoomScalePageLayoutView="40" workbookViewId="0">
      <pane ySplit="8" topLeftCell="A42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TZ-16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39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41678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41678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53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198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456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41680</v>
      </c>
      <c r="C16" s="14">
        <v>12.491</v>
      </c>
      <c r="D16" s="15">
        <v>7.8330000000000002</v>
      </c>
      <c r="E16" s="15">
        <v>7.5170000000000003</v>
      </c>
      <c r="F16" s="42"/>
      <c r="G16" s="42"/>
      <c r="H16" s="42"/>
      <c r="I16" s="41">
        <v>101.996</v>
      </c>
      <c r="J16" s="40">
        <v>460</v>
      </c>
      <c r="K16" s="53">
        <f t="shared" ref="K16:K26" si="0">IF(ISBLANK(J16),"",(J16-$J$8))</f>
        <v>4</v>
      </c>
      <c r="L16" s="19">
        <f t="shared" ref="L16:L24" si="1">IF(ISBLANK(C16),"",(C16-C$16)*1000)</f>
        <v>0</v>
      </c>
      <c r="M16" s="19">
        <f t="shared" ref="M16:M24" si="2">IF(ISBLANK(D16),"",(D16-D$16)*1000)</f>
        <v>0</v>
      </c>
      <c r="N16" s="19">
        <f t="shared" ref="N16:N24" si="3">IF(ISBLANK(E16),"",(E16-E$16)*1000)</f>
        <v>0</v>
      </c>
      <c r="O16" s="20"/>
      <c r="P16" s="20"/>
      <c r="Q16" s="20"/>
      <c r="R16" s="21">
        <f t="shared" ref="O16:R32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41681</v>
      </c>
      <c r="C17" s="25">
        <v>12.49</v>
      </c>
      <c r="D17" s="26">
        <v>7.83</v>
      </c>
      <c r="E17" s="26">
        <v>7.5179999999999998</v>
      </c>
      <c r="F17" s="16"/>
      <c r="G17" s="16"/>
      <c r="H17" s="16"/>
      <c r="I17" s="17">
        <v>101.996</v>
      </c>
      <c r="J17" s="32">
        <v>464.5</v>
      </c>
      <c r="K17" s="18">
        <f t="shared" si="0"/>
        <v>8.5</v>
      </c>
      <c r="L17" s="19">
        <f t="shared" si="1"/>
        <v>-0.99999999999944578</v>
      </c>
      <c r="M17" s="19">
        <f t="shared" si="2"/>
        <v>-3.0000000000001137</v>
      </c>
      <c r="N17" s="19">
        <f t="shared" si="3"/>
        <v>0.99999999999944578</v>
      </c>
      <c r="O17" s="19" t="str">
        <f t="shared" si="4"/>
        <v/>
      </c>
      <c r="P17" s="19" t="str">
        <f t="shared" si="4"/>
        <v/>
      </c>
      <c r="Q17" s="19" t="str">
        <f t="shared" si="4"/>
        <v/>
      </c>
      <c r="R17" s="19">
        <f t="shared" si="4"/>
        <v>0</v>
      </c>
      <c r="S17" s="27">
        <f t="shared" ref="S17:X32" si="5">IF(C17="","",((C17-C16)*1000)/($B17-$B16))</f>
        <v>-0.99999999999944578</v>
      </c>
      <c r="T17" s="28">
        <f t="shared" si="5"/>
        <v>-3.0000000000001137</v>
      </c>
      <c r="U17" s="28">
        <f t="shared" si="5"/>
        <v>0.99999999999944578</v>
      </c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30"/>
    </row>
    <row r="18" spans="2:25" ht="15" customHeight="1" x14ac:dyDescent="0.2">
      <c r="B18" s="31">
        <v>41682</v>
      </c>
      <c r="C18" s="25">
        <v>12.49</v>
      </c>
      <c r="D18" s="26">
        <v>7.83</v>
      </c>
      <c r="E18" s="26">
        <v>7.5179999999999998</v>
      </c>
      <c r="F18" s="16"/>
      <c r="G18" s="16"/>
      <c r="H18" s="16"/>
      <c r="I18" s="17">
        <v>101.996</v>
      </c>
      <c r="J18" s="32">
        <v>469</v>
      </c>
      <c r="K18" s="18">
        <f t="shared" si="0"/>
        <v>13</v>
      </c>
      <c r="L18" s="19">
        <f t="shared" si="1"/>
        <v>-0.99999999999944578</v>
      </c>
      <c r="M18" s="19">
        <f t="shared" si="2"/>
        <v>-3.0000000000001137</v>
      </c>
      <c r="N18" s="19">
        <f t="shared" si="3"/>
        <v>0.99999999999944578</v>
      </c>
      <c r="O18" s="19" t="str">
        <f t="shared" si="4"/>
        <v/>
      </c>
      <c r="P18" s="19" t="str">
        <f t="shared" si="4"/>
        <v/>
      </c>
      <c r="Q18" s="19" t="str">
        <f t="shared" si="4"/>
        <v/>
      </c>
      <c r="R18" s="19">
        <f t="shared" si="4"/>
        <v>0</v>
      </c>
      <c r="S18" s="27">
        <f t="shared" si="5"/>
        <v>0</v>
      </c>
      <c r="T18" s="28">
        <f t="shared" si="5"/>
        <v>0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41683</v>
      </c>
      <c r="C19" s="25">
        <v>12.491</v>
      </c>
      <c r="D19" s="26">
        <v>7.83</v>
      </c>
      <c r="E19" s="26">
        <v>7.5179999999999998</v>
      </c>
      <c r="F19" s="16"/>
      <c r="G19" s="16"/>
      <c r="H19" s="16"/>
      <c r="I19" s="17">
        <v>101.995</v>
      </c>
      <c r="J19" s="32">
        <v>472</v>
      </c>
      <c r="K19" s="18">
        <f t="shared" si="0"/>
        <v>16</v>
      </c>
      <c r="L19" s="19">
        <f t="shared" si="1"/>
        <v>0</v>
      </c>
      <c r="M19" s="19">
        <f t="shared" si="2"/>
        <v>-3.0000000000001137</v>
      </c>
      <c r="N19" s="19">
        <f t="shared" si="3"/>
        <v>0.99999999999944578</v>
      </c>
      <c r="O19" s="19" t="str">
        <f t="shared" si="4"/>
        <v/>
      </c>
      <c r="P19" s="19" t="str">
        <f t="shared" si="4"/>
        <v/>
      </c>
      <c r="Q19" s="19" t="str">
        <f t="shared" si="4"/>
        <v/>
      </c>
      <c r="R19" s="19">
        <f t="shared" si="4"/>
        <v>-0.99999999999056399</v>
      </c>
      <c r="S19" s="27">
        <f t="shared" si="5"/>
        <v>0.99999999999944578</v>
      </c>
      <c r="T19" s="28">
        <f t="shared" si="5"/>
        <v>0</v>
      </c>
      <c r="U19" s="28">
        <f t="shared" si="5"/>
        <v>0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41684</v>
      </c>
      <c r="C20" s="25">
        <v>12.49</v>
      </c>
      <c r="D20" s="26">
        <v>7.8280000000000003</v>
      </c>
      <c r="E20" s="26">
        <v>7.5179999999999998</v>
      </c>
      <c r="F20" s="16"/>
      <c r="G20" s="16"/>
      <c r="H20" s="16"/>
      <c r="I20" s="17">
        <v>101.996</v>
      </c>
      <c r="J20" s="32">
        <v>477</v>
      </c>
      <c r="K20" s="18">
        <f t="shared" si="0"/>
        <v>21</v>
      </c>
      <c r="L20" s="19">
        <f t="shared" si="1"/>
        <v>-0.99999999999944578</v>
      </c>
      <c r="M20" s="19">
        <f t="shared" si="2"/>
        <v>-4.9999999999998934</v>
      </c>
      <c r="N20" s="19">
        <f t="shared" si="3"/>
        <v>0.99999999999944578</v>
      </c>
      <c r="O20" s="19" t="str">
        <f t="shared" si="4"/>
        <v/>
      </c>
      <c r="P20" s="19" t="str">
        <f t="shared" si="4"/>
        <v/>
      </c>
      <c r="Q20" s="19" t="str">
        <f t="shared" si="4"/>
        <v/>
      </c>
      <c r="R20" s="19">
        <f t="shared" si="4"/>
        <v>0</v>
      </c>
      <c r="S20" s="27">
        <f t="shared" si="5"/>
        <v>-0.99999999999944578</v>
      </c>
      <c r="T20" s="28">
        <f t="shared" si="5"/>
        <v>-1.9999999999997797</v>
      </c>
      <c r="U20" s="28">
        <f t="shared" si="5"/>
        <v>0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41687</v>
      </c>
      <c r="C21" s="25">
        <v>12.49</v>
      </c>
      <c r="D21" s="26">
        <v>7.8289999999999997</v>
      </c>
      <c r="E21" s="26">
        <v>7.5179999999999998</v>
      </c>
      <c r="F21" s="16"/>
      <c r="G21" s="16"/>
      <c r="H21" s="16"/>
      <c r="I21" s="17">
        <v>101.996</v>
      </c>
      <c r="J21" s="32">
        <v>485</v>
      </c>
      <c r="K21" s="18">
        <f t="shared" si="0"/>
        <v>29</v>
      </c>
      <c r="L21" s="19">
        <f t="shared" si="1"/>
        <v>-0.99999999999944578</v>
      </c>
      <c r="M21" s="19">
        <f t="shared" si="2"/>
        <v>-4.0000000000004476</v>
      </c>
      <c r="N21" s="19">
        <f t="shared" si="3"/>
        <v>0.99999999999944578</v>
      </c>
      <c r="O21" s="19" t="str">
        <f t="shared" si="4"/>
        <v/>
      </c>
      <c r="P21" s="19" t="str">
        <f t="shared" si="4"/>
        <v/>
      </c>
      <c r="Q21" s="19" t="str">
        <f t="shared" si="4"/>
        <v/>
      </c>
      <c r="R21" s="19">
        <f t="shared" si="4"/>
        <v>0</v>
      </c>
      <c r="S21" s="27">
        <f t="shared" si="5"/>
        <v>0</v>
      </c>
      <c r="T21" s="28">
        <f t="shared" si="5"/>
        <v>0.33333333333314857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41688</v>
      </c>
      <c r="C22" s="25">
        <v>12.49</v>
      </c>
      <c r="D22" s="26">
        <v>7.8289999999999997</v>
      </c>
      <c r="E22" s="26">
        <v>7.5179999999999998</v>
      </c>
      <c r="F22" s="16"/>
      <c r="G22" s="16"/>
      <c r="H22" s="16"/>
      <c r="I22" s="17">
        <v>101.996</v>
      </c>
      <c r="J22" s="32">
        <v>492</v>
      </c>
      <c r="K22" s="18">
        <f t="shared" si="0"/>
        <v>36</v>
      </c>
      <c r="L22" s="19">
        <f t="shared" si="1"/>
        <v>-0.99999999999944578</v>
      </c>
      <c r="M22" s="19">
        <f t="shared" si="2"/>
        <v>-4.0000000000004476</v>
      </c>
      <c r="N22" s="19">
        <f t="shared" si="3"/>
        <v>0.99999999999944578</v>
      </c>
      <c r="O22" s="19" t="str">
        <f t="shared" si="4"/>
        <v/>
      </c>
      <c r="P22" s="19" t="str">
        <f t="shared" si="4"/>
        <v/>
      </c>
      <c r="Q22" s="19" t="str">
        <f t="shared" si="4"/>
        <v/>
      </c>
      <c r="R22" s="19">
        <f t="shared" si="4"/>
        <v>0</v>
      </c>
      <c r="S22" s="27">
        <f t="shared" si="5"/>
        <v>0</v>
      </c>
      <c r="T22" s="28">
        <f t="shared" si="5"/>
        <v>0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41689</v>
      </c>
      <c r="C23" s="25">
        <v>12.49</v>
      </c>
      <c r="D23" s="26">
        <v>7.8289999999999997</v>
      </c>
      <c r="E23" s="26">
        <v>7.5170000000000003</v>
      </c>
      <c r="F23" s="16"/>
      <c r="G23" s="16"/>
      <c r="H23" s="16"/>
      <c r="I23" s="17">
        <v>101.995</v>
      </c>
      <c r="J23" s="32">
        <v>502</v>
      </c>
      <c r="K23" s="18">
        <f t="shared" si="0"/>
        <v>46</v>
      </c>
      <c r="L23" s="19">
        <f t="shared" si="1"/>
        <v>-0.99999999999944578</v>
      </c>
      <c r="M23" s="19">
        <f t="shared" si="2"/>
        <v>-4.0000000000004476</v>
      </c>
      <c r="N23" s="19">
        <f t="shared" si="3"/>
        <v>0</v>
      </c>
      <c r="O23" s="19" t="str">
        <f t="shared" si="4"/>
        <v/>
      </c>
      <c r="P23" s="19" t="str">
        <f t="shared" si="4"/>
        <v/>
      </c>
      <c r="Q23" s="19" t="str">
        <f t="shared" si="4"/>
        <v/>
      </c>
      <c r="R23" s="19">
        <f t="shared" si="4"/>
        <v>-0.99999999999056399</v>
      </c>
      <c r="S23" s="27">
        <f t="shared" si="5"/>
        <v>0</v>
      </c>
      <c r="T23" s="28">
        <f t="shared" si="5"/>
        <v>0</v>
      </c>
      <c r="U23" s="28">
        <f t="shared" si="5"/>
        <v>-0.99999999999944578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41690</v>
      </c>
      <c r="C24" s="25">
        <v>12.49</v>
      </c>
      <c r="D24" s="26">
        <v>7.83</v>
      </c>
      <c r="E24" s="26">
        <v>7.5170000000000003</v>
      </c>
      <c r="F24" s="16"/>
      <c r="G24" s="16"/>
      <c r="H24" s="16"/>
      <c r="I24" s="17">
        <v>101.995</v>
      </c>
      <c r="J24" s="32">
        <v>510</v>
      </c>
      <c r="K24" s="18">
        <f t="shared" si="0"/>
        <v>54</v>
      </c>
      <c r="L24" s="19">
        <f t="shared" si="1"/>
        <v>-0.99999999999944578</v>
      </c>
      <c r="M24" s="19">
        <f t="shared" si="2"/>
        <v>-3.0000000000001137</v>
      </c>
      <c r="N24" s="19">
        <f t="shared" si="3"/>
        <v>0</v>
      </c>
      <c r="O24" s="19" t="str">
        <f t="shared" si="4"/>
        <v/>
      </c>
      <c r="P24" s="19" t="str">
        <f t="shared" si="4"/>
        <v/>
      </c>
      <c r="Q24" s="19" t="str">
        <f t="shared" si="4"/>
        <v/>
      </c>
      <c r="R24" s="19">
        <f t="shared" si="4"/>
        <v>-0.99999999999056399</v>
      </c>
      <c r="S24" s="27">
        <f t="shared" si="5"/>
        <v>0</v>
      </c>
      <c r="T24" s="28">
        <f t="shared" si="5"/>
        <v>1.000000000000334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41691</v>
      </c>
      <c r="C25" s="25">
        <v>12.49</v>
      </c>
      <c r="D25" s="45">
        <v>7.3230000000000004</v>
      </c>
      <c r="E25" s="45">
        <v>7.9509999999999996</v>
      </c>
      <c r="F25" s="16"/>
      <c r="G25" s="16"/>
      <c r="H25" s="16"/>
      <c r="I25" s="52">
        <v>101.93</v>
      </c>
      <c r="J25" s="32">
        <v>517</v>
      </c>
      <c r="K25" s="18">
        <f t="shared" si="0"/>
        <v>61</v>
      </c>
      <c r="L25" s="19">
        <f t="shared" ref="L25:L62" si="6">IF(ISBLANK(C25),"",(C25-C$16)*1000)</f>
        <v>-0.99999999999944578</v>
      </c>
      <c r="M25" s="19">
        <f>IF(ISBLANK(D25),"",((D25-D$25)*1000)+M$24)</f>
        <v>-3.0000000000001137</v>
      </c>
      <c r="N25" s="19">
        <f>IF(ISBLANK(E25),"",((E25-E$25)*1000)+N$24)</f>
        <v>0</v>
      </c>
      <c r="O25" s="19" t="str">
        <f t="shared" si="4"/>
        <v/>
      </c>
      <c r="P25" s="19" t="str">
        <f t="shared" si="4"/>
        <v/>
      </c>
      <c r="Q25" s="19" t="str">
        <f t="shared" si="4"/>
        <v/>
      </c>
      <c r="R25" s="19">
        <f>IF(ISBLANK(I25),"",((I25-I$25)*1000)+R$24)</f>
        <v>-0.99999999999056399</v>
      </c>
      <c r="S25" s="27">
        <f t="shared" si="5"/>
        <v>0</v>
      </c>
      <c r="T25" s="28">
        <f t="shared" si="5"/>
        <v>-506.99999999999966</v>
      </c>
      <c r="U25" s="28">
        <f t="shared" si="5"/>
        <v>433.99999999999926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 t="s">
        <v>42</v>
      </c>
    </row>
    <row r="26" spans="2:25" ht="15" customHeight="1" x14ac:dyDescent="0.2">
      <c r="B26" s="31">
        <v>41694</v>
      </c>
      <c r="C26" s="25">
        <v>12.49</v>
      </c>
      <c r="D26" s="26">
        <v>7.3230000000000004</v>
      </c>
      <c r="E26" s="26">
        <v>7.9509999999999996</v>
      </c>
      <c r="F26" s="16"/>
      <c r="G26" s="16"/>
      <c r="H26" s="16"/>
      <c r="I26" s="17">
        <v>101.93</v>
      </c>
      <c r="J26" s="32">
        <v>523.5</v>
      </c>
      <c r="K26" s="18">
        <f t="shared" si="0"/>
        <v>67.5</v>
      </c>
      <c r="L26" s="19">
        <f t="shared" si="6"/>
        <v>-0.99999999999944578</v>
      </c>
      <c r="M26" s="19">
        <f t="shared" ref="M26:M89" si="7">IF(ISBLANK(D26),"",((D26-D$25)*1000)+M$24)</f>
        <v>-3.0000000000001137</v>
      </c>
      <c r="N26" s="19">
        <f t="shared" ref="N26:N89" si="8">IF(ISBLANK(E26),"",((E26-E$25)*1000)+N$24)</f>
        <v>0</v>
      </c>
      <c r="O26" s="19" t="str">
        <f t="shared" si="4"/>
        <v/>
      </c>
      <c r="P26" s="19" t="str">
        <f t="shared" si="4"/>
        <v/>
      </c>
      <c r="Q26" s="19" t="str">
        <f t="shared" si="4"/>
        <v/>
      </c>
      <c r="R26" s="19">
        <f t="shared" ref="R26:R89" si="9">IF(ISBLANK(I26),"",((I26-I$25)*1000)+R$24)</f>
        <v>-0.99999999999056399</v>
      </c>
      <c r="S26" s="27">
        <f t="shared" si="5"/>
        <v>0</v>
      </c>
      <c r="T26" s="28">
        <f t="shared" si="5"/>
        <v>0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41701</v>
      </c>
      <c r="C27" s="25">
        <v>12.49</v>
      </c>
      <c r="D27" s="26">
        <v>7.3220000000000001</v>
      </c>
      <c r="E27" s="26">
        <v>7.9509999999999996</v>
      </c>
      <c r="F27" s="16"/>
      <c r="G27" s="16"/>
      <c r="H27" s="16"/>
      <c r="I27" s="17">
        <v>101.929</v>
      </c>
      <c r="J27" s="58">
        <v>555.5</v>
      </c>
      <c r="K27" s="18">
        <f>IF(ISBLANK(J27),"",(J27-$J$8))</f>
        <v>99.5</v>
      </c>
      <c r="L27" s="19">
        <f t="shared" si="6"/>
        <v>-0.99999999999944578</v>
      </c>
      <c r="M27" s="19">
        <f t="shared" si="7"/>
        <v>-4.0000000000004476</v>
      </c>
      <c r="N27" s="19">
        <f t="shared" si="8"/>
        <v>0</v>
      </c>
      <c r="O27" s="19" t="str">
        <f t="shared" si="4"/>
        <v/>
      </c>
      <c r="P27" s="19" t="str">
        <f t="shared" si="4"/>
        <v/>
      </c>
      <c r="Q27" s="19" t="str">
        <f t="shared" si="4"/>
        <v/>
      </c>
      <c r="R27" s="19">
        <f t="shared" si="9"/>
        <v>-1.9999999999953388</v>
      </c>
      <c r="S27" s="27">
        <f t="shared" si="5"/>
        <v>0</v>
      </c>
      <c r="T27" s="28">
        <f t="shared" si="5"/>
        <v>-0.14285714285719056</v>
      </c>
      <c r="U27" s="28">
        <f t="shared" si="5"/>
        <v>0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41708</v>
      </c>
      <c r="C28" s="25">
        <v>12.49</v>
      </c>
      <c r="D28" s="26">
        <v>7.3230000000000004</v>
      </c>
      <c r="E28" s="26">
        <v>7.95</v>
      </c>
      <c r="F28" s="16"/>
      <c r="G28" s="16"/>
      <c r="H28" s="16"/>
      <c r="I28" s="17">
        <v>101.93</v>
      </c>
      <c r="J28" s="58">
        <v>576</v>
      </c>
      <c r="K28" s="18">
        <f>IF(ISBLANK(J28),"",(J28-$J$8))</f>
        <v>120</v>
      </c>
      <c r="L28" s="19">
        <f t="shared" si="6"/>
        <v>-0.99999999999944578</v>
      </c>
      <c r="M28" s="19">
        <f t="shared" si="7"/>
        <v>-3.0000000000001137</v>
      </c>
      <c r="N28" s="19">
        <f t="shared" si="8"/>
        <v>-0.99999999999944578</v>
      </c>
      <c r="O28" s="19" t="str">
        <f t="shared" si="4"/>
        <v/>
      </c>
      <c r="P28" s="19" t="str">
        <f t="shared" si="4"/>
        <v/>
      </c>
      <c r="Q28" s="19" t="str">
        <f t="shared" si="4"/>
        <v/>
      </c>
      <c r="R28" s="19">
        <f t="shared" si="9"/>
        <v>-0.99999999999056399</v>
      </c>
      <c r="S28" s="27">
        <f t="shared" si="5"/>
        <v>0</v>
      </c>
      <c r="T28" s="28">
        <f t="shared" si="5"/>
        <v>0.14285714285719056</v>
      </c>
      <c r="U28" s="28">
        <f t="shared" si="5"/>
        <v>-0.14285714285706369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41723</v>
      </c>
      <c r="C29" s="25">
        <v>12.49</v>
      </c>
      <c r="D29" s="26">
        <v>7.3230000000000004</v>
      </c>
      <c r="E29" s="26">
        <v>7.9509999999999996</v>
      </c>
      <c r="F29" s="16"/>
      <c r="G29" s="16"/>
      <c r="H29" s="16"/>
      <c r="I29" s="17">
        <v>101.93</v>
      </c>
      <c r="J29" s="32">
        <v>308</v>
      </c>
      <c r="K29" s="18">
        <f>IF(ISBLANK(J29),"",(J29-$J$8))</f>
        <v>-148</v>
      </c>
      <c r="L29" s="19">
        <f t="shared" si="6"/>
        <v>-0.99999999999944578</v>
      </c>
      <c r="M29" s="19">
        <f t="shared" si="7"/>
        <v>-3.0000000000001137</v>
      </c>
      <c r="N29" s="19">
        <f t="shared" si="8"/>
        <v>0</v>
      </c>
      <c r="O29" s="19" t="str">
        <f t="shared" si="4"/>
        <v/>
      </c>
      <c r="P29" s="19" t="str">
        <f t="shared" si="4"/>
        <v/>
      </c>
      <c r="Q29" s="19" t="str">
        <f t="shared" si="4"/>
        <v/>
      </c>
      <c r="R29" s="19">
        <f t="shared" si="9"/>
        <v>-0.99999999999056399</v>
      </c>
      <c r="S29" s="27">
        <f t="shared" si="5"/>
        <v>0</v>
      </c>
      <c r="T29" s="28">
        <f t="shared" si="5"/>
        <v>0</v>
      </c>
      <c r="U29" s="28">
        <f t="shared" si="5"/>
        <v>6.6666666666629723E-2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 t="s">
        <v>23</v>
      </c>
    </row>
    <row r="30" spans="2:25" ht="15" customHeight="1" x14ac:dyDescent="0.2">
      <c r="B30" s="31">
        <v>41724</v>
      </c>
      <c r="C30" s="25">
        <v>12.49</v>
      </c>
      <c r="D30" s="26">
        <v>7.3239999999999998</v>
      </c>
      <c r="E30" s="26">
        <v>7.9509999999999996</v>
      </c>
      <c r="F30" s="16"/>
      <c r="G30" s="16"/>
      <c r="H30" s="16"/>
      <c r="I30" s="17">
        <v>101.929</v>
      </c>
      <c r="J30" s="32">
        <v>319</v>
      </c>
      <c r="K30" s="18">
        <f>IF(ISBLANK(J30),"",(J30-$J$8))</f>
        <v>-137</v>
      </c>
      <c r="L30" s="19">
        <f t="shared" si="6"/>
        <v>-0.99999999999944578</v>
      </c>
      <c r="M30" s="19">
        <f t="shared" si="7"/>
        <v>-2.0000000000006679</v>
      </c>
      <c r="N30" s="19">
        <f t="shared" si="8"/>
        <v>0</v>
      </c>
      <c r="O30" s="19" t="str">
        <f t="shared" si="4"/>
        <v/>
      </c>
      <c r="P30" s="19" t="str">
        <f t="shared" si="4"/>
        <v/>
      </c>
      <c r="Q30" s="19" t="str">
        <f t="shared" si="4"/>
        <v/>
      </c>
      <c r="R30" s="19">
        <f t="shared" si="9"/>
        <v>-1.9999999999953388</v>
      </c>
      <c r="S30" s="27">
        <f t="shared" si="5"/>
        <v>0</v>
      </c>
      <c r="T30" s="28">
        <f t="shared" si="5"/>
        <v>0.99999999999944578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41739</v>
      </c>
      <c r="C31" s="25">
        <v>12.486000000000001</v>
      </c>
      <c r="D31" s="26">
        <v>7.3230000000000004</v>
      </c>
      <c r="E31" s="26">
        <v>7.9489999999999998</v>
      </c>
      <c r="F31" s="16"/>
      <c r="G31" s="16"/>
      <c r="H31" s="16"/>
      <c r="I31" s="17">
        <v>101.925</v>
      </c>
      <c r="J31" s="32">
        <v>457</v>
      </c>
      <c r="K31" s="18">
        <f>IF(ISBLANK(J31),"",(J31-$J$8))</f>
        <v>1</v>
      </c>
      <c r="L31" s="19">
        <f t="shared" si="6"/>
        <v>-4.9999999999990052</v>
      </c>
      <c r="M31" s="19">
        <f t="shared" si="7"/>
        <v>-3.0000000000001137</v>
      </c>
      <c r="N31" s="19">
        <f t="shared" si="8"/>
        <v>-1.9999999999997797</v>
      </c>
      <c r="O31" s="19" t="str">
        <f t="shared" si="4"/>
        <v/>
      </c>
      <c r="P31" s="19" t="str">
        <f t="shared" si="4"/>
        <v/>
      </c>
      <c r="Q31" s="19" t="str">
        <f t="shared" si="4"/>
        <v/>
      </c>
      <c r="R31" s="19">
        <f>IF(ISBLANK(I31),"",((I31-I$25)*1000)+R$24)</f>
        <v>-6.0000000000002274</v>
      </c>
      <c r="S31" s="27">
        <f t="shared" si="5"/>
        <v>-0.2666666666666373</v>
      </c>
      <c r="T31" s="28">
        <f t="shared" si="5"/>
        <v>-6.6666666666629723E-2</v>
      </c>
      <c r="U31" s="28">
        <f t="shared" si="5"/>
        <v>-0.13333333333331865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41740</v>
      </c>
      <c r="C32" s="25">
        <v>12.486000000000001</v>
      </c>
      <c r="D32" s="26">
        <v>7.3230000000000004</v>
      </c>
      <c r="E32" s="26">
        <v>7.9480000000000004</v>
      </c>
      <c r="F32" s="16"/>
      <c r="G32" s="16"/>
      <c r="H32" s="16"/>
      <c r="I32" s="17">
        <v>101.92400000000001</v>
      </c>
      <c r="J32" s="32">
        <v>466</v>
      </c>
      <c r="K32" s="18">
        <f t="shared" ref="K32:K42" si="10">IF(ISBLANK(J32),"",(J32-$J$8))</f>
        <v>10</v>
      </c>
      <c r="L32" s="19">
        <f t="shared" si="6"/>
        <v>-4.9999999999990052</v>
      </c>
      <c r="M32" s="19">
        <f t="shared" si="7"/>
        <v>-3.0000000000001137</v>
      </c>
      <c r="N32" s="19">
        <f t="shared" si="8"/>
        <v>-2.9999999999992255</v>
      </c>
      <c r="O32" s="19" t="str">
        <f t="shared" si="4"/>
        <v/>
      </c>
      <c r="P32" s="19" t="str">
        <f t="shared" si="4"/>
        <v/>
      </c>
      <c r="Q32" s="19" t="str">
        <f t="shared" si="4"/>
        <v/>
      </c>
      <c r="R32" s="19">
        <f t="shared" si="9"/>
        <v>-6.9999999999907914</v>
      </c>
      <c r="S32" s="27">
        <f t="shared" si="5"/>
        <v>0</v>
      </c>
      <c r="T32" s="28">
        <f t="shared" si="5"/>
        <v>0</v>
      </c>
      <c r="U32" s="28">
        <f t="shared" si="5"/>
        <v>-0.99999999999944578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41743</v>
      </c>
      <c r="C33" s="25">
        <v>12.486000000000001</v>
      </c>
      <c r="D33" s="26">
        <v>7.3230000000000004</v>
      </c>
      <c r="E33" s="26">
        <v>7.9480000000000004</v>
      </c>
      <c r="F33" s="16"/>
      <c r="G33" s="16"/>
      <c r="H33" s="16"/>
      <c r="I33" s="17">
        <v>101.92400000000001</v>
      </c>
      <c r="J33" s="32">
        <v>484</v>
      </c>
      <c r="K33" s="18">
        <f t="shared" si="10"/>
        <v>28</v>
      </c>
      <c r="L33" s="19">
        <f t="shared" si="6"/>
        <v>-4.9999999999990052</v>
      </c>
      <c r="M33" s="19">
        <f t="shared" si="7"/>
        <v>-3.0000000000001137</v>
      </c>
      <c r="N33" s="19">
        <f t="shared" si="8"/>
        <v>-2.9999999999992255</v>
      </c>
      <c r="O33" s="19" t="str">
        <f>IF(ISBLANK(F33),"",(F33-F$16)*1000)</f>
        <v/>
      </c>
      <c r="P33" s="19" t="str">
        <f>IF(ISBLANK(G33),"",(G33-G$16)*1000)</f>
        <v/>
      </c>
      <c r="Q33" s="19" t="str">
        <f>IF(ISBLANK(H33),"",(H33-H$16)*1000)</f>
        <v/>
      </c>
      <c r="R33" s="19">
        <f t="shared" si="9"/>
        <v>-6.9999999999907914</v>
      </c>
      <c r="S33" s="27">
        <f t="shared" ref="S33:X48" si="11">IF(C33="","",((C33-C32)*1000)/($B33-$B32))</f>
        <v>0</v>
      </c>
      <c r="T33" s="28">
        <f t="shared" si="11"/>
        <v>0</v>
      </c>
      <c r="U33" s="28">
        <f t="shared" si="11"/>
        <v>0</v>
      </c>
      <c r="V33" s="28" t="str">
        <f t="shared" si="11"/>
        <v/>
      </c>
      <c r="W33" s="28" t="str">
        <f t="shared" si="11"/>
        <v/>
      </c>
      <c r="X33" s="29" t="str">
        <f t="shared" si="11"/>
        <v/>
      </c>
      <c r="Y33" s="24"/>
    </row>
    <row r="34" spans="2:25" ht="15" customHeight="1" x14ac:dyDescent="0.2">
      <c r="B34" s="31">
        <v>41744</v>
      </c>
      <c r="C34" s="25">
        <v>12.486000000000001</v>
      </c>
      <c r="D34" s="26">
        <v>7.3230000000000004</v>
      </c>
      <c r="E34" s="26">
        <v>7.9480000000000004</v>
      </c>
      <c r="F34" s="16">
        <v>13.002000000000001</v>
      </c>
      <c r="G34" s="16">
        <v>9.8170000000000002</v>
      </c>
      <c r="H34" s="16">
        <v>10.428000000000001</v>
      </c>
      <c r="I34" s="17">
        <v>101.92400000000001</v>
      </c>
      <c r="J34" s="32">
        <v>499</v>
      </c>
      <c r="K34" s="18">
        <f t="shared" si="10"/>
        <v>43</v>
      </c>
      <c r="L34" s="19">
        <f t="shared" si="6"/>
        <v>-4.9999999999990052</v>
      </c>
      <c r="M34" s="19">
        <f t="shared" si="7"/>
        <v>-3.0000000000001137</v>
      </c>
      <c r="N34" s="19">
        <f t="shared" si="8"/>
        <v>-2.9999999999992255</v>
      </c>
      <c r="O34" s="19">
        <f>IF(ISBLANK(F34),"",((F34-F$34)*1000)+L$34)</f>
        <v>-4.9999999999990052</v>
      </c>
      <c r="P34" s="19">
        <f>IF(ISBLANK(G34),"",((G34-G$34)*1000)+M$34)</f>
        <v>-3.0000000000001137</v>
      </c>
      <c r="Q34" s="19">
        <f>IF(ISBLANK(H34),"",((H34-H$34)*1000)+N$34)</f>
        <v>-2.9999999999992255</v>
      </c>
      <c r="R34" s="19">
        <f t="shared" si="9"/>
        <v>-6.9999999999907914</v>
      </c>
      <c r="S34" s="27">
        <f t="shared" si="11"/>
        <v>0</v>
      </c>
      <c r="T34" s="28">
        <f t="shared" si="11"/>
        <v>0</v>
      </c>
      <c r="U34" s="28">
        <f t="shared" si="11"/>
        <v>0</v>
      </c>
      <c r="V34" s="28"/>
      <c r="W34" s="28"/>
      <c r="X34" s="29"/>
      <c r="Y34" s="24"/>
    </row>
    <row r="35" spans="2:25" ht="15" customHeight="1" x14ac:dyDescent="0.2">
      <c r="B35" s="31">
        <v>41745</v>
      </c>
      <c r="C35" s="25">
        <v>12.486000000000001</v>
      </c>
      <c r="D35" s="26">
        <v>7.3230000000000004</v>
      </c>
      <c r="E35" s="26">
        <v>7.9480000000000004</v>
      </c>
      <c r="F35" s="16">
        <v>13.000999999999999</v>
      </c>
      <c r="G35" s="16">
        <v>9.8160000000000007</v>
      </c>
      <c r="H35" s="16">
        <v>10.427</v>
      </c>
      <c r="I35" s="17">
        <v>101.92400000000001</v>
      </c>
      <c r="J35" s="32">
        <v>516.5</v>
      </c>
      <c r="K35" s="18">
        <f t="shared" si="10"/>
        <v>60.5</v>
      </c>
      <c r="L35" s="19">
        <f t="shared" si="6"/>
        <v>-4.9999999999990052</v>
      </c>
      <c r="M35" s="19">
        <f t="shared" si="7"/>
        <v>-3.0000000000001137</v>
      </c>
      <c r="N35" s="19">
        <f t="shared" si="8"/>
        <v>-2.9999999999992255</v>
      </c>
      <c r="O35" s="19">
        <f t="shared" ref="O35:O98" si="12">IF(ISBLANK(F35),"",((F35-F$34)*1000)+L$34)</f>
        <v>-6.0000000000002274</v>
      </c>
      <c r="P35" s="19">
        <f t="shared" ref="P35:P98" si="13">IF(ISBLANK(G35),"",((G35-G$34)*1000)+M$34)</f>
        <v>-3.9999999999995595</v>
      </c>
      <c r="Q35" s="19">
        <f t="shared" ref="Q35:Q98" si="14">IF(ISBLANK(H35),"",((H35-H$34)*1000)+N$34)</f>
        <v>-4.0000000000004476</v>
      </c>
      <c r="R35" s="19">
        <f t="shared" si="9"/>
        <v>-6.9999999999907914</v>
      </c>
      <c r="S35" s="27">
        <f t="shared" ref="S35:X35" si="15">IF(C35="","",((C35-C34)*1000)/($B35-$B34))</f>
        <v>0</v>
      </c>
      <c r="T35" s="28">
        <f t="shared" si="15"/>
        <v>0</v>
      </c>
      <c r="U35" s="28">
        <f t="shared" si="15"/>
        <v>0</v>
      </c>
      <c r="V35" s="28">
        <f t="shared" si="15"/>
        <v>-1.0000000000012221</v>
      </c>
      <c r="W35" s="28">
        <f t="shared" si="15"/>
        <v>-0.99999999999944578</v>
      </c>
      <c r="X35" s="29">
        <f t="shared" si="15"/>
        <v>-1.0000000000012221</v>
      </c>
      <c r="Y35" s="24"/>
    </row>
    <row r="36" spans="2:25" ht="15" customHeight="1" x14ac:dyDescent="0.2">
      <c r="B36" s="31">
        <v>41751</v>
      </c>
      <c r="C36" s="25"/>
      <c r="D36" s="26"/>
      <c r="E36" s="26"/>
      <c r="F36" s="16">
        <v>13.002000000000001</v>
      </c>
      <c r="G36" s="16">
        <v>9.8160000000000007</v>
      </c>
      <c r="H36" s="16">
        <v>10.426</v>
      </c>
      <c r="I36" s="17">
        <v>101.92400000000001</v>
      </c>
      <c r="J36" s="32">
        <v>534.5</v>
      </c>
      <c r="K36" s="18">
        <f t="shared" si="10"/>
        <v>78.5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12"/>
        <v>-4.9999999999990052</v>
      </c>
      <c r="P36" s="19">
        <f t="shared" si="13"/>
        <v>-3.9999999999995595</v>
      </c>
      <c r="Q36" s="19">
        <f t="shared" si="14"/>
        <v>-4.9999999999998934</v>
      </c>
      <c r="R36" s="19">
        <f t="shared" si="9"/>
        <v>-6.9999999999907914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0.16666666666687036</v>
      </c>
      <c r="W36" s="28">
        <f t="shared" si="11"/>
        <v>0</v>
      </c>
      <c r="X36" s="29">
        <f t="shared" si="11"/>
        <v>-0.16666666666657429</v>
      </c>
      <c r="Y36" s="24" t="s">
        <v>35</v>
      </c>
    </row>
    <row r="37" spans="2:25" ht="15" customHeight="1" x14ac:dyDescent="0.2">
      <c r="B37" s="31">
        <v>41752</v>
      </c>
      <c r="C37" s="25"/>
      <c r="D37" s="26"/>
      <c r="E37" s="26"/>
      <c r="F37" s="16">
        <v>13.000999999999999</v>
      </c>
      <c r="G37" s="16">
        <v>9.8170000000000002</v>
      </c>
      <c r="H37" s="16">
        <v>10.427</v>
      </c>
      <c r="I37" s="17">
        <v>101.92400000000001</v>
      </c>
      <c r="J37" s="32">
        <v>534.5</v>
      </c>
      <c r="K37" s="18">
        <f t="shared" si="10"/>
        <v>78.5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12"/>
        <v>-6.0000000000002274</v>
      </c>
      <c r="P37" s="19">
        <f t="shared" si="13"/>
        <v>-3.0000000000001137</v>
      </c>
      <c r="Q37" s="19">
        <f t="shared" si="14"/>
        <v>-4.0000000000004476</v>
      </c>
      <c r="R37" s="19">
        <f t="shared" si="9"/>
        <v>-6.9999999999907914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-1.0000000000012221</v>
      </c>
      <c r="W37" s="28">
        <f t="shared" si="11"/>
        <v>0.99999999999944578</v>
      </c>
      <c r="X37" s="29">
        <f t="shared" si="11"/>
        <v>0.99999999999944578</v>
      </c>
      <c r="Y37" s="24"/>
    </row>
    <row r="38" spans="2:25" ht="15" customHeight="1" x14ac:dyDescent="0.2">
      <c r="B38" s="31">
        <v>41753</v>
      </c>
      <c r="C38" s="25"/>
      <c r="D38" s="26"/>
      <c r="E38" s="26"/>
      <c r="F38" s="16">
        <v>13</v>
      </c>
      <c r="G38" s="16">
        <v>9.8160000000000007</v>
      </c>
      <c r="H38" s="16">
        <v>10.427</v>
      </c>
      <c r="I38" s="17">
        <v>101.92400000000001</v>
      </c>
      <c r="J38" s="32">
        <v>534.5</v>
      </c>
      <c r="K38" s="18">
        <f t="shared" si="10"/>
        <v>78.5</v>
      </c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>
        <f t="shared" si="12"/>
        <v>-6.9999999999996732</v>
      </c>
      <c r="P38" s="19">
        <f t="shared" si="13"/>
        <v>-3.9999999999995595</v>
      </c>
      <c r="Q38" s="19">
        <f t="shared" si="14"/>
        <v>-4.0000000000004476</v>
      </c>
      <c r="R38" s="19">
        <f t="shared" si="9"/>
        <v>-6.9999999999907914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-0.99999999999944578</v>
      </c>
      <c r="W38" s="28">
        <f t="shared" si="11"/>
        <v>-0.99999999999944578</v>
      </c>
      <c r="X38" s="29">
        <f t="shared" si="11"/>
        <v>0</v>
      </c>
      <c r="Y38" s="24"/>
    </row>
    <row r="39" spans="2:25" ht="15" customHeight="1" x14ac:dyDescent="0.2">
      <c r="B39" s="31">
        <v>41754</v>
      </c>
      <c r="C39" s="25"/>
      <c r="D39" s="26"/>
      <c r="E39" s="26"/>
      <c r="F39" s="16">
        <v>13.000999999999999</v>
      </c>
      <c r="G39" s="16">
        <v>9.8160000000000007</v>
      </c>
      <c r="H39" s="16">
        <v>10.427</v>
      </c>
      <c r="I39" s="17">
        <v>101.92400000000001</v>
      </c>
      <c r="J39" s="32">
        <v>534.5</v>
      </c>
      <c r="K39" s="18">
        <f t="shared" si="10"/>
        <v>78.5</v>
      </c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>
        <f t="shared" si="12"/>
        <v>-6.0000000000002274</v>
      </c>
      <c r="P39" s="19">
        <f t="shared" si="13"/>
        <v>-3.9999999999995595</v>
      </c>
      <c r="Q39" s="19">
        <f t="shared" si="14"/>
        <v>-4.0000000000004476</v>
      </c>
      <c r="R39" s="19">
        <f t="shared" si="9"/>
        <v>-6.9999999999907914</v>
      </c>
      <c r="S39" s="27" t="str">
        <f t="shared" si="11"/>
        <v/>
      </c>
      <c r="T39" s="28" t="str">
        <f t="shared" si="11"/>
        <v/>
      </c>
      <c r="U39" s="28" t="str">
        <f t="shared" si="11"/>
        <v/>
      </c>
      <c r="V39" s="28">
        <f t="shared" si="11"/>
        <v>0.99999999999944578</v>
      </c>
      <c r="W39" s="28">
        <f t="shared" si="11"/>
        <v>0</v>
      </c>
      <c r="X39" s="29">
        <f t="shared" si="11"/>
        <v>0</v>
      </c>
      <c r="Y39" s="24"/>
    </row>
    <row r="40" spans="2:25" ht="15" customHeight="1" x14ac:dyDescent="0.2">
      <c r="B40" s="31">
        <v>41757</v>
      </c>
      <c r="C40" s="25"/>
      <c r="D40" s="26"/>
      <c r="E40" s="26"/>
      <c r="F40" s="16">
        <v>13</v>
      </c>
      <c r="G40" s="16">
        <v>9.8160000000000007</v>
      </c>
      <c r="H40" s="16">
        <v>10.427</v>
      </c>
      <c r="I40" s="17">
        <v>101.92400000000001</v>
      </c>
      <c r="J40" s="32">
        <v>534.5</v>
      </c>
      <c r="K40" s="18">
        <f t="shared" si="10"/>
        <v>78.5</v>
      </c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>
        <f t="shared" si="12"/>
        <v>-6.9999999999996732</v>
      </c>
      <c r="P40" s="19">
        <f t="shared" si="13"/>
        <v>-3.9999999999995595</v>
      </c>
      <c r="Q40" s="19">
        <f t="shared" si="14"/>
        <v>-4.0000000000004476</v>
      </c>
      <c r="R40" s="19">
        <f t="shared" si="9"/>
        <v>-6.9999999999907914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-0.33333333333314857</v>
      </c>
      <c r="W40" s="28">
        <f t="shared" si="11"/>
        <v>0</v>
      </c>
      <c r="X40" s="29">
        <f t="shared" si="11"/>
        <v>0</v>
      </c>
      <c r="Y40" s="24"/>
    </row>
    <row r="41" spans="2:25" ht="15" customHeight="1" x14ac:dyDescent="0.2">
      <c r="B41" s="31">
        <v>41758</v>
      </c>
      <c r="C41" s="25"/>
      <c r="D41" s="26"/>
      <c r="E41" s="26"/>
      <c r="F41" s="16">
        <v>13</v>
      </c>
      <c r="G41" s="16">
        <v>9.8160000000000007</v>
      </c>
      <c r="H41" s="16">
        <v>10.426</v>
      </c>
      <c r="I41" s="17">
        <v>101.92400000000001</v>
      </c>
      <c r="J41" s="32">
        <v>534.5</v>
      </c>
      <c r="K41" s="18">
        <f t="shared" si="10"/>
        <v>78.5</v>
      </c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>
        <f t="shared" si="12"/>
        <v>-6.9999999999996732</v>
      </c>
      <c r="P41" s="19">
        <f t="shared" si="13"/>
        <v>-3.9999999999995595</v>
      </c>
      <c r="Q41" s="19">
        <f t="shared" si="14"/>
        <v>-4.9999999999998934</v>
      </c>
      <c r="R41" s="19">
        <f t="shared" si="9"/>
        <v>-6.9999999999907914</v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>
        <f t="shared" si="11"/>
        <v>0</v>
      </c>
      <c r="W41" s="28">
        <f t="shared" si="11"/>
        <v>0</v>
      </c>
      <c r="X41" s="29">
        <f t="shared" si="11"/>
        <v>-0.99999999999944578</v>
      </c>
      <c r="Y41" s="24"/>
    </row>
    <row r="42" spans="2:25" ht="15" customHeight="1" x14ac:dyDescent="0.2">
      <c r="B42" s="31">
        <v>41759</v>
      </c>
      <c r="C42" s="25"/>
      <c r="D42" s="26"/>
      <c r="E42" s="26"/>
      <c r="F42" s="16">
        <v>13</v>
      </c>
      <c r="G42" s="16">
        <v>9.8160000000000007</v>
      </c>
      <c r="H42" s="16">
        <v>10.426</v>
      </c>
      <c r="I42" s="17">
        <v>101.92400000000001</v>
      </c>
      <c r="J42" s="32">
        <v>534.5</v>
      </c>
      <c r="K42" s="18">
        <f t="shared" si="10"/>
        <v>78.5</v>
      </c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>
        <f t="shared" si="12"/>
        <v>-6.9999999999996732</v>
      </c>
      <c r="P42" s="19">
        <f t="shared" si="13"/>
        <v>-3.9999999999995595</v>
      </c>
      <c r="Q42" s="19">
        <f t="shared" si="14"/>
        <v>-4.9999999999998934</v>
      </c>
      <c r="R42" s="19">
        <f t="shared" si="9"/>
        <v>-6.9999999999907914</v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>
        <f t="shared" si="11"/>
        <v>0</v>
      </c>
      <c r="W42" s="28">
        <f t="shared" si="11"/>
        <v>0</v>
      </c>
      <c r="X42" s="29">
        <f t="shared" si="11"/>
        <v>0</v>
      </c>
      <c r="Y42" s="24"/>
    </row>
    <row r="43" spans="2:25" ht="15" customHeight="1" x14ac:dyDescent="0.2">
      <c r="B43" s="31">
        <v>41781</v>
      </c>
      <c r="C43" s="25"/>
      <c r="D43" s="26"/>
      <c r="E43" s="26"/>
      <c r="F43" s="16">
        <v>13.000999999999999</v>
      </c>
      <c r="G43" s="16">
        <v>9.8160000000000007</v>
      </c>
      <c r="H43" s="16">
        <v>10.426</v>
      </c>
      <c r="I43" s="17">
        <v>101.92400000000001</v>
      </c>
      <c r="J43" s="58">
        <v>792</v>
      </c>
      <c r="K43" s="18">
        <f t="shared" ref="K43:K48" si="16">IF(ISBLANK(J43),"",(J43-$J$8))</f>
        <v>336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12"/>
        <v>-6.0000000000002274</v>
      </c>
      <c r="P43" s="19">
        <f t="shared" si="13"/>
        <v>-3.9999999999995595</v>
      </c>
      <c r="Q43" s="19">
        <f t="shared" si="14"/>
        <v>-4.9999999999998934</v>
      </c>
      <c r="R43" s="19">
        <f t="shared" si="9"/>
        <v>-6.9999999999907914</v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>
        <f t="shared" si="11"/>
        <v>4.5454545454520261E-2</v>
      </c>
      <c r="W43" s="28">
        <f t="shared" si="11"/>
        <v>0</v>
      </c>
      <c r="X43" s="29">
        <f t="shared" si="11"/>
        <v>0</v>
      </c>
      <c r="Y43" s="24"/>
    </row>
    <row r="44" spans="2:25" ht="15" customHeight="1" x14ac:dyDescent="0.2">
      <c r="B44" s="31">
        <v>41843</v>
      </c>
      <c r="C44" s="25"/>
      <c r="D44" s="26"/>
      <c r="E44" s="26"/>
      <c r="F44" s="16">
        <v>13</v>
      </c>
      <c r="G44" s="16">
        <v>9.8160000000000007</v>
      </c>
      <c r="H44" s="16">
        <v>10.426</v>
      </c>
      <c r="I44" s="17">
        <v>101.92400000000001</v>
      </c>
      <c r="J44" s="58">
        <v>943</v>
      </c>
      <c r="K44" s="18">
        <f t="shared" si="16"/>
        <v>487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12"/>
        <v>-6.9999999999996732</v>
      </c>
      <c r="P44" s="19">
        <f t="shared" si="13"/>
        <v>-3.9999999999995595</v>
      </c>
      <c r="Q44" s="19">
        <f t="shared" si="14"/>
        <v>-4.9999999999998934</v>
      </c>
      <c r="R44" s="19">
        <f t="shared" si="9"/>
        <v>-6.9999999999907914</v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>
        <f t="shared" si="11"/>
        <v>-1.6129032258055578E-2</v>
      </c>
      <c r="W44" s="28">
        <f t="shared" si="11"/>
        <v>0</v>
      </c>
      <c r="X44" s="29">
        <f t="shared" si="11"/>
        <v>0</v>
      </c>
      <c r="Y44" s="24"/>
    </row>
    <row r="45" spans="2:25" ht="15" customHeight="1" x14ac:dyDescent="0.2">
      <c r="B45" s="31">
        <v>41933</v>
      </c>
      <c r="C45" s="25">
        <v>12.486000000000001</v>
      </c>
      <c r="D45" s="26">
        <v>7.3239999999999998</v>
      </c>
      <c r="E45" s="26">
        <v>7.9470000000000001</v>
      </c>
      <c r="F45" s="16">
        <v>12.999000000000001</v>
      </c>
      <c r="G45" s="16">
        <v>9.8149999999999995</v>
      </c>
      <c r="H45" s="16">
        <v>10.425000000000001</v>
      </c>
      <c r="I45" s="17">
        <v>101.92400000000001</v>
      </c>
      <c r="J45" s="58">
        <v>943</v>
      </c>
      <c r="K45" s="18">
        <f t="shared" si="16"/>
        <v>487</v>
      </c>
      <c r="L45" s="19">
        <f t="shared" si="6"/>
        <v>-4.9999999999990052</v>
      </c>
      <c r="M45" s="19">
        <f t="shared" si="7"/>
        <v>-2.0000000000006679</v>
      </c>
      <c r="N45" s="19">
        <f t="shared" si="8"/>
        <v>-3.9999999999995595</v>
      </c>
      <c r="O45" s="19">
        <f t="shared" si="12"/>
        <v>-7.9999999999991189</v>
      </c>
      <c r="P45" s="19">
        <f t="shared" si="13"/>
        <v>-5.0000000000007816</v>
      </c>
      <c r="Q45" s="19">
        <f t="shared" si="14"/>
        <v>-5.9999999999993392</v>
      </c>
      <c r="R45" s="19">
        <f t="shared" si="9"/>
        <v>-6.9999999999907914</v>
      </c>
      <c r="S45" s="27"/>
      <c r="T45" s="28"/>
      <c r="U45" s="28"/>
      <c r="V45" s="28">
        <f t="shared" si="11"/>
        <v>-1.1111111111104953E-2</v>
      </c>
      <c r="W45" s="28">
        <f t="shared" si="11"/>
        <v>-1.1111111111124691E-2</v>
      </c>
      <c r="X45" s="29">
        <f t="shared" si="11"/>
        <v>-1.1111111111104953E-2</v>
      </c>
      <c r="Y45" s="24"/>
    </row>
    <row r="46" spans="2:25" ht="15" customHeight="1" x14ac:dyDescent="0.2">
      <c r="B46" s="31">
        <v>42025</v>
      </c>
      <c r="C46" s="25">
        <v>12.484999999999999</v>
      </c>
      <c r="D46" s="26">
        <v>7.3239999999999998</v>
      </c>
      <c r="E46" s="26">
        <v>7.9470000000000001</v>
      </c>
      <c r="F46" s="16">
        <v>13</v>
      </c>
      <c r="G46" s="16">
        <v>9.8149999999999995</v>
      </c>
      <c r="H46" s="16">
        <v>10.426</v>
      </c>
      <c r="I46" s="17">
        <v>101.92400000000001</v>
      </c>
      <c r="J46" s="58">
        <v>943</v>
      </c>
      <c r="K46" s="18">
        <f t="shared" si="16"/>
        <v>487</v>
      </c>
      <c r="L46" s="19">
        <f t="shared" si="6"/>
        <v>-6.0000000000002274</v>
      </c>
      <c r="M46" s="19">
        <f t="shared" si="7"/>
        <v>-2.0000000000006679</v>
      </c>
      <c r="N46" s="19">
        <f t="shared" si="8"/>
        <v>-3.9999999999995595</v>
      </c>
      <c r="O46" s="19">
        <f t="shared" si="12"/>
        <v>-6.9999999999996732</v>
      </c>
      <c r="P46" s="19">
        <f t="shared" si="13"/>
        <v>-5.0000000000007816</v>
      </c>
      <c r="Q46" s="19">
        <f t="shared" si="14"/>
        <v>-4.9999999999998934</v>
      </c>
      <c r="R46" s="19">
        <f t="shared" si="9"/>
        <v>-6.9999999999907914</v>
      </c>
      <c r="S46" s="27">
        <f t="shared" si="11"/>
        <v>-1.0869565217404589E-2</v>
      </c>
      <c r="T46" s="28">
        <f t="shared" si="11"/>
        <v>0</v>
      </c>
      <c r="U46" s="28">
        <f t="shared" si="11"/>
        <v>0</v>
      </c>
      <c r="V46" s="28">
        <f t="shared" si="11"/>
        <v>1.0869565217385279E-2</v>
      </c>
      <c r="W46" s="28">
        <f t="shared" si="11"/>
        <v>0</v>
      </c>
      <c r="X46" s="29">
        <f t="shared" si="11"/>
        <v>1.0869565217385279E-2</v>
      </c>
      <c r="Y46" s="24"/>
    </row>
    <row r="47" spans="2:25" ht="15" customHeight="1" x14ac:dyDescent="0.2">
      <c r="B47" s="31">
        <v>42109</v>
      </c>
      <c r="C47" s="25"/>
      <c r="D47" s="26"/>
      <c r="E47" s="26"/>
      <c r="F47" s="16">
        <v>12.999000000000001</v>
      </c>
      <c r="G47" s="16">
        <v>9.8149999999999995</v>
      </c>
      <c r="H47" s="16">
        <v>10.425000000000001</v>
      </c>
      <c r="I47" s="17">
        <v>101.923</v>
      </c>
      <c r="J47" s="58">
        <v>943</v>
      </c>
      <c r="K47" s="18">
        <f t="shared" si="16"/>
        <v>487</v>
      </c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>
        <f t="shared" si="12"/>
        <v>-7.9999999999991189</v>
      </c>
      <c r="P47" s="19">
        <f t="shared" si="13"/>
        <v>-5.0000000000007816</v>
      </c>
      <c r="Q47" s="19">
        <f t="shared" si="14"/>
        <v>-5.9999999999993392</v>
      </c>
      <c r="R47" s="19">
        <f t="shared" si="9"/>
        <v>-7.9999999999955662</v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>
        <f t="shared" si="11"/>
        <v>-1.1904761904755307E-2</v>
      </c>
      <c r="W47" s="28">
        <f t="shared" si="11"/>
        <v>0</v>
      </c>
      <c r="X47" s="29">
        <f t="shared" si="11"/>
        <v>-1.1904761904755307E-2</v>
      </c>
      <c r="Y47" s="24"/>
    </row>
    <row r="48" spans="2:25" ht="15" customHeight="1" x14ac:dyDescent="0.2">
      <c r="B48" s="31">
        <v>42221</v>
      </c>
      <c r="C48" s="25"/>
      <c r="D48" s="26"/>
      <c r="E48" s="26"/>
      <c r="F48" s="16">
        <v>13</v>
      </c>
      <c r="G48" s="16">
        <v>9.8170000000000002</v>
      </c>
      <c r="H48" s="16">
        <v>10.425000000000001</v>
      </c>
      <c r="I48" s="17">
        <v>101.92400000000001</v>
      </c>
      <c r="J48" s="32">
        <v>1253</v>
      </c>
      <c r="K48" s="18">
        <f t="shared" si="16"/>
        <v>797</v>
      </c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>
        <f t="shared" si="12"/>
        <v>-6.9999999999996732</v>
      </c>
      <c r="P48" s="19">
        <f t="shared" si="13"/>
        <v>-3.0000000000001137</v>
      </c>
      <c r="Q48" s="19">
        <f t="shared" si="14"/>
        <v>-5.9999999999993392</v>
      </c>
      <c r="R48" s="19">
        <f t="shared" si="9"/>
        <v>-6.9999999999907914</v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>
        <f t="shared" si="11"/>
        <v>8.9285714285664806E-3</v>
      </c>
      <c r="W48" s="28">
        <f t="shared" si="11"/>
        <v>1.785714285714882E-2</v>
      </c>
      <c r="X48" s="29">
        <f t="shared" si="11"/>
        <v>0</v>
      </c>
      <c r="Y48" s="24"/>
    </row>
    <row r="49" spans="2:25" ht="15" customHeight="1" x14ac:dyDescent="0.2">
      <c r="B49" s="31">
        <v>42318</v>
      </c>
      <c r="C49" s="25"/>
      <c r="D49" s="26"/>
      <c r="E49" s="26"/>
      <c r="F49" s="16">
        <v>13.997999999999999</v>
      </c>
      <c r="G49" s="16">
        <v>9.8149999999999995</v>
      </c>
      <c r="H49" s="16">
        <v>10.425000000000001</v>
      </c>
      <c r="I49" s="17">
        <v>101.922</v>
      </c>
      <c r="J49" s="32">
        <v>2220</v>
      </c>
      <c r="K49" s="18">
        <f t="shared" ref="K49:K51" si="17">IF(ISBLANK(J49),"",(J49-$J$8))</f>
        <v>1764</v>
      </c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>
        <f t="shared" si="12"/>
        <v>990.99999999999966</v>
      </c>
      <c r="P49" s="19">
        <f t="shared" si="13"/>
        <v>-5.0000000000007816</v>
      </c>
      <c r="Q49" s="19">
        <f t="shared" si="14"/>
        <v>-5.9999999999993392</v>
      </c>
      <c r="R49" s="19">
        <f t="shared" si="9"/>
        <v>-9.0000000000003411</v>
      </c>
      <c r="S49" s="27" t="str">
        <f t="shared" ref="S49:X64" si="18">IF(C49="","",((C49-C48)*1000)/($B49-$B48))</f>
        <v/>
      </c>
      <c r="T49" s="28" t="str">
        <f t="shared" si="18"/>
        <v/>
      </c>
      <c r="U49" s="28" t="str">
        <f t="shared" si="18"/>
        <v/>
      </c>
      <c r="V49" s="28">
        <f t="shared" si="18"/>
        <v>10.288659793814427</v>
      </c>
      <c r="W49" s="28">
        <f t="shared" si="18"/>
        <v>-2.0618556701037814E-2</v>
      </c>
      <c r="X49" s="29">
        <f t="shared" si="18"/>
        <v>0</v>
      </c>
      <c r="Y49" s="24"/>
    </row>
    <row r="50" spans="2:25" ht="15" customHeight="1" x14ac:dyDescent="0.2">
      <c r="B50" s="31">
        <v>42404</v>
      </c>
      <c r="C50" s="25">
        <v>12.484999999999999</v>
      </c>
      <c r="D50" s="26">
        <v>7.3239999999999998</v>
      </c>
      <c r="E50" s="26">
        <v>7.9459999999999997</v>
      </c>
      <c r="F50" s="16">
        <v>13.997</v>
      </c>
      <c r="G50" s="16">
        <v>9.8140000000000001</v>
      </c>
      <c r="H50" s="16">
        <v>10.423</v>
      </c>
      <c r="I50" s="17">
        <v>101.923</v>
      </c>
      <c r="J50" s="58">
        <v>2484</v>
      </c>
      <c r="K50" s="18">
        <f t="shared" si="17"/>
        <v>2028</v>
      </c>
      <c r="L50" s="19">
        <f t="shared" si="6"/>
        <v>-6.0000000000002274</v>
      </c>
      <c r="M50" s="19">
        <f t="shared" si="7"/>
        <v>-2.0000000000006679</v>
      </c>
      <c r="N50" s="19">
        <f t="shared" si="8"/>
        <v>-4.9999999999998934</v>
      </c>
      <c r="O50" s="19">
        <f t="shared" si="12"/>
        <v>990.00000000000023</v>
      </c>
      <c r="P50" s="19">
        <f t="shared" si="13"/>
        <v>-6.0000000000002274</v>
      </c>
      <c r="Q50" s="19">
        <f t="shared" si="14"/>
        <v>-8.0000000000000071</v>
      </c>
      <c r="R50" s="19">
        <f t="shared" si="9"/>
        <v>-7.9999999999955662</v>
      </c>
      <c r="S50" s="27"/>
      <c r="T50" s="28"/>
      <c r="U50" s="28"/>
      <c r="V50" s="28">
        <f t="shared" si="18"/>
        <v>-1.1627906976737741E-2</v>
      </c>
      <c r="W50" s="28">
        <f t="shared" si="18"/>
        <v>-1.1627906976737741E-2</v>
      </c>
      <c r="X50" s="29">
        <f t="shared" si="18"/>
        <v>-2.325581395349614E-2</v>
      </c>
      <c r="Y50" s="24"/>
    </row>
    <row r="51" spans="2:25" ht="15" customHeight="1" x14ac:dyDescent="0.2">
      <c r="B51" s="31">
        <v>42529</v>
      </c>
      <c r="C51" s="25"/>
      <c r="D51" s="26"/>
      <c r="E51" s="26"/>
      <c r="F51" s="16">
        <v>13.997999999999999</v>
      </c>
      <c r="G51" s="16">
        <v>9.8149999999999995</v>
      </c>
      <c r="H51" s="16">
        <v>10.423999999999999</v>
      </c>
      <c r="I51" s="17">
        <v>101.923</v>
      </c>
      <c r="J51" s="58">
        <v>2603</v>
      </c>
      <c r="K51" s="18">
        <f t="shared" si="17"/>
        <v>2147</v>
      </c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>
        <f t="shared" si="12"/>
        <v>990.99999999999966</v>
      </c>
      <c r="P51" s="19">
        <f t="shared" si="13"/>
        <v>-5.0000000000007816</v>
      </c>
      <c r="Q51" s="19">
        <f t="shared" si="14"/>
        <v>-7.0000000000005613</v>
      </c>
      <c r="R51" s="19">
        <f t="shared" si="9"/>
        <v>-7.9999999999955662</v>
      </c>
      <c r="S51" s="27" t="str">
        <f t="shared" si="18"/>
        <v/>
      </c>
      <c r="T51" s="28" t="str">
        <f t="shared" si="18"/>
        <v/>
      </c>
      <c r="U51" s="28" t="str">
        <f t="shared" si="18"/>
        <v/>
      </c>
      <c r="V51" s="28">
        <f t="shared" si="18"/>
        <v>7.9999999999955662E-3</v>
      </c>
      <c r="W51" s="28">
        <f t="shared" si="18"/>
        <v>7.9999999999955662E-3</v>
      </c>
      <c r="X51" s="29">
        <f t="shared" si="18"/>
        <v>7.9999999999955662E-3</v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12"/>
        <v/>
      </c>
      <c r="P52" s="19" t="str">
        <f t="shared" si="13"/>
        <v/>
      </c>
      <c r="Q52" s="19" t="str">
        <f t="shared" si="14"/>
        <v/>
      </c>
      <c r="R52" s="19" t="str">
        <f t="shared" si="9"/>
        <v/>
      </c>
      <c r="S52" s="27" t="str">
        <f t="shared" si="18"/>
        <v/>
      </c>
      <c r="T52" s="28" t="str">
        <f t="shared" si="18"/>
        <v/>
      </c>
      <c r="U52" s="28" t="str">
        <f t="shared" si="18"/>
        <v/>
      </c>
      <c r="V52" s="28" t="str">
        <f t="shared" si="18"/>
        <v/>
      </c>
      <c r="W52" s="28" t="str">
        <f t="shared" si="18"/>
        <v/>
      </c>
      <c r="X52" s="29" t="str">
        <f t="shared" si="18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12"/>
        <v/>
      </c>
      <c r="P53" s="19" t="str">
        <f t="shared" si="13"/>
        <v/>
      </c>
      <c r="Q53" s="19" t="str">
        <f t="shared" si="14"/>
        <v/>
      </c>
      <c r="R53" s="19" t="str">
        <f t="shared" si="9"/>
        <v/>
      </c>
      <c r="S53" s="27" t="str">
        <f t="shared" si="18"/>
        <v/>
      </c>
      <c r="T53" s="28" t="str">
        <f t="shared" si="18"/>
        <v/>
      </c>
      <c r="U53" s="28" t="str">
        <f t="shared" si="18"/>
        <v/>
      </c>
      <c r="V53" s="28" t="str">
        <f t="shared" si="18"/>
        <v/>
      </c>
      <c r="W53" s="28" t="str">
        <f t="shared" si="18"/>
        <v/>
      </c>
      <c r="X53" s="29" t="str">
        <f t="shared" si="18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12"/>
        <v/>
      </c>
      <c r="P54" s="19" t="str">
        <f t="shared" si="13"/>
        <v/>
      </c>
      <c r="Q54" s="19" t="str">
        <f t="shared" si="14"/>
        <v/>
      </c>
      <c r="R54" s="19" t="str">
        <f t="shared" si="9"/>
        <v/>
      </c>
      <c r="S54" s="27" t="str">
        <f t="shared" si="18"/>
        <v/>
      </c>
      <c r="T54" s="28" t="str">
        <f t="shared" si="18"/>
        <v/>
      </c>
      <c r="U54" s="28" t="str">
        <f t="shared" si="18"/>
        <v/>
      </c>
      <c r="V54" s="28" t="str">
        <f t="shared" si="18"/>
        <v/>
      </c>
      <c r="W54" s="28" t="str">
        <f t="shared" si="18"/>
        <v/>
      </c>
      <c r="X54" s="29" t="str">
        <f t="shared" si="18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12"/>
        <v/>
      </c>
      <c r="P55" s="19" t="str">
        <f t="shared" si="13"/>
        <v/>
      </c>
      <c r="Q55" s="19" t="str">
        <f t="shared" si="14"/>
        <v/>
      </c>
      <c r="R55" s="19" t="str">
        <f t="shared" si="9"/>
        <v/>
      </c>
      <c r="S55" s="27" t="str">
        <f t="shared" si="18"/>
        <v/>
      </c>
      <c r="T55" s="28" t="str">
        <f t="shared" si="18"/>
        <v/>
      </c>
      <c r="U55" s="28" t="str">
        <f t="shared" si="18"/>
        <v/>
      </c>
      <c r="V55" s="28" t="str">
        <f t="shared" si="18"/>
        <v/>
      </c>
      <c r="W55" s="28" t="str">
        <f t="shared" si="18"/>
        <v/>
      </c>
      <c r="X55" s="29" t="str">
        <f t="shared" si="18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12"/>
        <v/>
      </c>
      <c r="P56" s="19" t="str">
        <f t="shared" si="13"/>
        <v/>
      </c>
      <c r="Q56" s="19" t="str">
        <f t="shared" si="14"/>
        <v/>
      </c>
      <c r="R56" s="19" t="str">
        <f t="shared" si="9"/>
        <v/>
      </c>
      <c r="S56" s="27" t="str">
        <f t="shared" si="18"/>
        <v/>
      </c>
      <c r="T56" s="28" t="str">
        <f t="shared" si="18"/>
        <v/>
      </c>
      <c r="U56" s="28" t="str">
        <f t="shared" si="18"/>
        <v/>
      </c>
      <c r="V56" s="28" t="str">
        <f t="shared" si="18"/>
        <v/>
      </c>
      <c r="W56" s="28" t="str">
        <f t="shared" si="18"/>
        <v/>
      </c>
      <c r="X56" s="29" t="str">
        <f t="shared" si="18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12"/>
        <v/>
      </c>
      <c r="P57" s="19" t="str">
        <f t="shared" si="13"/>
        <v/>
      </c>
      <c r="Q57" s="19" t="str">
        <f t="shared" si="14"/>
        <v/>
      </c>
      <c r="R57" s="19" t="str">
        <f t="shared" si="9"/>
        <v/>
      </c>
      <c r="S57" s="27" t="str">
        <f t="shared" si="18"/>
        <v/>
      </c>
      <c r="T57" s="28" t="str">
        <f t="shared" si="18"/>
        <v/>
      </c>
      <c r="U57" s="28" t="str">
        <f t="shared" si="18"/>
        <v/>
      </c>
      <c r="V57" s="28" t="str">
        <f t="shared" si="18"/>
        <v/>
      </c>
      <c r="W57" s="28" t="str">
        <f t="shared" si="18"/>
        <v/>
      </c>
      <c r="X57" s="29" t="str">
        <f t="shared" si="18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12"/>
        <v/>
      </c>
      <c r="P58" s="19" t="str">
        <f t="shared" si="13"/>
        <v/>
      </c>
      <c r="Q58" s="19" t="str">
        <f t="shared" si="14"/>
        <v/>
      </c>
      <c r="R58" s="19" t="str">
        <f t="shared" si="9"/>
        <v/>
      </c>
      <c r="S58" s="27" t="str">
        <f t="shared" si="18"/>
        <v/>
      </c>
      <c r="T58" s="28" t="str">
        <f t="shared" si="18"/>
        <v/>
      </c>
      <c r="U58" s="28" t="str">
        <f t="shared" si="18"/>
        <v/>
      </c>
      <c r="V58" s="28" t="str">
        <f t="shared" si="18"/>
        <v/>
      </c>
      <c r="W58" s="28" t="str">
        <f t="shared" si="18"/>
        <v/>
      </c>
      <c r="X58" s="29" t="str">
        <f t="shared" si="18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12"/>
        <v/>
      </c>
      <c r="P59" s="19" t="str">
        <f t="shared" si="13"/>
        <v/>
      </c>
      <c r="Q59" s="19" t="str">
        <f t="shared" si="14"/>
        <v/>
      </c>
      <c r="R59" s="19" t="str">
        <f t="shared" si="9"/>
        <v/>
      </c>
      <c r="S59" s="27" t="str">
        <f t="shared" si="18"/>
        <v/>
      </c>
      <c r="T59" s="28" t="str">
        <f t="shared" si="18"/>
        <v/>
      </c>
      <c r="U59" s="28" t="str">
        <f t="shared" si="18"/>
        <v/>
      </c>
      <c r="V59" s="28" t="str">
        <f t="shared" si="18"/>
        <v/>
      </c>
      <c r="W59" s="28" t="str">
        <f t="shared" si="18"/>
        <v/>
      </c>
      <c r="X59" s="29" t="str">
        <f t="shared" si="18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12"/>
        <v/>
      </c>
      <c r="P60" s="19" t="str">
        <f t="shared" si="13"/>
        <v/>
      </c>
      <c r="Q60" s="19" t="str">
        <f t="shared" si="14"/>
        <v/>
      </c>
      <c r="R60" s="19" t="str">
        <f t="shared" si="9"/>
        <v/>
      </c>
      <c r="S60" s="27" t="str">
        <f t="shared" si="18"/>
        <v/>
      </c>
      <c r="T60" s="28" t="str">
        <f t="shared" si="18"/>
        <v/>
      </c>
      <c r="U60" s="28" t="str">
        <f t="shared" si="18"/>
        <v/>
      </c>
      <c r="V60" s="28" t="str">
        <f t="shared" si="18"/>
        <v/>
      </c>
      <c r="W60" s="28" t="str">
        <f t="shared" si="18"/>
        <v/>
      </c>
      <c r="X60" s="29" t="str">
        <f t="shared" si="18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12"/>
        <v/>
      </c>
      <c r="P61" s="19" t="str">
        <f t="shared" si="13"/>
        <v/>
      </c>
      <c r="Q61" s="19" t="str">
        <f t="shared" si="14"/>
        <v/>
      </c>
      <c r="R61" s="19" t="str">
        <f t="shared" si="9"/>
        <v/>
      </c>
      <c r="S61" s="27" t="str">
        <f t="shared" si="18"/>
        <v/>
      </c>
      <c r="T61" s="28" t="str">
        <f t="shared" si="18"/>
        <v/>
      </c>
      <c r="U61" s="28" t="str">
        <f t="shared" si="18"/>
        <v/>
      </c>
      <c r="V61" s="28" t="str">
        <f t="shared" si="18"/>
        <v/>
      </c>
      <c r="W61" s="28" t="str">
        <f t="shared" si="18"/>
        <v/>
      </c>
      <c r="X61" s="29" t="str">
        <f t="shared" si="18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12"/>
        <v/>
      </c>
      <c r="P62" s="19" t="str">
        <f t="shared" si="13"/>
        <v/>
      </c>
      <c r="Q62" s="19" t="str">
        <f t="shared" si="14"/>
        <v/>
      </c>
      <c r="R62" s="19" t="str">
        <f t="shared" si="9"/>
        <v/>
      </c>
      <c r="S62" s="27" t="str">
        <f t="shared" si="18"/>
        <v/>
      </c>
      <c r="T62" s="28" t="str">
        <f t="shared" si="18"/>
        <v/>
      </c>
      <c r="U62" s="28" t="str">
        <f t="shared" si="18"/>
        <v/>
      </c>
      <c r="V62" s="28" t="str">
        <f t="shared" si="18"/>
        <v/>
      </c>
      <c r="W62" s="28" t="str">
        <f t="shared" si="18"/>
        <v/>
      </c>
      <c r="X62" s="29" t="str">
        <f t="shared" si="18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L94" si="19">IF(ISBLANK(C63),"",(C63-C$16)*1000)</f>
        <v/>
      </c>
      <c r="M63" s="19" t="str">
        <f t="shared" si="7"/>
        <v/>
      </c>
      <c r="N63" s="19" t="str">
        <f t="shared" si="8"/>
        <v/>
      </c>
      <c r="O63" s="19" t="str">
        <f t="shared" si="12"/>
        <v/>
      </c>
      <c r="P63" s="19" t="str">
        <f t="shared" si="13"/>
        <v/>
      </c>
      <c r="Q63" s="19" t="str">
        <f t="shared" si="14"/>
        <v/>
      </c>
      <c r="R63" s="19" t="str">
        <f t="shared" si="9"/>
        <v/>
      </c>
      <c r="S63" s="27" t="str">
        <f t="shared" si="18"/>
        <v/>
      </c>
      <c r="T63" s="28" t="str">
        <f t="shared" si="18"/>
        <v/>
      </c>
      <c r="U63" s="28" t="str">
        <f t="shared" si="18"/>
        <v/>
      </c>
      <c r="V63" s="28" t="str">
        <f t="shared" si="18"/>
        <v/>
      </c>
      <c r="W63" s="28" t="str">
        <f t="shared" si="18"/>
        <v/>
      </c>
      <c r="X63" s="29" t="str">
        <f t="shared" si="18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7"/>
        <v/>
      </c>
      <c r="N64" s="19" t="str">
        <f t="shared" si="8"/>
        <v/>
      </c>
      <c r="O64" s="19" t="str">
        <f t="shared" si="12"/>
        <v/>
      </c>
      <c r="P64" s="19" t="str">
        <f t="shared" si="13"/>
        <v/>
      </c>
      <c r="Q64" s="19" t="str">
        <f t="shared" si="14"/>
        <v/>
      </c>
      <c r="R64" s="19" t="str">
        <f t="shared" si="9"/>
        <v/>
      </c>
      <c r="S64" s="27" t="str">
        <f t="shared" si="18"/>
        <v/>
      </c>
      <c r="T64" s="28" t="str">
        <f t="shared" si="18"/>
        <v/>
      </c>
      <c r="U64" s="28" t="str">
        <f t="shared" si="18"/>
        <v/>
      </c>
      <c r="V64" s="28" t="str">
        <f t="shared" si="18"/>
        <v/>
      </c>
      <c r="W64" s="28" t="str">
        <f t="shared" si="18"/>
        <v/>
      </c>
      <c r="X64" s="29" t="str">
        <f t="shared" si="18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7"/>
        <v/>
      </c>
      <c r="N65" s="19" t="str">
        <f t="shared" si="8"/>
        <v/>
      </c>
      <c r="O65" s="19" t="str">
        <f t="shared" si="12"/>
        <v/>
      </c>
      <c r="P65" s="19" t="str">
        <f t="shared" si="13"/>
        <v/>
      </c>
      <c r="Q65" s="19" t="str">
        <f t="shared" si="14"/>
        <v/>
      </c>
      <c r="R65" s="19" t="str">
        <f t="shared" si="9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7"/>
        <v/>
      </c>
      <c r="N66" s="19" t="str">
        <f t="shared" si="8"/>
        <v/>
      </c>
      <c r="O66" s="19" t="str">
        <f t="shared" si="12"/>
        <v/>
      </c>
      <c r="P66" s="19" t="str">
        <f t="shared" si="13"/>
        <v/>
      </c>
      <c r="Q66" s="19" t="str">
        <f t="shared" si="14"/>
        <v/>
      </c>
      <c r="R66" s="19" t="str">
        <f t="shared" si="9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7"/>
        <v/>
      </c>
      <c r="N67" s="19" t="str">
        <f t="shared" si="8"/>
        <v/>
      </c>
      <c r="O67" s="19" t="str">
        <f t="shared" si="12"/>
        <v/>
      </c>
      <c r="P67" s="19" t="str">
        <f t="shared" si="13"/>
        <v/>
      </c>
      <c r="Q67" s="19" t="str">
        <f t="shared" si="14"/>
        <v/>
      </c>
      <c r="R67" s="19" t="str">
        <f t="shared" si="9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7"/>
        <v/>
      </c>
      <c r="N68" s="19" t="str">
        <f t="shared" si="8"/>
        <v/>
      </c>
      <c r="O68" s="19" t="str">
        <f t="shared" si="12"/>
        <v/>
      </c>
      <c r="P68" s="19" t="str">
        <f t="shared" si="13"/>
        <v/>
      </c>
      <c r="Q68" s="19" t="str">
        <f t="shared" si="14"/>
        <v/>
      </c>
      <c r="R68" s="19" t="str">
        <f t="shared" si="9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9"/>
        <v/>
      </c>
      <c r="M69" s="19" t="str">
        <f t="shared" si="7"/>
        <v/>
      </c>
      <c r="N69" s="19" t="str">
        <f t="shared" si="8"/>
        <v/>
      </c>
      <c r="O69" s="19" t="str">
        <f t="shared" si="12"/>
        <v/>
      </c>
      <c r="P69" s="19" t="str">
        <f t="shared" si="13"/>
        <v/>
      </c>
      <c r="Q69" s="19" t="str">
        <f t="shared" si="14"/>
        <v/>
      </c>
      <c r="R69" s="19" t="str">
        <f t="shared" si="9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9"/>
        <v/>
      </c>
      <c r="M70" s="19" t="str">
        <f t="shared" si="7"/>
        <v/>
      </c>
      <c r="N70" s="19" t="str">
        <f t="shared" si="8"/>
        <v/>
      </c>
      <c r="O70" s="19" t="str">
        <f t="shared" si="12"/>
        <v/>
      </c>
      <c r="P70" s="19" t="str">
        <f t="shared" si="13"/>
        <v/>
      </c>
      <c r="Q70" s="19" t="str">
        <f t="shared" si="14"/>
        <v/>
      </c>
      <c r="R70" s="19" t="str">
        <f t="shared" si="9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9"/>
        <v/>
      </c>
      <c r="M71" s="19" t="str">
        <f t="shared" si="7"/>
        <v/>
      </c>
      <c r="N71" s="19" t="str">
        <f t="shared" si="8"/>
        <v/>
      </c>
      <c r="O71" s="19" t="str">
        <f t="shared" si="12"/>
        <v/>
      </c>
      <c r="P71" s="19" t="str">
        <f t="shared" si="13"/>
        <v/>
      </c>
      <c r="Q71" s="19" t="str">
        <f t="shared" si="14"/>
        <v/>
      </c>
      <c r="R71" s="19" t="str">
        <f t="shared" si="9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9"/>
        <v/>
      </c>
      <c r="M72" s="19" t="str">
        <f t="shared" si="7"/>
        <v/>
      </c>
      <c r="N72" s="19" t="str">
        <f t="shared" si="8"/>
        <v/>
      </c>
      <c r="O72" s="19" t="str">
        <f t="shared" si="12"/>
        <v/>
      </c>
      <c r="P72" s="19" t="str">
        <f t="shared" si="13"/>
        <v/>
      </c>
      <c r="Q72" s="19" t="str">
        <f t="shared" si="14"/>
        <v/>
      </c>
      <c r="R72" s="19" t="str">
        <f t="shared" si="9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9"/>
        <v/>
      </c>
      <c r="M73" s="19" t="str">
        <f t="shared" si="7"/>
        <v/>
      </c>
      <c r="N73" s="19" t="str">
        <f t="shared" si="8"/>
        <v/>
      </c>
      <c r="O73" s="19" t="str">
        <f t="shared" si="12"/>
        <v/>
      </c>
      <c r="P73" s="19" t="str">
        <f t="shared" si="13"/>
        <v/>
      </c>
      <c r="Q73" s="19" t="str">
        <f t="shared" si="14"/>
        <v/>
      </c>
      <c r="R73" s="19" t="str">
        <f t="shared" si="9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9"/>
        <v/>
      </c>
      <c r="M74" s="19" t="str">
        <f t="shared" si="7"/>
        <v/>
      </c>
      <c r="N74" s="19" t="str">
        <f t="shared" si="8"/>
        <v/>
      </c>
      <c r="O74" s="19" t="str">
        <f t="shared" si="12"/>
        <v/>
      </c>
      <c r="P74" s="19" t="str">
        <f t="shared" si="13"/>
        <v/>
      </c>
      <c r="Q74" s="19" t="str">
        <f t="shared" si="14"/>
        <v/>
      </c>
      <c r="R74" s="19" t="str">
        <f t="shared" si="9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9"/>
        <v/>
      </c>
      <c r="M75" s="19" t="str">
        <f t="shared" si="7"/>
        <v/>
      </c>
      <c r="N75" s="19" t="str">
        <f t="shared" si="8"/>
        <v/>
      </c>
      <c r="O75" s="19" t="str">
        <f t="shared" si="12"/>
        <v/>
      </c>
      <c r="P75" s="19" t="str">
        <f t="shared" si="13"/>
        <v/>
      </c>
      <c r="Q75" s="19" t="str">
        <f t="shared" si="14"/>
        <v/>
      </c>
      <c r="R75" s="19" t="str">
        <f t="shared" si="9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9"/>
        <v/>
      </c>
      <c r="M76" s="19" t="str">
        <f t="shared" si="7"/>
        <v/>
      </c>
      <c r="N76" s="19" t="str">
        <f t="shared" si="8"/>
        <v/>
      </c>
      <c r="O76" s="19" t="str">
        <f t="shared" si="12"/>
        <v/>
      </c>
      <c r="P76" s="19" t="str">
        <f t="shared" si="13"/>
        <v/>
      </c>
      <c r="Q76" s="19" t="str">
        <f t="shared" si="14"/>
        <v/>
      </c>
      <c r="R76" s="19" t="str">
        <f t="shared" si="9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9"/>
        <v/>
      </c>
      <c r="M77" s="19" t="str">
        <f t="shared" si="7"/>
        <v/>
      </c>
      <c r="N77" s="19" t="str">
        <f t="shared" si="8"/>
        <v/>
      </c>
      <c r="O77" s="19" t="str">
        <f t="shared" si="12"/>
        <v/>
      </c>
      <c r="P77" s="19" t="str">
        <f t="shared" si="13"/>
        <v/>
      </c>
      <c r="Q77" s="19" t="str">
        <f t="shared" si="14"/>
        <v/>
      </c>
      <c r="R77" s="19" t="str">
        <f t="shared" si="9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9"/>
        <v/>
      </c>
      <c r="M78" s="19" t="str">
        <f t="shared" si="7"/>
        <v/>
      </c>
      <c r="N78" s="19" t="str">
        <f t="shared" si="8"/>
        <v/>
      </c>
      <c r="O78" s="19" t="str">
        <f t="shared" si="12"/>
        <v/>
      </c>
      <c r="P78" s="19" t="str">
        <f t="shared" si="13"/>
        <v/>
      </c>
      <c r="Q78" s="19" t="str">
        <f t="shared" si="14"/>
        <v/>
      </c>
      <c r="R78" s="19" t="str">
        <f t="shared" si="9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9"/>
        <v/>
      </c>
      <c r="M79" s="19" t="str">
        <f t="shared" si="7"/>
        <v/>
      </c>
      <c r="N79" s="19" t="str">
        <f t="shared" si="8"/>
        <v/>
      </c>
      <c r="O79" s="19" t="str">
        <f t="shared" si="12"/>
        <v/>
      </c>
      <c r="P79" s="19" t="str">
        <f t="shared" si="13"/>
        <v/>
      </c>
      <c r="Q79" s="19" t="str">
        <f t="shared" si="14"/>
        <v/>
      </c>
      <c r="R79" s="19" t="str">
        <f t="shared" si="9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9"/>
        <v/>
      </c>
      <c r="M80" s="19" t="str">
        <f t="shared" si="7"/>
        <v/>
      </c>
      <c r="N80" s="19" t="str">
        <f t="shared" si="8"/>
        <v/>
      </c>
      <c r="O80" s="19" t="str">
        <f t="shared" si="12"/>
        <v/>
      </c>
      <c r="P80" s="19" t="str">
        <f t="shared" si="13"/>
        <v/>
      </c>
      <c r="Q80" s="19" t="str">
        <f t="shared" si="14"/>
        <v/>
      </c>
      <c r="R80" s="19" t="str">
        <f t="shared" si="9"/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9"/>
        <v/>
      </c>
      <c r="M81" s="19" t="str">
        <f t="shared" si="7"/>
        <v/>
      </c>
      <c r="N81" s="19" t="str">
        <f t="shared" si="8"/>
        <v/>
      </c>
      <c r="O81" s="19" t="str">
        <f t="shared" si="12"/>
        <v/>
      </c>
      <c r="P81" s="19" t="str">
        <f t="shared" si="13"/>
        <v/>
      </c>
      <c r="Q81" s="19" t="str">
        <f t="shared" si="14"/>
        <v/>
      </c>
      <c r="R81" s="19" t="str">
        <f t="shared" si="9"/>
        <v/>
      </c>
      <c r="S81" s="27" t="str">
        <f t="shared" ref="S81:X96" si="21">IF(C81="","",((C81-C80)*1000)/($B81-$B80))</f>
        <v/>
      </c>
      <c r="T81" s="28" t="str">
        <f t="shared" si="21"/>
        <v/>
      </c>
      <c r="U81" s="28" t="str">
        <f t="shared" si="21"/>
        <v/>
      </c>
      <c r="V81" s="28" t="str">
        <f t="shared" si="21"/>
        <v/>
      </c>
      <c r="W81" s="28" t="str">
        <f t="shared" si="21"/>
        <v/>
      </c>
      <c r="X81" s="29" t="str">
        <f t="shared" si="21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9"/>
        <v/>
      </c>
      <c r="M82" s="19" t="str">
        <f t="shared" si="7"/>
        <v/>
      </c>
      <c r="N82" s="19" t="str">
        <f t="shared" si="8"/>
        <v/>
      </c>
      <c r="O82" s="19" t="str">
        <f t="shared" si="12"/>
        <v/>
      </c>
      <c r="P82" s="19" t="str">
        <f t="shared" si="13"/>
        <v/>
      </c>
      <c r="Q82" s="19" t="str">
        <f t="shared" si="14"/>
        <v/>
      </c>
      <c r="R82" s="19" t="str">
        <f t="shared" si="9"/>
        <v/>
      </c>
      <c r="S82" s="27" t="str">
        <f t="shared" si="21"/>
        <v/>
      </c>
      <c r="T82" s="28" t="str">
        <f t="shared" si="21"/>
        <v/>
      </c>
      <c r="U82" s="28" t="str">
        <f t="shared" si="21"/>
        <v/>
      </c>
      <c r="V82" s="28" t="str">
        <f t="shared" si="21"/>
        <v/>
      </c>
      <c r="W82" s="28" t="str">
        <f t="shared" si="21"/>
        <v/>
      </c>
      <c r="X82" s="29" t="str">
        <f t="shared" si="21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9"/>
        <v/>
      </c>
      <c r="M83" s="19" t="str">
        <f t="shared" si="7"/>
        <v/>
      </c>
      <c r="N83" s="19" t="str">
        <f t="shared" si="8"/>
        <v/>
      </c>
      <c r="O83" s="19" t="str">
        <f t="shared" si="12"/>
        <v/>
      </c>
      <c r="P83" s="19" t="str">
        <f t="shared" si="13"/>
        <v/>
      </c>
      <c r="Q83" s="19" t="str">
        <f t="shared" si="14"/>
        <v/>
      </c>
      <c r="R83" s="19" t="str">
        <f t="shared" si="9"/>
        <v/>
      </c>
      <c r="S83" s="27" t="str">
        <f t="shared" si="21"/>
        <v/>
      </c>
      <c r="T83" s="28" t="str">
        <f t="shared" si="21"/>
        <v/>
      </c>
      <c r="U83" s="28" t="str">
        <f t="shared" si="21"/>
        <v/>
      </c>
      <c r="V83" s="28" t="str">
        <f t="shared" si="21"/>
        <v/>
      </c>
      <c r="W83" s="28" t="str">
        <f t="shared" si="21"/>
        <v/>
      </c>
      <c r="X83" s="29" t="str">
        <f t="shared" si="21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9"/>
        <v/>
      </c>
      <c r="M84" s="19" t="str">
        <f t="shared" si="7"/>
        <v/>
      </c>
      <c r="N84" s="19" t="str">
        <f t="shared" si="8"/>
        <v/>
      </c>
      <c r="O84" s="19" t="str">
        <f t="shared" si="12"/>
        <v/>
      </c>
      <c r="P84" s="19" t="str">
        <f t="shared" si="13"/>
        <v/>
      </c>
      <c r="Q84" s="19" t="str">
        <f t="shared" si="14"/>
        <v/>
      </c>
      <c r="R84" s="19" t="str">
        <f t="shared" si="9"/>
        <v/>
      </c>
      <c r="S84" s="27" t="str">
        <f t="shared" si="21"/>
        <v/>
      </c>
      <c r="T84" s="28" t="str">
        <f t="shared" si="21"/>
        <v/>
      </c>
      <c r="U84" s="28" t="str">
        <f t="shared" si="21"/>
        <v/>
      </c>
      <c r="V84" s="28" t="str">
        <f t="shared" si="21"/>
        <v/>
      </c>
      <c r="W84" s="28" t="str">
        <f t="shared" si="21"/>
        <v/>
      </c>
      <c r="X84" s="29" t="str">
        <f t="shared" si="21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9"/>
        <v/>
      </c>
      <c r="M85" s="19" t="str">
        <f t="shared" si="7"/>
        <v/>
      </c>
      <c r="N85" s="19" t="str">
        <f t="shared" si="8"/>
        <v/>
      </c>
      <c r="O85" s="19" t="str">
        <f t="shared" si="12"/>
        <v/>
      </c>
      <c r="P85" s="19" t="str">
        <f t="shared" si="13"/>
        <v/>
      </c>
      <c r="Q85" s="19" t="str">
        <f t="shared" si="14"/>
        <v/>
      </c>
      <c r="R85" s="19" t="str">
        <f t="shared" si="9"/>
        <v/>
      </c>
      <c r="S85" s="27" t="str">
        <f t="shared" si="21"/>
        <v/>
      </c>
      <c r="T85" s="28" t="str">
        <f t="shared" si="21"/>
        <v/>
      </c>
      <c r="U85" s="28" t="str">
        <f t="shared" si="21"/>
        <v/>
      </c>
      <c r="V85" s="28" t="str">
        <f t="shared" si="21"/>
        <v/>
      </c>
      <c r="W85" s="28" t="str">
        <f t="shared" si="21"/>
        <v/>
      </c>
      <c r="X85" s="29" t="str">
        <f t="shared" si="21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9"/>
        <v/>
      </c>
      <c r="M86" s="19" t="str">
        <f t="shared" si="7"/>
        <v/>
      </c>
      <c r="N86" s="19" t="str">
        <f t="shared" si="8"/>
        <v/>
      </c>
      <c r="O86" s="19" t="str">
        <f t="shared" si="12"/>
        <v/>
      </c>
      <c r="P86" s="19" t="str">
        <f t="shared" si="13"/>
        <v/>
      </c>
      <c r="Q86" s="19" t="str">
        <f t="shared" si="14"/>
        <v/>
      </c>
      <c r="R86" s="19" t="str">
        <f t="shared" si="9"/>
        <v/>
      </c>
      <c r="S86" s="27" t="str">
        <f t="shared" si="21"/>
        <v/>
      </c>
      <c r="T86" s="28" t="str">
        <f t="shared" si="21"/>
        <v/>
      </c>
      <c r="U86" s="28" t="str">
        <f t="shared" si="21"/>
        <v/>
      </c>
      <c r="V86" s="28" t="str">
        <f t="shared" si="21"/>
        <v/>
      </c>
      <c r="W86" s="28" t="str">
        <f t="shared" si="21"/>
        <v/>
      </c>
      <c r="X86" s="29" t="str">
        <f t="shared" si="21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9"/>
        <v/>
      </c>
      <c r="M87" s="19" t="str">
        <f t="shared" si="7"/>
        <v/>
      </c>
      <c r="N87" s="19" t="str">
        <f t="shared" si="8"/>
        <v/>
      </c>
      <c r="O87" s="19" t="str">
        <f t="shared" si="12"/>
        <v/>
      </c>
      <c r="P87" s="19" t="str">
        <f t="shared" si="13"/>
        <v/>
      </c>
      <c r="Q87" s="19" t="str">
        <f t="shared" si="14"/>
        <v/>
      </c>
      <c r="R87" s="19" t="str">
        <f t="shared" si="9"/>
        <v/>
      </c>
      <c r="S87" s="27" t="str">
        <f t="shared" si="21"/>
        <v/>
      </c>
      <c r="T87" s="28" t="str">
        <f t="shared" si="21"/>
        <v/>
      </c>
      <c r="U87" s="28" t="str">
        <f t="shared" si="21"/>
        <v/>
      </c>
      <c r="V87" s="28" t="str">
        <f t="shared" si="21"/>
        <v/>
      </c>
      <c r="W87" s="28" t="str">
        <f t="shared" si="21"/>
        <v/>
      </c>
      <c r="X87" s="29" t="str">
        <f t="shared" si="21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9"/>
        <v/>
      </c>
      <c r="M88" s="19" t="str">
        <f t="shared" si="7"/>
        <v/>
      </c>
      <c r="N88" s="19" t="str">
        <f t="shared" si="8"/>
        <v/>
      </c>
      <c r="O88" s="19" t="str">
        <f t="shared" si="12"/>
        <v/>
      </c>
      <c r="P88" s="19" t="str">
        <f t="shared" si="13"/>
        <v/>
      </c>
      <c r="Q88" s="19" t="str">
        <f t="shared" si="14"/>
        <v/>
      </c>
      <c r="R88" s="19" t="str">
        <f t="shared" si="9"/>
        <v/>
      </c>
      <c r="S88" s="27" t="str">
        <f t="shared" si="21"/>
        <v/>
      </c>
      <c r="T88" s="28" t="str">
        <f t="shared" si="21"/>
        <v/>
      </c>
      <c r="U88" s="28" t="str">
        <f t="shared" si="21"/>
        <v/>
      </c>
      <c r="V88" s="28" t="str">
        <f t="shared" si="21"/>
        <v/>
      </c>
      <c r="W88" s="28" t="str">
        <f t="shared" si="21"/>
        <v/>
      </c>
      <c r="X88" s="29" t="str">
        <f t="shared" si="21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9"/>
        <v/>
      </c>
      <c r="M89" s="19" t="str">
        <f t="shared" si="7"/>
        <v/>
      </c>
      <c r="N89" s="19" t="str">
        <f t="shared" si="8"/>
        <v/>
      </c>
      <c r="O89" s="19" t="str">
        <f t="shared" si="12"/>
        <v/>
      </c>
      <c r="P89" s="19" t="str">
        <f t="shared" si="13"/>
        <v/>
      </c>
      <c r="Q89" s="19" t="str">
        <f t="shared" si="14"/>
        <v/>
      </c>
      <c r="R89" s="19" t="str">
        <f t="shared" si="9"/>
        <v/>
      </c>
      <c r="S89" s="27" t="str">
        <f t="shared" si="21"/>
        <v/>
      </c>
      <c r="T89" s="28" t="str">
        <f t="shared" si="21"/>
        <v/>
      </c>
      <c r="U89" s="28" t="str">
        <f t="shared" si="21"/>
        <v/>
      </c>
      <c r="V89" s="28" t="str">
        <f t="shared" si="21"/>
        <v/>
      </c>
      <c r="W89" s="28" t="str">
        <f t="shared" si="21"/>
        <v/>
      </c>
      <c r="X89" s="29" t="str">
        <f t="shared" si="21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9"/>
        <v/>
      </c>
      <c r="M90" s="19" t="str">
        <f t="shared" ref="M90:M153" si="22">IF(ISBLANK(D90),"",((D90-D$25)*1000)+M$24)</f>
        <v/>
      </c>
      <c r="N90" s="19" t="str">
        <f t="shared" ref="N90:N153" si="23">IF(ISBLANK(E90),"",((E90-E$25)*1000)+N$24)</f>
        <v/>
      </c>
      <c r="O90" s="19" t="str">
        <f t="shared" si="12"/>
        <v/>
      </c>
      <c r="P90" s="19" t="str">
        <f t="shared" si="13"/>
        <v/>
      </c>
      <c r="Q90" s="19" t="str">
        <f t="shared" si="14"/>
        <v/>
      </c>
      <c r="R90" s="19" t="str">
        <f t="shared" ref="R90:R153" si="24">IF(ISBLANK(I90),"",((I90-I$25)*1000)+R$24)</f>
        <v/>
      </c>
      <c r="S90" s="27" t="str">
        <f t="shared" si="21"/>
        <v/>
      </c>
      <c r="T90" s="28" t="str">
        <f t="shared" si="21"/>
        <v/>
      </c>
      <c r="U90" s="28" t="str">
        <f t="shared" si="21"/>
        <v/>
      </c>
      <c r="V90" s="28" t="str">
        <f t="shared" si="21"/>
        <v/>
      </c>
      <c r="W90" s="28" t="str">
        <f t="shared" si="21"/>
        <v/>
      </c>
      <c r="X90" s="29" t="str">
        <f t="shared" si="21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9"/>
        <v/>
      </c>
      <c r="M91" s="19" t="str">
        <f t="shared" si="22"/>
        <v/>
      </c>
      <c r="N91" s="19" t="str">
        <f t="shared" si="23"/>
        <v/>
      </c>
      <c r="O91" s="19" t="str">
        <f t="shared" si="12"/>
        <v/>
      </c>
      <c r="P91" s="19" t="str">
        <f t="shared" si="13"/>
        <v/>
      </c>
      <c r="Q91" s="19" t="str">
        <f t="shared" si="14"/>
        <v/>
      </c>
      <c r="R91" s="19" t="str">
        <f t="shared" si="24"/>
        <v/>
      </c>
      <c r="S91" s="27" t="str">
        <f t="shared" si="21"/>
        <v/>
      </c>
      <c r="T91" s="28" t="str">
        <f t="shared" si="21"/>
        <v/>
      </c>
      <c r="U91" s="28" t="str">
        <f t="shared" si="21"/>
        <v/>
      </c>
      <c r="V91" s="28" t="str">
        <f t="shared" si="21"/>
        <v/>
      </c>
      <c r="W91" s="28" t="str">
        <f t="shared" si="21"/>
        <v/>
      </c>
      <c r="X91" s="29" t="str">
        <f t="shared" si="21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9"/>
        <v/>
      </c>
      <c r="M92" s="19" t="str">
        <f t="shared" si="22"/>
        <v/>
      </c>
      <c r="N92" s="19" t="str">
        <f t="shared" si="23"/>
        <v/>
      </c>
      <c r="O92" s="19" t="str">
        <f t="shared" si="12"/>
        <v/>
      </c>
      <c r="P92" s="19" t="str">
        <f t="shared" si="13"/>
        <v/>
      </c>
      <c r="Q92" s="19" t="str">
        <f t="shared" si="14"/>
        <v/>
      </c>
      <c r="R92" s="19" t="str">
        <f t="shared" si="24"/>
        <v/>
      </c>
      <c r="S92" s="27" t="str">
        <f t="shared" si="21"/>
        <v/>
      </c>
      <c r="T92" s="28" t="str">
        <f t="shared" si="21"/>
        <v/>
      </c>
      <c r="U92" s="28" t="str">
        <f t="shared" si="21"/>
        <v/>
      </c>
      <c r="V92" s="28" t="str">
        <f t="shared" si="21"/>
        <v/>
      </c>
      <c r="W92" s="28" t="str">
        <f t="shared" si="21"/>
        <v/>
      </c>
      <c r="X92" s="29" t="str">
        <f t="shared" si="21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9"/>
        <v/>
      </c>
      <c r="M93" s="19" t="str">
        <f t="shared" si="22"/>
        <v/>
      </c>
      <c r="N93" s="19" t="str">
        <f t="shared" si="23"/>
        <v/>
      </c>
      <c r="O93" s="19" t="str">
        <f t="shared" si="12"/>
        <v/>
      </c>
      <c r="P93" s="19" t="str">
        <f t="shared" si="13"/>
        <v/>
      </c>
      <c r="Q93" s="19" t="str">
        <f t="shared" si="14"/>
        <v/>
      </c>
      <c r="R93" s="19" t="str">
        <f t="shared" si="24"/>
        <v/>
      </c>
      <c r="S93" s="27" t="str">
        <f t="shared" si="21"/>
        <v/>
      </c>
      <c r="T93" s="28" t="str">
        <f t="shared" si="21"/>
        <v/>
      </c>
      <c r="U93" s="28" t="str">
        <f t="shared" si="21"/>
        <v/>
      </c>
      <c r="V93" s="28" t="str">
        <f t="shared" si="21"/>
        <v/>
      </c>
      <c r="W93" s="28" t="str">
        <f t="shared" si="21"/>
        <v/>
      </c>
      <c r="X93" s="29" t="str">
        <f t="shared" si="21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9"/>
        <v/>
      </c>
      <c r="M94" s="19" t="str">
        <f t="shared" si="22"/>
        <v/>
      </c>
      <c r="N94" s="19" t="str">
        <f t="shared" si="23"/>
        <v/>
      </c>
      <c r="O94" s="19" t="str">
        <f t="shared" si="12"/>
        <v/>
      </c>
      <c r="P94" s="19" t="str">
        <f t="shared" si="13"/>
        <v/>
      </c>
      <c r="Q94" s="19" t="str">
        <f t="shared" si="14"/>
        <v/>
      </c>
      <c r="R94" s="19" t="str">
        <f t="shared" si="24"/>
        <v/>
      </c>
      <c r="S94" s="27" t="str">
        <f t="shared" si="21"/>
        <v/>
      </c>
      <c r="T94" s="28" t="str">
        <f t="shared" si="21"/>
        <v/>
      </c>
      <c r="U94" s="28" t="str">
        <f t="shared" si="21"/>
        <v/>
      </c>
      <c r="V94" s="28" t="str">
        <f t="shared" si="21"/>
        <v/>
      </c>
      <c r="W94" s="28" t="str">
        <f t="shared" si="21"/>
        <v/>
      </c>
      <c r="X94" s="29" t="str">
        <f t="shared" si="21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7" si="25">IF(ISBLANK(C95),"",(C95-C$16)*1000)</f>
        <v/>
      </c>
      <c r="M95" s="19" t="str">
        <f t="shared" si="22"/>
        <v/>
      </c>
      <c r="N95" s="19" t="str">
        <f t="shared" si="23"/>
        <v/>
      </c>
      <c r="O95" s="19" t="str">
        <f t="shared" si="12"/>
        <v/>
      </c>
      <c r="P95" s="19" t="str">
        <f t="shared" si="13"/>
        <v/>
      </c>
      <c r="Q95" s="19" t="str">
        <f t="shared" si="14"/>
        <v/>
      </c>
      <c r="R95" s="19" t="str">
        <f t="shared" si="24"/>
        <v/>
      </c>
      <c r="S95" s="27" t="str">
        <f t="shared" si="21"/>
        <v/>
      </c>
      <c r="T95" s="28" t="str">
        <f t="shared" si="21"/>
        <v/>
      </c>
      <c r="U95" s="28" t="str">
        <f t="shared" si="21"/>
        <v/>
      </c>
      <c r="V95" s="28" t="str">
        <f t="shared" si="21"/>
        <v/>
      </c>
      <c r="W95" s="28" t="str">
        <f t="shared" si="21"/>
        <v/>
      </c>
      <c r="X95" s="29" t="str">
        <f t="shared" si="21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5"/>
        <v/>
      </c>
      <c r="M96" s="19" t="str">
        <f t="shared" si="22"/>
        <v/>
      </c>
      <c r="N96" s="19" t="str">
        <f t="shared" si="23"/>
        <v/>
      </c>
      <c r="O96" s="19" t="str">
        <f t="shared" si="12"/>
        <v/>
      </c>
      <c r="P96" s="19" t="str">
        <f t="shared" si="13"/>
        <v/>
      </c>
      <c r="Q96" s="19" t="str">
        <f t="shared" si="14"/>
        <v/>
      </c>
      <c r="R96" s="19" t="str">
        <f t="shared" si="24"/>
        <v/>
      </c>
      <c r="S96" s="27" t="str">
        <f t="shared" si="21"/>
        <v/>
      </c>
      <c r="T96" s="28" t="str">
        <f t="shared" si="21"/>
        <v/>
      </c>
      <c r="U96" s="28" t="str">
        <f t="shared" si="21"/>
        <v/>
      </c>
      <c r="V96" s="28" t="str">
        <f t="shared" si="21"/>
        <v/>
      </c>
      <c r="W96" s="28" t="str">
        <f t="shared" si="21"/>
        <v/>
      </c>
      <c r="X96" s="29" t="str">
        <f t="shared" si="21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5"/>
        <v/>
      </c>
      <c r="M97" s="19" t="str">
        <f t="shared" si="22"/>
        <v/>
      </c>
      <c r="N97" s="19" t="str">
        <f t="shared" si="23"/>
        <v/>
      </c>
      <c r="O97" s="19" t="str">
        <f t="shared" si="12"/>
        <v/>
      </c>
      <c r="P97" s="19" t="str">
        <f t="shared" si="13"/>
        <v/>
      </c>
      <c r="Q97" s="19" t="str">
        <f t="shared" si="14"/>
        <v/>
      </c>
      <c r="R97" s="19" t="str">
        <f t="shared" si="24"/>
        <v/>
      </c>
      <c r="S97" s="27" t="str">
        <f t="shared" ref="S97:X112" si="26">IF(C97="","",((C97-C96)*1000)/($B97-$B96))</f>
        <v/>
      </c>
      <c r="T97" s="28" t="str">
        <f t="shared" si="26"/>
        <v/>
      </c>
      <c r="U97" s="28" t="str">
        <f t="shared" si="26"/>
        <v/>
      </c>
      <c r="V97" s="28" t="str">
        <f t="shared" si="26"/>
        <v/>
      </c>
      <c r="W97" s="28" t="str">
        <f t="shared" si="26"/>
        <v/>
      </c>
      <c r="X97" s="29" t="str">
        <f t="shared" si="2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5"/>
        <v/>
      </c>
      <c r="M98" s="19" t="str">
        <f t="shared" si="22"/>
        <v/>
      </c>
      <c r="N98" s="19" t="str">
        <f t="shared" si="23"/>
        <v/>
      </c>
      <c r="O98" s="19" t="str">
        <f t="shared" si="12"/>
        <v/>
      </c>
      <c r="P98" s="19" t="str">
        <f t="shared" si="13"/>
        <v/>
      </c>
      <c r="Q98" s="19" t="str">
        <f t="shared" si="14"/>
        <v/>
      </c>
      <c r="R98" s="19" t="str">
        <f t="shared" si="24"/>
        <v/>
      </c>
      <c r="S98" s="27" t="str">
        <f t="shared" si="26"/>
        <v/>
      </c>
      <c r="T98" s="28" t="str">
        <f t="shared" si="26"/>
        <v/>
      </c>
      <c r="U98" s="28" t="str">
        <f t="shared" si="26"/>
        <v/>
      </c>
      <c r="V98" s="28" t="str">
        <f t="shared" si="26"/>
        <v/>
      </c>
      <c r="W98" s="28" t="str">
        <f t="shared" si="26"/>
        <v/>
      </c>
      <c r="X98" s="29" t="str">
        <f t="shared" si="2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5"/>
        <v/>
      </c>
      <c r="M99" s="19" t="str">
        <f t="shared" si="22"/>
        <v/>
      </c>
      <c r="N99" s="19" t="str">
        <f t="shared" si="23"/>
        <v/>
      </c>
      <c r="O99" s="19" t="str">
        <f t="shared" ref="O99:O153" si="27">IF(ISBLANK(F99),"",((F99-F$34)*1000)+L$34)</f>
        <v/>
      </c>
      <c r="P99" s="19" t="str">
        <f t="shared" ref="P99:P153" si="28">IF(ISBLANK(G99),"",((G99-G$34)*1000)+M$34)</f>
        <v/>
      </c>
      <c r="Q99" s="19" t="str">
        <f t="shared" ref="Q99:Q153" si="29">IF(ISBLANK(H99),"",((H99-H$34)*1000)+N$34)</f>
        <v/>
      </c>
      <c r="R99" s="19" t="str">
        <f t="shared" si="24"/>
        <v/>
      </c>
      <c r="S99" s="27" t="str">
        <f t="shared" si="26"/>
        <v/>
      </c>
      <c r="T99" s="28" t="str">
        <f t="shared" si="26"/>
        <v/>
      </c>
      <c r="U99" s="28" t="str">
        <f t="shared" si="26"/>
        <v/>
      </c>
      <c r="V99" s="28" t="str">
        <f t="shared" si="26"/>
        <v/>
      </c>
      <c r="W99" s="28" t="str">
        <f t="shared" si="26"/>
        <v/>
      </c>
      <c r="X99" s="29" t="str">
        <f t="shared" si="2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5"/>
        <v/>
      </c>
      <c r="M100" s="19" t="str">
        <f t="shared" si="22"/>
        <v/>
      </c>
      <c r="N100" s="19" t="str">
        <f t="shared" si="23"/>
        <v/>
      </c>
      <c r="O100" s="19" t="str">
        <f t="shared" si="27"/>
        <v/>
      </c>
      <c r="P100" s="19" t="str">
        <f t="shared" si="28"/>
        <v/>
      </c>
      <c r="Q100" s="19" t="str">
        <f t="shared" si="29"/>
        <v/>
      </c>
      <c r="R100" s="19" t="str">
        <f t="shared" si="24"/>
        <v/>
      </c>
      <c r="S100" s="27" t="str">
        <f t="shared" si="26"/>
        <v/>
      </c>
      <c r="T100" s="28" t="str">
        <f t="shared" si="26"/>
        <v/>
      </c>
      <c r="U100" s="28" t="str">
        <f t="shared" si="26"/>
        <v/>
      </c>
      <c r="V100" s="28" t="str">
        <f t="shared" si="26"/>
        <v/>
      </c>
      <c r="W100" s="28" t="str">
        <f t="shared" si="26"/>
        <v/>
      </c>
      <c r="X100" s="29" t="str">
        <f t="shared" si="2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5"/>
        <v/>
      </c>
      <c r="M101" s="19" t="str">
        <f t="shared" si="22"/>
        <v/>
      </c>
      <c r="N101" s="19" t="str">
        <f t="shared" si="23"/>
        <v/>
      </c>
      <c r="O101" s="19" t="str">
        <f t="shared" si="27"/>
        <v/>
      </c>
      <c r="P101" s="19" t="str">
        <f t="shared" si="28"/>
        <v/>
      </c>
      <c r="Q101" s="19" t="str">
        <f t="shared" si="29"/>
        <v/>
      </c>
      <c r="R101" s="19" t="str">
        <f t="shared" si="24"/>
        <v/>
      </c>
      <c r="S101" s="27" t="str">
        <f t="shared" si="26"/>
        <v/>
      </c>
      <c r="T101" s="28" t="str">
        <f t="shared" si="26"/>
        <v/>
      </c>
      <c r="U101" s="28" t="str">
        <f t="shared" si="26"/>
        <v/>
      </c>
      <c r="V101" s="28" t="str">
        <f t="shared" si="26"/>
        <v/>
      </c>
      <c r="W101" s="28" t="str">
        <f t="shared" si="26"/>
        <v/>
      </c>
      <c r="X101" s="29" t="str">
        <f t="shared" si="2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5"/>
        <v/>
      </c>
      <c r="M102" s="19" t="str">
        <f t="shared" si="22"/>
        <v/>
      </c>
      <c r="N102" s="19" t="str">
        <f t="shared" si="23"/>
        <v/>
      </c>
      <c r="O102" s="19" t="str">
        <f t="shared" si="27"/>
        <v/>
      </c>
      <c r="P102" s="19" t="str">
        <f t="shared" si="28"/>
        <v/>
      </c>
      <c r="Q102" s="19" t="str">
        <f t="shared" si="29"/>
        <v/>
      </c>
      <c r="R102" s="19" t="str">
        <f t="shared" si="24"/>
        <v/>
      </c>
      <c r="S102" s="27" t="str">
        <f t="shared" si="26"/>
        <v/>
      </c>
      <c r="T102" s="28" t="str">
        <f t="shared" si="26"/>
        <v/>
      </c>
      <c r="U102" s="28" t="str">
        <f t="shared" si="26"/>
        <v/>
      </c>
      <c r="V102" s="28" t="str">
        <f t="shared" si="26"/>
        <v/>
      </c>
      <c r="W102" s="28" t="str">
        <f t="shared" si="26"/>
        <v/>
      </c>
      <c r="X102" s="29" t="str">
        <f t="shared" si="2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5"/>
        <v/>
      </c>
      <c r="M103" s="19" t="str">
        <f t="shared" si="22"/>
        <v/>
      </c>
      <c r="N103" s="19" t="str">
        <f t="shared" si="23"/>
        <v/>
      </c>
      <c r="O103" s="19" t="str">
        <f t="shared" si="27"/>
        <v/>
      </c>
      <c r="P103" s="19" t="str">
        <f t="shared" si="28"/>
        <v/>
      </c>
      <c r="Q103" s="19" t="str">
        <f t="shared" si="29"/>
        <v/>
      </c>
      <c r="R103" s="19" t="str">
        <f t="shared" si="24"/>
        <v/>
      </c>
      <c r="S103" s="27" t="str">
        <f t="shared" si="26"/>
        <v/>
      </c>
      <c r="T103" s="28" t="str">
        <f t="shared" si="26"/>
        <v/>
      </c>
      <c r="U103" s="28" t="str">
        <f t="shared" si="26"/>
        <v/>
      </c>
      <c r="V103" s="28" t="str">
        <f t="shared" si="26"/>
        <v/>
      </c>
      <c r="W103" s="28" t="str">
        <f t="shared" si="26"/>
        <v/>
      </c>
      <c r="X103" s="29" t="str">
        <f t="shared" si="2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5"/>
        <v/>
      </c>
      <c r="M104" s="19" t="str">
        <f t="shared" si="22"/>
        <v/>
      </c>
      <c r="N104" s="19" t="str">
        <f t="shared" si="23"/>
        <v/>
      </c>
      <c r="O104" s="19" t="str">
        <f t="shared" si="27"/>
        <v/>
      </c>
      <c r="P104" s="19" t="str">
        <f t="shared" si="28"/>
        <v/>
      </c>
      <c r="Q104" s="19" t="str">
        <f t="shared" si="29"/>
        <v/>
      </c>
      <c r="R104" s="19" t="str">
        <f t="shared" si="24"/>
        <v/>
      </c>
      <c r="S104" s="27" t="str">
        <f t="shared" si="26"/>
        <v/>
      </c>
      <c r="T104" s="28" t="str">
        <f t="shared" si="26"/>
        <v/>
      </c>
      <c r="U104" s="28" t="str">
        <f t="shared" si="26"/>
        <v/>
      </c>
      <c r="V104" s="28" t="str">
        <f t="shared" si="26"/>
        <v/>
      </c>
      <c r="W104" s="28" t="str">
        <f t="shared" si="26"/>
        <v/>
      </c>
      <c r="X104" s="29" t="str">
        <f t="shared" si="2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5"/>
        <v/>
      </c>
      <c r="M105" s="19" t="str">
        <f t="shared" si="22"/>
        <v/>
      </c>
      <c r="N105" s="19" t="str">
        <f t="shared" si="23"/>
        <v/>
      </c>
      <c r="O105" s="19" t="str">
        <f t="shared" si="27"/>
        <v/>
      </c>
      <c r="P105" s="19" t="str">
        <f t="shared" si="28"/>
        <v/>
      </c>
      <c r="Q105" s="19" t="str">
        <f t="shared" si="29"/>
        <v/>
      </c>
      <c r="R105" s="19" t="str">
        <f t="shared" si="24"/>
        <v/>
      </c>
      <c r="S105" s="27" t="str">
        <f t="shared" si="26"/>
        <v/>
      </c>
      <c r="T105" s="28" t="str">
        <f t="shared" si="26"/>
        <v/>
      </c>
      <c r="U105" s="28" t="str">
        <f t="shared" si="26"/>
        <v/>
      </c>
      <c r="V105" s="28" t="str">
        <f t="shared" si="26"/>
        <v/>
      </c>
      <c r="W105" s="28" t="str">
        <f t="shared" si="26"/>
        <v/>
      </c>
      <c r="X105" s="29" t="str">
        <f t="shared" si="2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5"/>
        <v/>
      </c>
      <c r="M106" s="19" t="str">
        <f t="shared" si="22"/>
        <v/>
      </c>
      <c r="N106" s="19" t="str">
        <f t="shared" si="23"/>
        <v/>
      </c>
      <c r="O106" s="19" t="str">
        <f t="shared" si="27"/>
        <v/>
      </c>
      <c r="P106" s="19" t="str">
        <f t="shared" si="28"/>
        <v/>
      </c>
      <c r="Q106" s="19" t="str">
        <f t="shared" si="29"/>
        <v/>
      </c>
      <c r="R106" s="19" t="str">
        <f t="shared" si="24"/>
        <v/>
      </c>
      <c r="S106" s="27" t="str">
        <f t="shared" si="26"/>
        <v/>
      </c>
      <c r="T106" s="28" t="str">
        <f t="shared" si="26"/>
        <v/>
      </c>
      <c r="U106" s="28" t="str">
        <f t="shared" si="26"/>
        <v/>
      </c>
      <c r="V106" s="28" t="str">
        <f t="shared" si="26"/>
        <v/>
      </c>
      <c r="W106" s="28" t="str">
        <f t="shared" si="26"/>
        <v/>
      </c>
      <c r="X106" s="29" t="str">
        <f t="shared" si="2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5"/>
        <v/>
      </c>
      <c r="M107" s="19" t="str">
        <f t="shared" si="22"/>
        <v/>
      </c>
      <c r="N107" s="19" t="str">
        <f t="shared" si="23"/>
        <v/>
      </c>
      <c r="O107" s="19" t="str">
        <f t="shared" si="27"/>
        <v/>
      </c>
      <c r="P107" s="19" t="str">
        <f t="shared" si="28"/>
        <v/>
      </c>
      <c r="Q107" s="19" t="str">
        <f t="shared" si="29"/>
        <v/>
      </c>
      <c r="R107" s="19" t="str">
        <f t="shared" si="24"/>
        <v/>
      </c>
      <c r="S107" s="27" t="str">
        <f t="shared" si="26"/>
        <v/>
      </c>
      <c r="T107" s="28" t="str">
        <f t="shared" si="26"/>
        <v/>
      </c>
      <c r="U107" s="28" t="str">
        <f t="shared" si="26"/>
        <v/>
      </c>
      <c r="V107" s="28" t="str">
        <f t="shared" si="26"/>
        <v/>
      </c>
      <c r="W107" s="28" t="str">
        <f t="shared" si="26"/>
        <v/>
      </c>
      <c r="X107" s="29" t="str">
        <f t="shared" si="2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5"/>
        <v/>
      </c>
      <c r="M108" s="19" t="str">
        <f t="shared" si="22"/>
        <v/>
      </c>
      <c r="N108" s="19" t="str">
        <f t="shared" si="23"/>
        <v/>
      </c>
      <c r="O108" s="19" t="str">
        <f t="shared" si="27"/>
        <v/>
      </c>
      <c r="P108" s="19" t="str">
        <f t="shared" si="28"/>
        <v/>
      </c>
      <c r="Q108" s="19" t="str">
        <f t="shared" si="29"/>
        <v/>
      </c>
      <c r="R108" s="19" t="str">
        <f t="shared" si="24"/>
        <v/>
      </c>
      <c r="S108" s="27" t="str">
        <f t="shared" si="26"/>
        <v/>
      </c>
      <c r="T108" s="28" t="str">
        <f t="shared" si="26"/>
        <v/>
      </c>
      <c r="U108" s="28" t="str">
        <f t="shared" si="26"/>
        <v/>
      </c>
      <c r="V108" s="28" t="str">
        <f t="shared" si="26"/>
        <v/>
      </c>
      <c r="W108" s="28" t="str">
        <f t="shared" si="26"/>
        <v/>
      </c>
      <c r="X108" s="29" t="str">
        <f t="shared" si="2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5"/>
        <v/>
      </c>
      <c r="M109" s="19" t="str">
        <f t="shared" si="22"/>
        <v/>
      </c>
      <c r="N109" s="19" t="str">
        <f t="shared" si="23"/>
        <v/>
      </c>
      <c r="O109" s="19" t="str">
        <f t="shared" si="27"/>
        <v/>
      </c>
      <c r="P109" s="19" t="str">
        <f t="shared" si="28"/>
        <v/>
      </c>
      <c r="Q109" s="19" t="str">
        <f t="shared" si="29"/>
        <v/>
      </c>
      <c r="R109" s="19" t="str">
        <f t="shared" si="24"/>
        <v/>
      </c>
      <c r="S109" s="27" t="str">
        <f t="shared" si="26"/>
        <v/>
      </c>
      <c r="T109" s="28" t="str">
        <f t="shared" si="26"/>
        <v/>
      </c>
      <c r="U109" s="28" t="str">
        <f t="shared" si="26"/>
        <v/>
      </c>
      <c r="V109" s="28" t="str">
        <f t="shared" si="26"/>
        <v/>
      </c>
      <c r="W109" s="28" t="str">
        <f t="shared" si="26"/>
        <v/>
      </c>
      <c r="X109" s="29" t="str">
        <f t="shared" si="2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5"/>
        <v/>
      </c>
      <c r="M110" s="19" t="str">
        <f t="shared" si="22"/>
        <v/>
      </c>
      <c r="N110" s="19" t="str">
        <f t="shared" si="23"/>
        <v/>
      </c>
      <c r="O110" s="19" t="str">
        <f t="shared" si="27"/>
        <v/>
      </c>
      <c r="P110" s="19" t="str">
        <f t="shared" si="28"/>
        <v/>
      </c>
      <c r="Q110" s="19" t="str">
        <f t="shared" si="29"/>
        <v/>
      </c>
      <c r="R110" s="19" t="str">
        <f t="shared" si="24"/>
        <v/>
      </c>
      <c r="S110" s="27" t="str">
        <f t="shared" si="26"/>
        <v/>
      </c>
      <c r="T110" s="28" t="str">
        <f t="shared" si="26"/>
        <v/>
      </c>
      <c r="U110" s="28" t="str">
        <f t="shared" si="26"/>
        <v/>
      </c>
      <c r="V110" s="28" t="str">
        <f t="shared" si="26"/>
        <v/>
      </c>
      <c r="W110" s="28" t="str">
        <f t="shared" si="26"/>
        <v/>
      </c>
      <c r="X110" s="29" t="str">
        <f t="shared" si="2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5"/>
        <v/>
      </c>
      <c r="M111" s="19" t="str">
        <f t="shared" si="22"/>
        <v/>
      </c>
      <c r="N111" s="19" t="str">
        <f t="shared" si="23"/>
        <v/>
      </c>
      <c r="O111" s="19" t="str">
        <f t="shared" si="27"/>
        <v/>
      </c>
      <c r="P111" s="19" t="str">
        <f t="shared" si="28"/>
        <v/>
      </c>
      <c r="Q111" s="19" t="str">
        <f t="shared" si="29"/>
        <v/>
      </c>
      <c r="R111" s="19" t="str">
        <f t="shared" si="24"/>
        <v/>
      </c>
      <c r="S111" s="27" t="str">
        <f t="shared" si="26"/>
        <v/>
      </c>
      <c r="T111" s="28" t="str">
        <f t="shared" si="26"/>
        <v/>
      </c>
      <c r="U111" s="28" t="str">
        <f t="shared" si="26"/>
        <v/>
      </c>
      <c r="V111" s="28" t="str">
        <f t="shared" si="26"/>
        <v/>
      </c>
      <c r="W111" s="28" t="str">
        <f t="shared" si="26"/>
        <v/>
      </c>
      <c r="X111" s="29" t="str">
        <f t="shared" si="2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5"/>
        <v/>
      </c>
      <c r="M112" s="19" t="str">
        <f t="shared" si="22"/>
        <v/>
      </c>
      <c r="N112" s="19" t="str">
        <f t="shared" si="23"/>
        <v/>
      </c>
      <c r="O112" s="19" t="str">
        <f t="shared" si="27"/>
        <v/>
      </c>
      <c r="P112" s="19" t="str">
        <f t="shared" si="28"/>
        <v/>
      </c>
      <c r="Q112" s="19" t="str">
        <f t="shared" si="29"/>
        <v/>
      </c>
      <c r="R112" s="19" t="str">
        <f t="shared" si="24"/>
        <v/>
      </c>
      <c r="S112" s="27" t="str">
        <f t="shared" si="26"/>
        <v/>
      </c>
      <c r="T112" s="28" t="str">
        <f t="shared" si="26"/>
        <v/>
      </c>
      <c r="U112" s="28" t="str">
        <f t="shared" si="26"/>
        <v/>
      </c>
      <c r="V112" s="28" t="str">
        <f t="shared" si="26"/>
        <v/>
      </c>
      <c r="W112" s="28" t="str">
        <f t="shared" si="26"/>
        <v/>
      </c>
      <c r="X112" s="29" t="str">
        <f t="shared" si="2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5"/>
        <v/>
      </c>
      <c r="M113" s="19" t="str">
        <f t="shared" si="22"/>
        <v/>
      </c>
      <c r="N113" s="19" t="str">
        <f t="shared" si="23"/>
        <v/>
      </c>
      <c r="O113" s="19" t="str">
        <f t="shared" si="27"/>
        <v/>
      </c>
      <c r="P113" s="19" t="str">
        <f t="shared" si="28"/>
        <v/>
      </c>
      <c r="Q113" s="19" t="str">
        <f t="shared" si="29"/>
        <v/>
      </c>
      <c r="R113" s="19" t="str">
        <f t="shared" si="24"/>
        <v/>
      </c>
      <c r="S113" s="27" t="str">
        <f t="shared" ref="S113:X128" si="30">IF(C113="","",((C113-C112)*1000)/($B113-$B112))</f>
        <v/>
      </c>
      <c r="T113" s="28" t="str">
        <f t="shared" si="30"/>
        <v/>
      </c>
      <c r="U113" s="28" t="str">
        <f t="shared" si="30"/>
        <v/>
      </c>
      <c r="V113" s="28" t="str">
        <f t="shared" si="30"/>
        <v/>
      </c>
      <c r="W113" s="28" t="str">
        <f t="shared" si="30"/>
        <v/>
      </c>
      <c r="X113" s="29" t="str">
        <f t="shared" si="3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5"/>
        <v/>
      </c>
      <c r="M114" s="19" t="str">
        <f t="shared" si="22"/>
        <v/>
      </c>
      <c r="N114" s="19" t="str">
        <f t="shared" si="23"/>
        <v/>
      </c>
      <c r="O114" s="19" t="str">
        <f t="shared" si="27"/>
        <v/>
      </c>
      <c r="P114" s="19" t="str">
        <f t="shared" si="28"/>
        <v/>
      </c>
      <c r="Q114" s="19" t="str">
        <f t="shared" si="29"/>
        <v/>
      </c>
      <c r="R114" s="19" t="str">
        <f t="shared" si="24"/>
        <v/>
      </c>
      <c r="S114" s="27" t="str">
        <f t="shared" si="30"/>
        <v/>
      </c>
      <c r="T114" s="28" t="str">
        <f t="shared" si="30"/>
        <v/>
      </c>
      <c r="U114" s="28" t="str">
        <f t="shared" si="30"/>
        <v/>
      </c>
      <c r="V114" s="28" t="str">
        <f t="shared" si="30"/>
        <v/>
      </c>
      <c r="W114" s="28" t="str">
        <f t="shared" si="30"/>
        <v/>
      </c>
      <c r="X114" s="29" t="str">
        <f t="shared" si="3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5"/>
        <v/>
      </c>
      <c r="M115" s="19" t="str">
        <f t="shared" si="22"/>
        <v/>
      </c>
      <c r="N115" s="19" t="str">
        <f t="shared" si="23"/>
        <v/>
      </c>
      <c r="O115" s="19" t="str">
        <f t="shared" si="27"/>
        <v/>
      </c>
      <c r="P115" s="19" t="str">
        <f t="shared" si="28"/>
        <v/>
      </c>
      <c r="Q115" s="19" t="str">
        <f t="shared" si="29"/>
        <v/>
      </c>
      <c r="R115" s="19" t="str">
        <f t="shared" si="24"/>
        <v/>
      </c>
      <c r="S115" s="27" t="str">
        <f t="shared" si="30"/>
        <v/>
      </c>
      <c r="T115" s="28" t="str">
        <f t="shared" si="30"/>
        <v/>
      </c>
      <c r="U115" s="28" t="str">
        <f t="shared" si="30"/>
        <v/>
      </c>
      <c r="V115" s="28" t="str">
        <f t="shared" si="30"/>
        <v/>
      </c>
      <c r="W115" s="28" t="str">
        <f t="shared" si="30"/>
        <v/>
      </c>
      <c r="X115" s="29" t="str">
        <f t="shared" si="3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5"/>
        <v/>
      </c>
      <c r="M116" s="19" t="str">
        <f t="shared" si="22"/>
        <v/>
      </c>
      <c r="N116" s="19" t="str">
        <f t="shared" si="23"/>
        <v/>
      </c>
      <c r="O116" s="19" t="str">
        <f t="shared" si="27"/>
        <v/>
      </c>
      <c r="P116" s="19" t="str">
        <f t="shared" si="28"/>
        <v/>
      </c>
      <c r="Q116" s="19" t="str">
        <f t="shared" si="29"/>
        <v/>
      </c>
      <c r="R116" s="19" t="str">
        <f t="shared" si="24"/>
        <v/>
      </c>
      <c r="S116" s="27" t="str">
        <f t="shared" si="30"/>
        <v/>
      </c>
      <c r="T116" s="28" t="str">
        <f t="shared" si="30"/>
        <v/>
      </c>
      <c r="U116" s="28" t="str">
        <f t="shared" si="30"/>
        <v/>
      </c>
      <c r="V116" s="28" t="str">
        <f t="shared" si="30"/>
        <v/>
      </c>
      <c r="W116" s="28" t="str">
        <f t="shared" si="30"/>
        <v/>
      </c>
      <c r="X116" s="29" t="str">
        <f t="shared" si="3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5"/>
        <v/>
      </c>
      <c r="M117" s="19" t="str">
        <f t="shared" si="22"/>
        <v/>
      </c>
      <c r="N117" s="19" t="str">
        <f t="shared" si="23"/>
        <v/>
      </c>
      <c r="O117" s="19" t="str">
        <f t="shared" si="27"/>
        <v/>
      </c>
      <c r="P117" s="19" t="str">
        <f t="shared" si="28"/>
        <v/>
      </c>
      <c r="Q117" s="19" t="str">
        <f t="shared" si="29"/>
        <v/>
      </c>
      <c r="R117" s="19" t="str">
        <f t="shared" si="24"/>
        <v/>
      </c>
      <c r="S117" s="27" t="str">
        <f t="shared" si="30"/>
        <v/>
      </c>
      <c r="T117" s="28" t="str">
        <f t="shared" si="30"/>
        <v/>
      </c>
      <c r="U117" s="28" t="str">
        <f t="shared" si="30"/>
        <v/>
      </c>
      <c r="V117" s="28" t="str">
        <f t="shared" si="30"/>
        <v/>
      </c>
      <c r="W117" s="28" t="str">
        <f t="shared" si="30"/>
        <v/>
      </c>
      <c r="X117" s="29" t="str">
        <f t="shared" si="3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31">IF(ISBLANK(C118),"",(C118-C$16)*1000)</f>
        <v/>
      </c>
      <c r="M118" s="19" t="str">
        <f t="shared" si="22"/>
        <v/>
      </c>
      <c r="N118" s="19" t="str">
        <f t="shared" si="23"/>
        <v/>
      </c>
      <c r="O118" s="19" t="str">
        <f t="shared" si="27"/>
        <v/>
      </c>
      <c r="P118" s="19" t="str">
        <f t="shared" si="28"/>
        <v/>
      </c>
      <c r="Q118" s="19" t="str">
        <f t="shared" si="29"/>
        <v/>
      </c>
      <c r="R118" s="19" t="str">
        <f t="shared" si="24"/>
        <v/>
      </c>
      <c r="S118" s="27" t="str">
        <f t="shared" si="30"/>
        <v/>
      </c>
      <c r="T118" s="28" t="str">
        <f t="shared" si="30"/>
        <v/>
      </c>
      <c r="U118" s="28" t="str">
        <f t="shared" si="30"/>
        <v/>
      </c>
      <c r="V118" s="28" t="str">
        <f t="shared" si="30"/>
        <v/>
      </c>
      <c r="W118" s="28" t="str">
        <f t="shared" si="30"/>
        <v/>
      </c>
      <c r="X118" s="29" t="str">
        <f t="shared" si="3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1"/>
        <v/>
      </c>
      <c r="M119" s="19" t="str">
        <f t="shared" si="22"/>
        <v/>
      </c>
      <c r="N119" s="19" t="str">
        <f t="shared" si="23"/>
        <v/>
      </c>
      <c r="O119" s="19" t="str">
        <f t="shared" si="27"/>
        <v/>
      </c>
      <c r="P119" s="19" t="str">
        <f t="shared" si="28"/>
        <v/>
      </c>
      <c r="Q119" s="19" t="str">
        <f t="shared" si="29"/>
        <v/>
      </c>
      <c r="R119" s="19" t="str">
        <f t="shared" si="24"/>
        <v/>
      </c>
      <c r="S119" s="27" t="str">
        <f t="shared" si="30"/>
        <v/>
      </c>
      <c r="T119" s="28" t="str">
        <f t="shared" si="30"/>
        <v/>
      </c>
      <c r="U119" s="28" t="str">
        <f t="shared" si="30"/>
        <v/>
      </c>
      <c r="V119" s="28" t="str">
        <f t="shared" si="30"/>
        <v/>
      </c>
      <c r="W119" s="28" t="str">
        <f t="shared" si="30"/>
        <v/>
      </c>
      <c r="X119" s="29" t="str">
        <f t="shared" si="3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1"/>
        <v/>
      </c>
      <c r="M120" s="19" t="str">
        <f t="shared" si="22"/>
        <v/>
      </c>
      <c r="N120" s="19" t="str">
        <f t="shared" si="23"/>
        <v/>
      </c>
      <c r="O120" s="19" t="str">
        <f t="shared" si="27"/>
        <v/>
      </c>
      <c r="P120" s="19" t="str">
        <f t="shared" si="28"/>
        <v/>
      </c>
      <c r="Q120" s="19" t="str">
        <f t="shared" si="29"/>
        <v/>
      </c>
      <c r="R120" s="19" t="str">
        <f t="shared" si="24"/>
        <v/>
      </c>
      <c r="S120" s="27" t="str">
        <f t="shared" si="30"/>
        <v/>
      </c>
      <c r="T120" s="28" t="str">
        <f t="shared" si="30"/>
        <v/>
      </c>
      <c r="U120" s="28" t="str">
        <f t="shared" si="30"/>
        <v/>
      </c>
      <c r="V120" s="28" t="str">
        <f t="shared" si="30"/>
        <v/>
      </c>
      <c r="W120" s="28" t="str">
        <f t="shared" si="30"/>
        <v/>
      </c>
      <c r="X120" s="29" t="str">
        <f t="shared" si="3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1"/>
        <v/>
      </c>
      <c r="M121" s="19" t="str">
        <f t="shared" si="22"/>
        <v/>
      </c>
      <c r="N121" s="19" t="str">
        <f t="shared" si="23"/>
        <v/>
      </c>
      <c r="O121" s="19" t="str">
        <f t="shared" si="27"/>
        <v/>
      </c>
      <c r="P121" s="19" t="str">
        <f t="shared" si="28"/>
        <v/>
      </c>
      <c r="Q121" s="19" t="str">
        <f t="shared" si="29"/>
        <v/>
      </c>
      <c r="R121" s="19" t="str">
        <f t="shared" si="24"/>
        <v/>
      </c>
      <c r="S121" s="27" t="str">
        <f t="shared" si="30"/>
        <v/>
      </c>
      <c r="T121" s="28" t="str">
        <f t="shared" si="30"/>
        <v/>
      </c>
      <c r="U121" s="28" t="str">
        <f t="shared" si="30"/>
        <v/>
      </c>
      <c r="V121" s="28" t="str">
        <f t="shared" si="30"/>
        <v/>
      </c>
      <c r="W121" s="28" t="str">
        <f t="shared" si="30"/>
        <v/>
      </c>
      <c r="X121" s="29" t="str">
        <f t="shared" si="3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1"/>
        <v/>
      </c>
      <c r="M122" s="19" t="str">
        <f t="shared" si="22"/>
        <v/>
      </c>
      <c r="N122" s="19" t="str">
        <f t="shared" si="23"/>
        <v/>
      </c>
      <c r="O122" s="19" t="str">
        <f t="shared" si="27"/>
        <v/>
      </c>
      <c r="P122" s="19" t="str">
        <f t="shared" si="28"/>
        <v/>
      </c>
      <c r="Q122" s="19" t="str">
        <f t="shared" si="29"/>
        <v/>
      </c>
      <c r="R122" s="19" t="str">
        <f t="shared" si="24"/>
        <v/>
      </c>
      <c r="S122" s="27" t="str">
        <f t="shared" si="30"/>
        <v/>
      </c>
      <c r="T122" s="28" t="str">
        <f t="shared" si="30"/>
        <v/>
      </c>
      <c r="U122" s="28" t="str">
        <f t="shared" si="30"/>
        <v/>
      </c>
      <c r="V122" s="28" t="str">
        <f t="shared" si="30"/>
        <v/>
      </c>
      <c r="W122" s="28" t="str">
        <f t="shared" si="30"/>
        <v/>
      </c>
      <c r="X122" s="29" t="str">
        <f t="shared" si="3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1"/>
        <v/>
      </c>
      <c r="M123" s="19" t="str">
        <f t="shared" si="22"/>
        <v/>
      </c>
      <c r="N123" s="19" t="str">
        <f t="shared" si="23"/>
        <v/>
      </c>
      <c r="O123" s="19" t="str">
        <f t="shared" si="27"/>
        <v/>
      </c>
      <c r="P123" s="19" t="str">
        <f t="shared" si="28"/>
        <v/>
      </c>
      <c r="Q123" s="19" t="str">
        <f t="shared" si="29"/>
        <v/>
      </c>
      <c r="R123" s="19" t="str">
        <f t="shared" si="24"/>
        <v/>
      </c>
      <c r="S123" s="27" t="str">
        <f t="shared" si="30"/>
        <v/>
      </c>
      <c r="T123" s="28" t="str">
        <f t="shared" si="30"/>
        <v/>
      </c>
      <c r="U123" s="28" t="str">
        <f t="shared" si="30"/>
        <v/>
      </c>
      <c r="V123" s="28" t="str">
        <f t="shared" si="30"/>
        <v/>
      </c>
      <c r="W123" s="28" t="str">
        <f t="shared" si="30"/>
        <v/>
      </c>
      <c r="X123" s="29" t="str">
        <f t="shared" si="3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1"/>
        <v/>
      </c>
      <c r="M124" s="19" t="str">
        <f t="shared" si="22"/>
        <v/>
      </c>
      <c r="N124" s="19" t="str">
        <f t="shared" si="23"/>
        <v/>
      </c>
      <c r="O124" s="19" t="str">
        <f t="shared" si="27"/>
        <v/>
      </c>
      <c r="P124" s="19" t="str">
        <f t="shared" si="28"/>
        <v/>
      </c>
      <c r="Q124" s="19" t="str">
        <f t="shared" si="29"/>
        <v/>
      </c>
      <c r="R124" s="19" t="str">
        <f t="shared" si="24"/>
        <v/>
      </c>
      <c r="S124" s="27" t="str">
        <f t="shared" si="30"/>
        <v/>
      </c>
      <c r="T124" s="28" t="str">
        <f t="shared" si="30"/>
        <v/>
      </c>
      <c r="U124" s="28" t="str">
        <f t="shared" si="30"/>
        <v/>
      </c>
      <c r="V124" s="28" t="str">
        <f t="shared" si="30"/>
        <v/>
      </c>
      <c r="W124" s="28" t="str">
        <f t="shared" si="30"/>
        <v/>
      </c>
      <c r="X124" s="29" t="str">
        <f t="shared" si="3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1"/>
        <v/>
      </c>
      <c r="M125" s="19" t="str">
        <f t="shared" si="22"/>
        <v/>
      </c>
      <c r="N125" s="19" t="str">
        <f t="shared" si="23"/>
        <v/>
      </c>
      <c r="O125" s="19" t="str">
        <f t="shared" si="27"/>
        <v/>
      </c>
      <c r="P125" s="19" t="str">
        <f t="shared" si="28"/>
        <v/>
      </c>
      <c r="Q125" s="19" t="str">
        <f t="shared" si="29"/>
        <v/>
      </c>
      <c r="R125" s="19" t="str">
        <f t="shared" si="24"/>
        <v/>
      </c>
      <c r="S125" s="27" t="str">
        <f t="shared" si="30"/>
        <v/>
      </c>
      <c r="T125" s="28" t="str">
        <f t="shared" si="30"/>
        <v/>
      </c>
      <c r="U125" s="28" t="str">
        <f t="shared" si="30"/>
        <v/>
      </c>
      <c r="V125" s="28" t="str">
        <f t="shared" si="30"/>
        <v/>
      </c>
      <c r="W125" s="28" t="str">
        <f t="shared" si="30"/>
        <v/>
      </c>
      <c r="X125" s="29" t="str">
        <f t="shared" si="3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1"/>
        <v/>
      </c>
      <c r="M126" s="19" t="str">
        <f t="shared" si="22"/>
        <v/>
      </c>
      <c r="N126" s="19" t="str">
        <f t="shared" si="23"/>
        <v/>
      </c>
      <c r="O126" s="19" t="str">
        <f t="shared" si="27"/>
        <v/>
      </c>
      <c r="P126" s="19" t="str">
        <f t="shared" si="28"/>
        <v/>
      </c>
      <c r="Q126" s="19" t="str">
        <f t="shared" si="29"/>
        <v/>
      </c>
      <c r="R126" s="19" t="str">
        <f t="shared" si="24"/>
        <v/>
      </c>
      <c r="S126" s="27" t="str">
        <f t="shared" si="30"/>
        <v/>
      </c>
      <c r="T126" s="28" t="str">
        <f t="shared" si="30"/>
        <v/>
      </c>
      <c r="U126" s="28" t="str">
        <f t="shared" si="30"/>
        <v/>
      </c>
      <c r="V126" s="28" t="str">
        <f t="shared" si="30"/>
        <v/>
      </c>
      <c r="W126" s="28" t="str">
        <f t="shared" si="30"/>
        <v/>
      </c>
      <c r="X126" s="29" t="str">
        <f t="shared" si="3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1"/>
        <v/>
      </c>
      <c r="M127" s="19" t="str">
        <f t="shared" si="22"/>
        <v/>
      </c>
      <c r="N127" s="19" t="str">
        <f t="shared" si="23"/>
        <v/>
      </c>
      <c r="O127" s="19" t="str">
        <f t="shared" si="27"/>
        <v/>
      </c>
      <c r="P127" s="19" t="str">
        <f t="shared" si="28"/>
        <v/>
      </c>
      <c r="Q127" s="19" t="str">
        <f t="shared" si="29"/>
        <v/>
      </c>
      <c r="R127" s="19" t="str">
        <f t="shared" si="24"/>
        <v/>
      </c>
      <c r="S127" s="27" t="str">
        <f t="shared" si="30"/>
        <v/>
      </c>
      <c r="T127" s="28" t="str">
        <f t="shared" si="30"/>
        <v/>
      </c>
      <c r="U127" s="28" t="str">
        <f t="shared" si="30"/>
        <v/>
      </c>
      <c r="V127" s="28" t="str">
        <f t="shared" si="30"/>
        <v/>
      </c>
      <c r="W127" s="28" t="str">
        <f t="shared" si="30"/>
        <v/>
      </c>
      <c r="X127" s="29" t="str">
        <f t="shared" si="3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1"/>
        <v/>
      </c>
      <c r="M128" s="19" t="str">
        <f t="shared" si="22"/>
        <v/>
      </c>
      <c r="N128" s="19" t="str">
        <f t="shared" si="23"/>
        <v/>
      </c>
      <c r="O128" s="19" t="str">
        <f t="shared" si="27"/>
        <v/>
      </c>
      <c r="P128" s="19" t="str">
        <f t="shared" si="28"/>
        <v/>
      </c>
      <c r="Q128" s="19" t="str">
        <f t="shared" si="29"/>
        <v/>
      </c>
      <c r="R128" s="19" t="str">
        <f t="shared" si="24"/>
        <v/>
      </c>
      <c r="S128" s="27" t="str">
        <f t="shared" si="30"/>
        <v/>
      </c>
      <c r="T128" s="28" t="str">
        <f t="shared" si="30"/>
        <v/>
      </c>
      <c r="U128" s="28" t="str">
        <f t="shared" si="30"/>
        <v/>
      </c>
      <c r="V128" s="28" t="str">
        <f t="shared" si="30"/>
        <v/>
      </c>
      <c r="W128" s="28" t="str">
        <f t="shared" si="30"/>
        <v/>
      </c>
      <c r="X128" s="29" t="str">
        <f t="shared" si="3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1"/>
        <v/>
      </c>
      <c r="M129" s="19" t="str">
        <f t="shared" si="22"/>
        <v/>
      </c>
      <c r="N129" s="19" t="str">
        <f t="shared" si="23"/>
        <v/>
      </c>
      <c r="O129" s="19" t="str">
        <f t="shared" si="27"/>
        <v/>
      </c>
      <c r="P129" s="19" t="str">
        <f t="shared" si="28"/>
        <v/>
      </c>
      <c r="Q129" s="19" t="str">
        <f t="shared" si="29"/>
        <v/>
      </c>
      <c r="R129" s="19" t="str">
        <f t="shared" si="24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1"/>
        <v/>
      </c>
      <c r="M130" s="19" t="str">
        <f t="shared" si="22"/>
        <v/>
      </c>
      <c r="N130" s="19" t="str">
        <f t="shared" si="23"/>
        <v/>
      </c>
      <c r="O130" s="19" t="str">
        <f t="shared" si="27"/>
        <v/>
      </c>
      <c r="P130" s="19" t="str">
        <f t="shared" si="28"/>
        <v/>
      </c>
      <c r="Q130" s="19" t="str">
        <f t="shared" si="29"/>
        <v/>
      </c>
      <c r="R130" s="19" t="str">
        <f t="shared" si="24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1"/>
        <v/>
      </c>
      <c r="M131" s="19" t="str">
        <f t="shared" si="22"/>
        <v/>
      </c>
      <c r="N131" s="19" t="str">
        <f t="shared" si="23"/>
        <v/>
      </c>
      <c r="O131" s="19" t="str">
        <f t="shared" si="27"/>
        <v/>
      </c>
      <c r="P131" s="19" t="str">
        <f t="shared" si="28"/>
        <v/>
      </c>
      <c r="Q131" s="19" t="str">
        <f t="shared" si="29"/>
        <v/>
      </c>
      <c r="R131" s="19" t="str">
        <f t="shared" si="24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1"/>
        <v/>
      </c>
      <c r="M132" s="19" t="str">
        <f t="shared" si="22"/>
        <v/>
      </c>
      <c r="N132" s="19" t="str">
        <f t="shared" si="23"/>
        <v/>
      </c>
      <c r="O132" s="19" t="str">
        <f t="shared" si="27"/>
        <v/>
      </c>
      <c r="P132" s="19" t="str">
        <f t="shared" si="28"/>
        <v/>
      </c>
      <c r="Q132" s="19" t="str">
        <f t="shared" si="29"/>
        <v/>
      </c>
      <c r="R132" s="19" t="str">
        <f t="shared" si="24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1"/>
        <v/>
      </c>
      <c r="M133" s="19" t="str">
        <f t="shared" si="22"/>
        <v/>
      </c>
      <c r="N133" s="19" t="str">
        <f t="shared" si="23"/>
        <v/>
      </c>
      <c r="O133" s="19" t="str">
        <f t="shared" si="27"/>
        <v/>
      </c>
      <c r="P133" s="19" t="str">
        <f t="shared" si="28"/>
        <v/>
      </c>
      <c r="Q133" s="19" t="str">
        <f t="shared" si="29"/>
        <v/>
      </c>
      <c r="R133" s="19" t="str">
        <f t="shared" si="24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1"/>
        <v/>
      </c>
      <c r="M134" s="19" t="str">
        <f t="shared" si="22"/>
        <v/>
      </c>
      <c r="N134" s="19" t="str">
        <f t="shared" si="23"/>
        <v/>
      </c>
      <c r="O134" s="19" t="str">
        <f t="shared" si="27"/>
        <v/>
      </c>
      <c r="P134" s="19" t="str">
        <f t="shared" si="28"/>
        <v/>
      </c>
      <c r="Q134" s="19" t="str">
        <f t="shared" si="29"/>
        <v/>
      </c>
      <c r="R134" s="19" t="str">
        <f t="shared" si="24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1"/>
        <v/>
      </c>
      <c r="M135" s="19" t="str">
        <f t="shared" si="22"/>
        <v/>
      </c>
      <c r="N135" s="19" t="str">
        <f t="shared" si="23"/>
        <v/>
      </c>
      <c r="O135" s="19" t="str">
        <f t="shared" si="27"/>
        <v/>
      </c>
      <c r="P135" s="19" t="str">
        <f t="shared" si="28"/>
        <v/>
      </c>
      <c r="Q135" s="19" t="str">
        <f t="shared" si="29"/>
        <v/>
      </c>
      <c r="R135" s="19" t="str">
        <f t="shared" si="24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1"/>
        <v/>
      </c>
      <c r="M136" s="19" t="str">
        <f t="shared" si="22"/>
        <v/>
      </c>
      <c r="N136" s="19" t="str">
        <f t="shared" si="23"/>
        <v/>
      </c>
      <c r="O136" s="19" t="str">
        <f t="shared" si="27"/>
        <v/>
      </c>
      <c r="P136" s="19" t="str">
        <f t="shared" si="28"/>
        <v/>
      </c>
      <c r="Q136" s="19" t="str">
        <f t="shared" si="29"/>
        <v/>
      </c>
      <c r="R136" s="19" t="str">
        <f t="shared" si="24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1"/>
        <v/>
      </c>
      <c r="M137" s="19" t="str">
        <f t="shared" si="22"/>
        <v/>
      </c>
      <c r="N137" s="19" t="str">
        <f t="shared" si="23"/>
        <v/>
      </c>
      <c r="O137" s="19" t="str">
        <f t="shared" si="27"/>
        <v/>
      </c>
      <c r="P137" s="19" t="str">
        <f t="shared" si="28"/>
        <v/>
      </c>
      <c r="Q137" s="19" t="str">
        <f t="shared" si="29"/>
        <v/>
      </c>
      <c r="R137" s="19" t="str">
        <f t="shared" si="24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1"/>
        <v/>
      </c>
      <c r="M138" s="19" t="str">
        <f t="shared" si="22"/>
        <v/>
      </c>
      <c r="N138" s="19" t="str">
        <f t="shared" si="23"/>
        <v/>
      </c>
      <c r="O138" s="19" t="str">
        <f t="shared" si="27"/>
        <v/>
      </c>
      <c r="P138" s="19" t="str">
        <f t="shared" si="28"/>
        <v/>
      </c>
      <c r="Q138" s="19" t="str">
        <f t="shared" si="29"/>
        <v/>
      </c>
      <c r="R138" s="19" t="str">
        <f t="shared" si="24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1"/>
        <v/>
      </c>
      <c r="M139" s="19" t="str">
        <f t="shared" si="22"/>
        <v/>
      </c>
      <c r="N139" s="19" t="str">
        <f t="shared" si="23"/>
        <v/>
      </c>
      <c r="O139" s="19" t="str">
        <f t="shared" si="27"/>
        <v/>
      </c>
      <c r="P139" s="19" t="str">
        <f t="shared" si="28"/>
        <v/>
      </c>
      <c r="Q139" s="19" t="str">
        <f t="shared" si="29"/>
        <v/>
      </c>
      <c r="R139" s="19" t="str">
        <f t="shared" si="24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1"/>
        <v/>
      </c>
      <c r="M140" s="19" t="str">
        <f t="shared" si="22"/>
        <v/>
      </c>
      <c r="N140" s="19" t="str">
        <f t="shared" si="23"/>
        <v/>
      </c>
      <c r="O140" s="19" t="str">
        <f t="shared" si="27"/>
        <v/>
      </c>
      <c r="P140" s="19" t="str">
        <f t="shared" si="28"/>
        <v/>
      </c>
      <c r="Q140" s="19" t="str">
        <f t="shared" si="29"/>
        <v/>
      </c>
      <c r="R140" s="19" t="str">
        <f t="shared" si="24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1"/>
        <v/>
      </c>
      <c r="M141" s="19" t="str">
        <f t="shared" si="22"/>
        <v/>
      </c>
      <c r="N141" s="19" t="str">
        <f t="shared" si="23"/>
        <v/>
      </c>
      <c r="O141" s="19" t="str">
        <f t="shared" si="27"/>
        <v/>
      </c>
      <c r="P141" s="19" t="str">
        <f t="shared" si="28"/>
        <v/>
      </c>
      <c r="Q141" s="19" t="str">
        <f t="shared" si="29"/>
        <v/>
      </c>
      <c r="R141" s="19" t="str">
        <f t="shared" si="24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1"/>
        <v/>
      </c>
      <c r="M142" s="19" t="str">
        <f t="shared" si="22"/>
        <v/>
      </c>
      <c r="N142" s="19" t="str">
        <f t="shared" si="23"/>
        <v/>
      </c>
      <c r="O142" s="19" t="str">
        <f t="shared" si="27"/>
        <v/>
      </c>
      <c r="P142" s="19" t="str">
        <f t="shared" si="28"/>
        <v/>
      </c>
      <c r="Q142" s="19" t="str">
        <f t="shared" si="29"/>
        <v/>
      </c>
      <c r="R142" s="19" t="str">
        <f t="shared" si="24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1"/>
        <v/>
      </c>
      <c r="M143" s="19" t="str">
        <f t="shared" si="22"/>
        <v/>
      </c>
      <c r="N143" s="19" t="str">
        <f t="shared" si="23"/>
        <v/>
      </c>
      <c r="O143" s="19" t="str">
        <f t="shared" si="27"/>
        <v/>
      </c>
      <c r="P143" s="19" t="str">
        <f t="shared" si="28"/>
        <v/>
      </c>
      <c r="Q143" s="19" t="str">
        <f t="shared" si="29"/>
        <v/>
      </c>
      <c r="R143" s="19" t="str">
        <f t="shared" si="24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1"/>
        <v/>
      </c>
      <c r="M144" s="19" t="str">
        <f t="shared" si="22"/>
        <v/>
      </c>
      <c r="N144" s="19" t="str">
        <f t="shared" si="23"/>
        <v/>
      </c>
      <c r="O144" s="19" t="str">
        <f t="shared" si="27"/>
        <v/>
      </c>
      <c r="P144" s="19" t="str">
        <f t="shared" si="28"/>
        <v/>
      </c>
      <c r="Q144" s="19" t="str">
        <f t="shared" si="29"/>
        <v/>
      </c>
      <c r="R144" s="19" t="str">
        <f t="shared" si="24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1"/>
        <v/>
      </c>
      <c r="M145" s="19" t="str">
        <f t="shared" si="22"/>
        <v/>
      </c>
      <c r="N145" s="19" t="str">
        <f t="shared" si="23"/>
        <v/>
      </c>
      <c r="O145" s="19" t="str">
        <f t="shared" si="27"/>
        <v/>
      </c>
      <c r="P145" s="19" t="str">
        <f t="shared" si="28"/>
        <v/>
      </c>
      <c r="Q145" s="19" t="str">
        <f t="shared" si="29"/>
        <v/>
      </c>
      <c r="R145" s="19" t="str">
        <f t="shared" si="24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1"/>
        <v/>
      </c>
      <c r="M146" s="19" t="str">
        <f t="shared" si="22"/>
        <v/>
      </c>
      <c r="N146" s="19" t="str">
        <f t="shared" si="23"/>
        <v/>
      </c>
      <c r="O146" s="19" t="str">
        <f t="shared" si="27"/>
        <v/>
      </c>
      <c r="P146" s="19" t="str">
        <f t="shared" si="28"/>
        <v/>
      </c>
      <c r="Q146" s="19" t="str">
        <f t="shared" si="29"/>
        <v/>
      </c>
      <c r="R146" s="19" t="str">
        <f t="shared" si="24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1"/>
        <v/>
      </c>
      <c r="M147" s="19" t="str">
        <f t="shared" si="22"/>
        <v/>
      </c>
      <c r="N147" s="19" t="str">
        <f t="shared" si="23"/>
        <v/>
      </c>
      <c r="O147" s="19" t="str">
        <f t="shared" si="27"/>
        <v/>
      </c>
      <c r="P147" s="19" t="str">
        <f t="shared" si="28"/>
        <v/>
      </c>
      <c r="Q147" s="19" t="str">
        <f t="shared" si="29"/>
        <v/>
      </c>
      <c r="R147" s="19" t="str">
        <f t="shared" si="24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1"/>
        <v/>
      </c>
      <c r="M148" s="19" t="str">
        <f t="shared" si="22"/>
        <v/>
      </c>
      <c r="N148" s="19" t="str">
        <f t="shared" si="23"/>
        <v/>
      </c>
      <c r="O148" s="19" t="str">
        <f t="shared" si="27"/>
        <v/>
      </c>
      <c r="P148" s="19" t="str">
        <f t="shared" si="28"/>
        <v/>
      </c>
      <c r="Q148" s="19" t="str">
        <f t="shared" si="29"/>
        <v/>
      </c>
      <c r="R148" s="19" t="str">
        <f t="shared" si="24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1"/>
        <v/>
      </c>
      <c r="M149" s="19" t="str">
        <f t="shared" si="22"/>
        <v/>
      </c>
      <c r="N149" s="19" t="str">
        <f t="shared" si="23"/>
        <v/>
      </c>
      <c r="O149" s="19" t="str">
        <f t="shared" si="27"/>
        <v/>
      </c>
      <c r="P149" s="19" t="str">
        <f t="shared" si="28"/>
        <v/>
      </c>
      <c r="Q149" s="19" t="str">
        <f t="shared" si="29"/>
        <v/>
      </c>
      <c r="R149" s="19" t="str">
        <f t="shared" si="24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1"/>
        <v/>
      </c>
      <c r="M150" s="19" t="str">
        <f t="shared" si="22"/>
        <v/>
      </c>
      <c r="N150" s="19" t="str">
        <f t="shared" si="23"/>
        <v/>
      </c>
      <c r="O150" s="19" t="str">
        <f t="shared" si="27"/>
        <v/>
      </c>
      <c r="P150" s="19" t="str">
        <f t="shared" si="28"/>
        <v/>
      </c>
      <c r="Q150" s="19" t="str">
        <f t="shared" si="29"/>
        <v/>
      </c>
      <c r="R150" s="19" t="str">
        <f t="shared" si="24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1"/>
        <v/>
      </c>
      <c r="M151" s="19" t="str">
        <f t="shared" si="22"/>
        <v/>
      </c>
      <c r="N151" s="19" t="str">
        <f t="shared" si="23"/>
        <v/>
      </c>
      <c r="O151" s="19" t="str">
        <f t="shared" si="27"/>
        <v/>
      </c>
      <c r="P151" s="19" t="str">
        <f t="shared" si="28"/>
        <v/>
      </c>
      <c r="Q151" s="19" t="str">
        <f t="shared" si="29"/>
        <v/>
      </c>
      <c r="R151" s="19" t="str">
        <f t="shared" si="24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1"/>
        <v/>
      </c>
      <c r="M152" s="19" t="str">
        <f t="shared" si="22"/>
        <v/>
      </c>
      <c r="N152" s="19" t="str">
        <f t="shared" si="23"/>
        <v/>
      </c>
      <c r="O152" s="19" t="str">
        <f t="shared" si="27"/>
        <v/>
      </c>
      <c r="P152" s="19" t="str">
        <f t="shared" si="28"/>
        <v/>
      </c>
      <c r="Q152" s="19" t="str">
        <f t="shared" si="29"/>
        <v/>
      </c>
      <c r="R152" s="19" t="str">
        <f t="shared" si="24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1"/>
        <v/>
      </c>
      <c r="M153" s="19" t="str">
        <f t="shared" si="22"/>
        <v/>
      </c>
      <c r="N153" s="19" t="str">
        <f t="shared" si="23"/>
        <v/>
      </c>
      <c r="O153" s="19" t="str">
        <f t="shared" si="27"/>
        <v/>
      </c>
      <c r="P153" s="19" t="str">
        <f t="shared" si="28"/>
        <v/>
      </c>
      <c r="Q153" s="19" t="str">
        <f t="shared" si="29"/>
        <v/>
      </c>
      <c r="R153" s="19" t="str">
        <f t="shared" si="24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0">
    <pageSetUpPr fitToPage="1"/>
  </sheetPr>
  <dimension ref="A1:AI153"/>
  <sheetViews>
    <sheetView showGridLines="0" zoomScale="75" zoomScaleNormal="75" zoomScaleSheetLayoutView="40" zoomScalePageLayoutView="40" workbookViewId="0">
      <pane ySplit="8" topLeftCell="A60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TZ-18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43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/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/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>
        <v>53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221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479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/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41687</v>
      </c>
      <c r="C16" s="14">
        <v>13.048</v>
      </c>
      <c r="D16" s="15">
        <v>8.4009999999999998</v>
      </c>
      <c r="E16" s="15">
        <v>7.9870000000000001</v>
      </c>
      <c r="F16" s="42"/>
      <c r="G16" s="42"/>
      <c r="H16" s="42"/>
      <c r="I16" s="41">
        <v>102.53100000000001</v>
      </c>
      <c r="J16" s="40">
        <v>485</v>
      </c>
      <c r="K16" s="53">
        <f t="shared" ref="K16:K32" si="0">IF(ISBLANK(J16),"",(J16-$J$8))</f>
        <v>6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41688</v>
      </c>
      <c r="C17" s="25">
        <v>13.048999999999999</v>
      </c>
      <c r="D17" s="26">
        <v>8.4009999999999998</v>
      </c>
      <c r="E17" s="26">
        <v>7.9880000000000004</v>
      </c>
      <c r="F17" s="16"/>
      <c r="G17" s="16"/>
      <c r="H17" s="16"/>
      <c r="I17" s="17">
        <v>102.53100000000001</v>
      </c>
      <c r="J17" s="32">
        <v>492</v>
      </c>
      <c r="K17" s="18">
        <f t="shared" si="0"/>
        <v>13</v>
      </c>
      <c r="L17" s="19">
        <f t="shared" ref="L17:R61" si="2">IF(ISBLANK(C17),"",(C17-C$16)*1000)</f>
        <v>0.99999999999944578</v>
      </c>
      <c r="M17" s="19">
        <f t="shared" si="2"/>
        <v>0</v>
      </c>
      <c r="N17" s="19">
        <f t="shared" si="2"/>
        <v>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0</v>
      </c>
      <c r="S17" s="27">
        <f t="shared" ref="S17:X32" si="3">IF(C17="","",((C17-C16)*1000)/($B17-$B16))</f>
        <v>0.99999999999944578</v>
      </c>
      <c r="T17" s="28">
        <f t="shared" si="3"/>
        <v>0</v>
      </c>
      <c r="U17" s="28">
        <f t="shared" si="3"/>
        <v>1.000000000000334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41689</v>
      </c>
      <c r="C18" s="25">
        <v>13.048</v>
      </c>
      <c r="D18" s="26">
        <v>8.4019999999999992</v>
      </c>
      <c r="E18" s="26">
        <v>7.9870000000000001</v>
      </c>
      <c r="F18" s="16"/>
      <c r="G18" s="16"/>
      <c r="H18" s="16"/>
      <c r="I18" s="17">
        <v>102.53100000000001</v>
      </c>
      <c r="J18" s="32">
        <v>502</v>
      </c>
      <c r="K18" s="18">
        <f t="shared" si="0"/>
        <v>23</v>
      </c>
      <c r="L18" s="19">
        <f t="shared" si="2"/>
        <v>0</v>
      </c>
      <c r="M18" s="19">
        <f t="shared" si="2"/>
        <v>0.99999999999944578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0</v>
      </c>
      <c r="S18" s="27">
        <f t="shared" si="3"/>
        <v>-0.99999999999944578</v>
      </c>
      <c r="T18" s="28">
        <f t="shared" si="3"/>
        <v>0.99999999999944578</v>
      </c>
      <c r="U18" s="28">
        <f t="shared" si="3"/>
        <v>-1.000000000000334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41690</v>
      </c>
      <c r="C19" s="25">
        <v>13.048</v>
      </c>
      <c r="D19" s="26">
        <v>8.4009999999999998</v>
      </c>
      <c r="E19" s="26">
        <v>7.9880000000000004</v>
      </c>
      <c r="F19" s="16"/>
      <c r="G19" s="16"/>
      <c r="H19" s="16"/>
      <c r="I19" s="17">
        <v>102.53100000000001</v>
      </c>
      <c r="J19" s="32">
        <v>510</v>
      </c>
      <c r="K19" s="18">
        <f t="shared" si="0"/>
        <v>31</v>
      </c>
      <c r="L19" s="19">
        <f t="shared" si="2"/>
        <v>0</v>
      </c>
      <c r="M19" s="19">
        <f t="shared" si="2"/>
        <v>0</v>
      </c>
      <c r="N19" s="19">
        <f t="shared" si="2"/>
        <v>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0</v>
      </c>
      <c r="S19" s="27">
        <f t="shared" si="3"/>
        <v>0</v>
      </c>
      <c r="T19" s="28">
        <f t="shared" si="3"/>
        <v>-0.99999999999944578</v>
      </c>
      <c r="U19" s="28">
        <f t="shared" si="3"/>
        <v>1.000000000000334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41691</v>
      </c>
      <c r="C20" s="25">
        <v>13.048</v>
      </c>
      <c r="D20" s="26">
        <v>8.4009999999999998</v>
      </c>
      <c r="E20" s="26">
        <v>7.9870000000000001</v>
      </c>
      <c r="F20" s="16"/>
      <c r="G20" s="16"/>
      <c r="H20" s="16"/>
      <c r="I20" s="17">
        <v>102.53</v>
      </c>
      <c r="J20" s="32">
        <v>517</v>
      </c>
      <c r="K20" s="18">
        <f t="shared" si="0"/>
        <v>38</v>
      </c>
      <c r="L20" s="19">
        <f t="shared" si="2"/>
        <v>0</v>
      </c>
      <c r="M20" s="19">
        <f t="shared" si="2"/>
        <v>0</v>
      </c>
      <c r="N20" s="19">
        <f t="shared" si="2"/>
        <v>0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-1.0000000000047748</v>
      </c>
      <c r="S20" s="27">
        <f t="shared" si="3"/>
        <v>0</v>
      </c>
      <c r="T20" s="28">
        <f t="shared" si="3"/>
        <v>0</v>
      </c>
      <c r="U20" s="28">
        <f t="shared" si="3"/>
        <v>-1.000000000000334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41694</v>
      </c>
      <c r="C21" s="25">
        <v>13.048999999999999</v>
      </c>
      <c r="D21" s="26">
        <v>8.4009999999999998</v>
      </c>
      <c r="E21" s="26">
        <v>7.9880000000000004</v>
      </c>
      <c r="F21" s="16"/>
      <c r="G21" s="16"/>
      <c r="H21" s="16"/>
      <c r="I21" s="17">
        <v>102.53</v>
      </c>
      <c r="J21" s="32">
        <v>523.5</v>
      </c>
      <c r="K21" s="18">
        <f t="shared" si="0"/>
        <v>44.5</v>
      </c>
      <c r="L21" s="19">
        <f t="shared" si="2"/>
        <v>0.99999999999944578</v>
      </c>
      <c r="M21" s="19">
        <f t="shared" si="2"/>
        <v>0</v>
      </c>
      <c r="N21" s="19">
        <f t="shared" si="2"/>
        <v>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-1.0000000000047748</v>
      </c>
      <c r="S21" s="27">
        <f t="shared" si="3"/>
        <v>0.33333333333314857</v>
      </c>
      <c r="T21" s="28">
        <f t="shared" si="3"/>
        <v>0</v>
      </c>
      <c r="U21" s="28">
        <f t="shared" si="3"/>
        <v>0.33333333333344467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41695</v>
      </c>
      <c r="C22" s="25">
        <v>13.048999999999999</v>
      </c>
      <c r="D22" s="26">
        <v>8.4009999999999998</v>
      </c>
      <c r="E22" s="26">
        <v>7.9880000000000004</v>
      </c>
      <c r="F22" s="16"/>
      <c r="G22" s="16"/>
      <c r="H22" s="16"/>
      <c r="I22" s="17">
        <v>102.53</v>
      </c>
      <c r="J22" s="32">
        <v>530</v>
      </c>
      <c r="K22" s="18">
        <f t="shared" si="0"/>
        <v>51</v>
      </c>
      <c r="L22" s="19">
        <f t="shared" si="2"/>
        <v>0.99999999999944578</v>
      </c>
      <c r="M22" s="19">
        <f t="shared" si="2"/>
        <v>0</v>
      </c>
      <c r="N22" s="19">
        <f t="shared" si="2"/>
        <v>1.000000000000334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-1.0000000000047748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41696</v>
      </c>
      <c r="C23" s="25">
        <v>13.048999999999999</v>
      </c>
      <c r="D23" s="26">
        <v>8.4019999999999992</v>
      </c>
      <c r="E23" s="26">
        <v>7.9880000000000004</v>
      </c>
      <c r="F23" s="16"/>
      <c r="G23" s="16"/>
      <c r="H23" s="16"/>
      <c r="I23" s="17">
        <v>102.529</v>
      </c>
      <c r="J23" s="32">
        <v>537</v>
      </c>
      <c r="K23" s="18">
        <f t="shared" si="0"/>
        <v>58</v>
      </c>
      <c r="L23" s="19">
        <f t="shared" si="2"/>
        <v>0.99999999999944578</v>
      </c>
      <c r="M23" s="19">
        <f t="shared" si="2"/>
        <v>0.99999999999944578</v>
      </c>
      <c r="N23" s="19">
        <f t="shared" si="2"/>
        <v>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-2.0000000000095497</v>
      </c>
      <c r="S23" s="27">
        <f t="shared" si="3"/>
        <v>0</v>
      </c>
      <c r="T23" s="28">
        <f t="shared" si="3"/>
        <v>0.99999999999944578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41697</v>
      </c>
      <c r="C24" s="25">
        <v>13.048999999999999</v>
      </c>
      <c r="D24" s="26">
        <v>8.4019999999999992</v>
      </c>
      <c r="E24" s="26">
        <v>7.9880000000000004</v>
      </c>
      <c r="F24" s="47"/>
      <c r="G24" s="47"/>
      <c r="H24" s="47"/>
      <c r="I24" s="57">
        <v>102.529</v>
      </c>
      <c r="J24" s="58">
        <v>547.5</v>
      </c>
      <c r="K24" s="59">
        <f t="shared" si="0"/>
        <v>68.5</v>
      </c>
      <c r="L24" s="19">
        <f t="shared" si="2"/>
        <v>0.99999999999944578</v>
      </c>
      <c r="M24" s="19">
        <f t="shared" si="2"/>
        <v>0.99999999999944578</v>
      </c>
      <c r="N24" s="19">
        <f t="shared" si="2"/>
        <v>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-2.0000000000095497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41698</v>
      </c>
      <c r="C25" s="25">
        <v>13.048</v>
      </c>
      <c r="D25" s="26">
        <v>8.4019999999999992</v>
      </c>
      <c r="E25" s="26">
        <v>7.9880000000000004</v>
      </c>
      <c r="F25" s="47"/>
      <c r="G25" s="47"/>
      <c r="H25" s="47"/>
      <c r="I25" s="57">
        <v>102.529</v>
      </c>
      <c r="J25" s="58">
        <v>552</v>
      </c>
      <c r="K25" s="59">
        <f t="shared" si="0"/>
        <v>73</v>
      </c>
      <c r="L25" s="19">
        <f t="shared" si="2"/>
        <v>0</v>
      </c>
      <c r="M25" s="19">
        <f t="shared" si="2"/>
        <v>0.99999999999944578</v>
      </c>
      <c r="N25" s="19">
        <f t="shared" si="2"/>
        <v>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-0.99999999999944578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41701</v>
      </c>
      <c r="C26" s="25">
        <v>13.048999999999999</v>
      </c>
      <c r="D26" s="26">
        <v>8.4019999999999992</v>
      </c>
      <c r="E26" s="26">
        <v>7.9880000000000004</v>
      </c>
      <c r="F26" s="47"/>
      <c r="G26" s="47"/>
      <c r="H26" s="47"/>
      <c r="I26" s="57">
        <v>102.529</v>
      </c>
      <c r="J26" s="58">
        <v>555.5</v>
      </c>
      <c r="K26" s="59">
        <f t="shared" si="0"/>
        <v>76.5</v>
      </c>
      <c r="L26" s="19">
        <f t="shared" si="2"/>
        <v>0.99999999999944578</v>
      </c>
      <c r="M26" s="19">
        <f t="shared" si="2"/>
        <v>0.99999999999944578</v>
      </c>
      <c r="N26" s="19">
        <f t="shared" si="2"/>
        <v>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-2.0000000000095497</v>
      </c>
      <c r="S26" s="27">
        <f t="shared" si="3"/>
        <v>0.33333333333314857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41702</v>
      </c>
      <c r="C27" s="25">
        <v>13.048</v>
      </c>
      <c r="D27" s="26">
        <v>8.4019999999999992</v>
      </c>
      <c r="E27" s="26">
        <v>7.9880000000000004</v>
      </c>
      <c r="F27" s="47"/>
      <c r="G27" s="47"/>
      <c r="H27" s="47"/>
      <c r="I27" s="57">
        <v>102.529</v>
      </c>
      <c r="J27" s="58">
        <v>559.5</v>
      </c>
      <c r="K27" s="59">
        <f t="shared" si="0"/>
        <v>80.5</v>
      </c>
      <c r="L27" s="19">
        <f t="shared" si="2"/>
        <v>0</v>
      </c>
      <c r="M27" s="19">
        <f t="shared" si="2"/>
        <v>0.99999999999944578</v>
      </c>
      <c r="N27" s="19">
        <f t="shared" si="2"/>
        <v>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-2.0000000000095497</v>
      </c>
      <c r="S27" s="27">
        <f t="shared" si="3"/>
        <v>-0.99999999999944578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41703</v>
      </c>
      <c r="C28" s="25">
        <v>13.048</v>
      </c>
      <c r="D28" s="26">
        <v>8.4019999999999992</v>
      </c>
      <c r="E28" s="26">
        <v>7.9880000000000004</v>
      </c>
      <c r="F28" s="47"/>
      <c r="G28" s="47"/>
      <c r="H28" s="47"/>
      <c r="I28" s="57">
        <v>102.529</v>
      </c>
      <c r="J28" s="58">
        <v>562.5</v>
      </c>
      <c r="K28" s="59">
        <f t="shared" si="0"/>
        <v>83.5</v>
      </c>
      <c r="L28" s="19">
        <f t="shared" si="2"/>
        <v>0</v>
      </c>
      <c r="M28" s="19">
        <f t="shared" si="2"/>
        <v>0.99999999999944578</v>
      </c>
      <c r="N28" s="19">
        <f t="shared" si="2"/>
        <v>1.000000000000334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-2.0000000000095497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41704</v>
      </c>
      <c r="C29" s="25">
        <v>13.048</v>
      </c>
      <c r="D29" s="26">
        <v>8.4019999999999992</v>
      </c>
      <c r="E29" s="26">
        <v>7.9880000000000004</v>
      </c>
      <c r="F29" s="47"/>
      <c r="G29" s="47"/>
      <c r="H29" s="47"/>
      <c r="I29" s="57">
        <v>102.529</v>
      </c>
      <c r="J29" s="58">
        <v>565</v>
      </c>
      <c r="K29" s="59">
        <f t="shared" si="0"/>
        <v>86</v>
      </c>
      <c r="L29" s="19">
        <f t="shared" si="2"/>
        <v>0</v>
      </c>
      <c r="M29" s="19">
        <f t="shared" si="2"/>
        <v>0.99999999999944578</v>
      </c>
      <c r="N29" s="19">
        <f t="shared" si="2"/>
        <v>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-2.0000000000095497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41705</v>
      </c>
      <c r="C30" s="25">
        <v>13.048</v>
      </c>
      <c r="D30" s="26">
        <v>8.4009999999999998</v>
      </c>
      <c r="E30" s="26">
        <v>7.9880000000000004</v>
      </c>
      <c r="F30" s="47"/>
      <c r="G30" s="47"/>
      <c r="H30" s="47"/>
      <c r="I30" s="57">
        <v>102.529</v>
      </c>
      <c r="J30" s="58">
        <v>568.5</v>
      </c>
      <c r="K30" s="59">
        <f t="shared" si="0"/>
        <v>89.5</v>
      </c>
      <c r="L30" s="19">
        <f t="shared" si="2"/>
        <v>0</v>
      </c>
      <c r="M30" s="19">
        <f t="shared" si="2"/>
        <v>0</v>
      </c>
      <c r="N30" s="19">
        <f t="shared" si="2"/>
        <v>1.000000000000334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-2.0000000000095497</v>
      </c>
      <c r="S30" s="27">
        <f t="shared" si="3"/>
        <v>0</v>
      </c>
      <c r="T30" s="28">
        <f t="shared" si="3"/>
        <v>-0.99999999999944578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41708</v>
      </c>
      <c r="C31" s="25">
        <v>13.048</v>
      </c>
      <c r="D31" s="26">
        <v>8.4019999999999992</v>
      </c>
      <c r="E31" s="26">
        <v>7.9880000000000004</v>
      </c>
      <c r="F31" s="47"/>
      <c r="G31" s="47"/>
      <c r="H31" s="47"/>
      <c r="I31" s="57">
        <v>102.529</v>
      </c>
      <c r="J31" s="58">
        <v>576</v>
      </c>
      <c r="K31" s="59">
        <f t="shared" si="0"/>
        <v>97</v>
      </c>
      <c r="L31" s="19">
        <f t="shared" si="2"/>
        <v>0</v>
      </c>
      <c r="M31" s="19">
        <f t="shared" si="2"/>
        <v>0.99999999999944578</v>
      </c>
      <c r="N31" s="19">
        <f t="shared" si="2"/>
        <v>1.000000000000334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-2.0000000000095497</v>
      </c>
      <c r="S31" s="27">
        <f t="shared" si="3"/>
        <v>0</v>
      </c>
      <c r="T31" s="28">
        <f t="shared" si="3"/>
        <v>0.33333333333314857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41709</v>
      </c>
      <c r="C32" s="25">
        <v>13.048</v>
      </c>
      <c r="D32" s="26">
        <v>8.4019999999999992</v>
      </c>
      <c r="E32" s="26">
        <v>7.9880000000000004</v>
      </c>
      <c r="F32" s="47"/>
      <c r="G32" s="47"/>
      <c r="H32" s="47"/>
      <c r="I32" s="57">
        <v>102.529</v>
      </c>
      <c r="J32" s="58">
        <v>584</v>
      </c>
      <c r="K32" s="59">
        <f t="shared" si="0"/>
        <v>105</v>
      </c>
      <c r="L32" s="19">
        <f t="shared" si="2"/>
        <v>0</v>
      </c>
      <c r="M32" s="19">
        <f t="shared" si="2"/>
        <v>0.99999999999944578</v>
      </c>
      <c r="N32" s="19">
        <f t="shared" si="2"/>
        <v>1.000000000000334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1"/>
        <v>-2.0000000000095497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41710</v>
      </c>
      <c r="C33" s="25">
        <v>13.048</v>
      </c>
      <c r="D33" s="26">
        <v>8.4019999999999992</v>
      </c>
      <c r="E33" s="26">
        <v>7.9880000000000004</v>
      </c>
      <c r="F33" s="47"/>
      <c r="G33" s="47"/>
      <c r="H33" s="47"/>
      <c r="I33" s="57">
        <v>102.529</v>
      </c>
      <c r="J33" s="58">
        <v>587.5</v>
      </c>
      <c r="K33" s="59">
        <f t="shared" ref="K33:K49" si="4">IF(ISBLANK(J33),"",(J33-$J$8))</f>
        <v>108.5</v>
      </c>
      <c r="L33" s="19">
        <f t="shared" si="2"/>
        <v>0</v>
      </c>
      <c r="M33" s="19">
        <f t="shared" si="2"/>
        <v>0.99999999999944578</v>
      </c>
      <c r="N33" s="19">
        <f t="shared" si="2"/>
        <v>1.000000000000334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2"/>
        <v>-2.0000000000095497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 t="str">
        <f t="shared" si="5"/>
        <v/>
      </c>
      <c r="W33" s="28" t="str">
        <f t="shared" si="5"/>
        <v/>
      </c>
      <c r="X33" s="29" t="str">
        <f t="shared" si="5"/>
        <v/>
      </c>
      <c r="Y33" s="24"/>
    </row>
    <row r="34" spans="2:25" ht="15" customHeight="1" x14ac:dyDescent="0.2">
      <c r="B34" s="31">
        <v>41711</v>
      </c>
      <c r="C34" s="25">
        <v>13.048999999999999</v>
      </c>
      <c r="D34" s="26">
        <v>8.4019999999999992</v>
      </c>
      <c r="E34" s="26">
        <v>7.9880000000000004</v>
      </c>
      <c r="F34" s="47"/>
      <c r="G34" s="47"/>
      <c r="H34" s="47"/>
      <c r="I34" s="57">
        <v>102.529</v>
      </c>
      <c r="J34" s="58">
        <v>596</v>
      </c>
      <c r="K34" s="59">
        <f t="shared" si="4"/>
        <v>117</v>
      </c>
      <c r="L34" s="19">
        <f t="shared" si="2"/>
        <v>0.99999999999944578</v>
      </c>
      <c r="M34" s="19">
        <f t="shared" si="2"/>
        <v>0.99999999999944578</v>
      </c>
      <c r="N34" s="19">
        <f t="shared" si="2"/>
        <v>1.000000000000334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2"/>
        <v>-2.0000000000095497</v>
      </c>
      <c r="S34" s="27">
        <f t="shared" si="5"/>
        <v>0.99999999999944578</v>
      </c>
      <c r="T34" s="28">
        <f t="shared" si="5"/>
        <v>0</v>
      </c>
      <c r="U34" s="28">
        <f t="shared" si="5"/>
        <v>0</v>
      </c>
      <c r="V34" s="28" t="str">
        <f t="shared" si="5"/>
        <v/>
      </c>
      <c r="W34" s="28" t="str">
        <f t="shared" si="5"/>
        <v/>
      </c>
      <c r="X34" s="29" t="str">
        <f t="shared" si="5"/>
        <v/>
      </c>
      <c r="Y34" s="24"/>
    </row>
    <row r="35" spans="2:25" ht="15" customHeight="1" x14ac:dyDescent="0.2">
      <c r="B35" s="31">
        <v>41712</v>
      </c>
      <c r="C35" s="25">
        <v>13.048</v>
      </c>
      <c r="D35" s="26">
        <v>8.4019999999999992</v>
      </c>
      <c r="E35" s="26">
        <v>7.9880000000000004</v>
      </c>
      <c r="F35" s="47"/>
      <c r="G35" s="47"/>
      <c r="H35" s="47"/>
      <c r="I35" s="57">
        <v>102.529</v>
      </c>
      <c r="J35" s="58">
        <v>600.5</v>
      </c>
      <c r="K35" s="59">
        <f t="shared" si="4"/>
        <v>121.5</v>
      </c>
      <c r="L35" s="19">
        <f t="shared" si="2"/>
        <v>0</v>
      </c>
      <c r="M35" s="19">
        <f t="shared" si="2"/>
        <v>0.99999999999944578</v>
      </c>
      <c r="N35" s="19">
        <f t="shared" si="2"/>
        <v>1.000000000000334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2"/>
        <v>-2.0000000000095497</v>
      </c>
      <c r="S35" s="27">
        <f t="shared" si="5"/>
        <v>-0.99999999999944578</v>
      </c>
      <c r="T35" s="28">
        <f t="shared" si="5"/>
        <v>0</v>
      </c>
      <c r="U35" s="28">
        <f t="shared" si="5"/>
        <v>0</v>
      </c>
      <c r="V35" s="28" t="str">
        <f t="shared" si="5"/>
        <v/>
      </c>
      <c r="W35" s="28" t="str">
        <f t="shared" si="5"/>
        <v/>
      </c>
      <c r="X35" s="29" t="str">
        <f t="shared" si="5"/>
        <v/>
      </c>
      <c r="Y35" s="24"/>
    </row>
    <row r="36" spans="2:25" ht="15" customHeight="1" x14ac:dyDescent="0.2">
      <c r="B36" s="31">
        <v>41715</v>
      </c>
      <c r="C36" s="25">
        <v>13.048</v>
      </c>
      <c r="D36" s="26">
        <v>8.4019999999999992</v>
      </c>
      <c r="E36" s="26">
        <v>7.9880000000000004</v>
      </c>
      <c r="F36" s="47"/>
      <c r="G36" s="47"/>
      <c r="H36" s="47"/>
      <c r="I36" s="57">
        <v>102.529</v>
      </c>
      <c r="J36" s="58">
        <v>609.5</v>
      </c>
      <c r="K36" s="59">
        <f t="shared" si="4"/>
        <v>130.5</v>
      </c>
      <c r="L36" s="19">
        <f t="shared" si="2"/>
        <v>0</v>
      </c>
      <c r="M36" s="19">
        <f t="shared" si="2"/>
        <v>0.99999999999944578</v>
      </c>
      <c r="N36" s="19">
        <f t="shared" si="2"/>
        <v>1.000000000000334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2"/>
        <v>-2.0000000000095497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 t="str">
        <f t="shared" si="5"/>
        <v/>
      </c>
      <c r="W36" s="28" t="str">
        <f t="shared" si="5"/>
        <v/>
      </c>
      <c r="X36" s="29" t="str">
        <f t="shared" si="5"/>
        <v/>
      </c>
      <c r="Y36" s="24"/>
    </row>
    <row r="37" spans="2:25" ht="15" customHeight="1" x14ac:dyDescent="0.2">
      <c r="B37" s="31">
        <v>41723</v>
      </c>
      <c r="C37" s="25">
        <v>13.048999999999999</v>
      </c>
      <c r="D37" s="26">
        <v>8.4019999999999992</v>
      </c>
      <c r="E37" s="26">
        <v>7.9880000000000004</v>
      </c>
      <c r="F37" s="47"/>
      <c r="G37" s="47"/>
      <c r="H37" s="47"/>
      <c r="I37" s="57">
        <v>102.529</v>
      </c>
      <c r="J37" s="32">
        <v>308</v>
      </c>
      <c r="K37" s="59">
        <f t="shared" si="4"/>
        <v>-171</v>
      </c>
      <c r="L37" s="19">
        <f t="shared" si="2"/>
        <v>0.99999999999944578</v>
      </c>
      <c r="M37" s="19">
        <f t="shared" si="2"/>
        <v>0.99999999999944578</v>
      </c>
      <c r="N37" s="19">
        <f t="shared" si="2"/>
        <v>1.000000000000334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2"/>
        <v>-2.0000000000095497</v>
      </c>
      <c r="S37" s="27">
        <f t="shared" si="5"/>
        <v>0.12499999999993072</v>
      </c>
      <c r="T37" s="28">
        <f t="shared" si="5"/>
        <v>0</v>
      </c>
      <c r="U37" s="28">
        <f t="shared" si="5"/>
        <v>0</v>
      </c>
      <c r="V37" s="28" t="str">
        <f t="shared" si="5"/>
        <v/>
      </c>
      <c r="W37" s="28" t="str">
        <f t="shared" si="5"/>
        <v/>
      </c>
      <c r="X37" s="29" t="str">
        <f t="shared" si="5"/>
        <v/>
      </c>
      <c r="Y37" s="24" t="s">
        <v>23</v>
      </c>
    </row>
    <row r="38" spans="2:25" ht="15" customHeight="1" x14ac:dyDescent="0.2">
      <c r="B38" s="31">
        <v>41724</v>
      </c>
      <c r="C38" s="25">
        <v>13.048999999999999</v>
      </c>
      <c r="D38" s="26">
        <v>8.4019999999999992</v>
      </c>
      <c r="E38" s="26">
        <v>7.9880000000000004</v>
      </c>
      <c r="F38" s="47"/>
      <c r="G38" s="47"/>
      <c r="H38" s="47"/>
      <c r="I38" s="57">
        <v>102.529</v>
      </c>
      <c r="J38" s="32">
        <v>319</v>
      </c>
      <c r="K38" s="59">
        <f t="shared" si="4"/>
        <v>-160</v>
      </c>
      <c r="L38" s="19">
        <f t="shared" si="2"/>
        <v>0.99999999999944578</v>
      </c>
      <c r="M38" s="19">
        <f t="shared" si="2"/>
        <v>0.99999999999944578</v>
      </c>
      <c r="N38" s="19">
        <f t="shared" si="2"/>
        <v>1.000000000000334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2"/>
        <v>-2.0000000000095497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 t="str">
        <f t="shared" si="5"/>
        <v/>
      </c>
      <c r="W38" s="28" t="str">
        <f t="shared" si="5"/>
        <v/>
      </c>
      <c r="X38" s="29" t="str">
        <f t="shared" si="5"/>
        <v/>
      </c>
      <c r="Y38" s="24"/>
    </row>
    <row r="39" spans="2:25" ht="15" customHeight="1" x14ac:dyDescent="0.2">
      <c r="B39" s="31">
        <v>41743</v>
      </c>
      <c r="C39" s="25">
        <v>13.042999999999999</v>
      </c>
      <c r="D39" s="26">
        <v>8.3989999999999991</v>
      </c>
      <c r="E39" s="26">
        <v>7.9859999999999998</v>
      </c>
      <c r="F39" s="16">
        <v>13.536</v>
      </c>
      <c r="G39" s="16">
        <v>10.824999999999999</v>
      </c>
      <c r="H39" s="16">
        <v>10.673</v>
      </c>
      <c r="I39" s="57">
        <v>102.523</v>
      </c>
      <c r="J39" s="32">
        <v>484</v>
      </c>
      <c r="K39" s="59">
        <f t="shared" si="4"/>
        <v>5</v>
      </c>
      <c r="L39" s="19">
        <f t="shared" si="2"/>
        <v>-5.0000000000007816</v>
      </c>
      <c r="M39" s="19">
        <f t="shared" si="2"/>
        <v>-2.0000000000006679</v>
      </c>
      <c r="N39" s="19">
        <f t="shared" si="2"/>
        <v>-1.000000000000334</v>
      </c>
      <c r="O39" s="19">
        <f>IF(ISBLANK(F39),"",((F39-F$39)*1000)+L$39)</f>
        <v>-5.0000000000007816</v>
      </c>
      <c r="P39" s="19">
        <f>IF(ISBLANK(G39),"",((G39-G$39)*1000)+M$39)</f>
        <v>-2.0000000000006679</v>
      </c>
      <c r="Q39" s="19">
        <f>IF(ISBLANK(H39),"",((H39-H$39)*1000)+N$39)</f>
        <v>-1.000000000000334</v>
      </c>
      <c r="R39" s="19">
        <f t="shared" si="2"/>
        <v>-8.0000000000097771</v>
      </c>
      <c r="S39" s="27">
        <f t="shared" si="5"/>
        <v>-0.3157894736842225</v>
      </c>
      <c r="T39" s="28">
        <f t="shared" si="5"/>
        <v>-0.15789473684211125</v>
      </c>
      <c r="U39" s="28">
        <f t="shared" si="5"/>
        <v>-0.10526315789477199</v>
      </c>
      <c r="V39" s="28"/>
      <c r="W39" s="28"/>
      <c r="X39" s="29"/>
      <c r="Y39" s="24"/>
    </row>
    <row r="40" spans="2:25" ht="15" customHeight="1" x14ac:dyDescent="0.2">
      <c r="B40" s="31">
        <v>41744</v>
      </c>
      <c r="C40" s="25">
        <v>13.042999999999999</v>
      </c>
      <c r="D40" s="26">
        <v>8.3989999999999991</v>
      </c>
      <c r="E40" s="26">
        <v>7.9859999999999998</v>
      </c>
      <c r="F40" s="16">
        <v>13.536</v>
      </c>
      <c r="G40" s="16">
        <v>10.824999999999999</v>
      </c>
      <c r="H40" s="16">
        <v>10.673</v>
      </c>
      <c r="I40" s="57">
        <v>102.523</v>
      </c>
      <c r="J40" s="32">
        <v>499</v>
      </c>
      <c r="K40" s="59">
        <f t="shared" si="4"/>
        <v>20</v>
      </c>
      <c r="L40" s="19">
        <f t="shared" si="2"/>
        <v>-5.0000000000007816</v>
      </c>
      <c r="M40" s="19">
        <f t="shared" si="2"/>
        <v>-2.0000000000006679</v>
      </c>
      <c r="N40" s="19">
        <f t="shared" si="2"/>
        <v>-1.000000000000334</v>
      </c>
      <c r="O40" s="19">
        <f t="shared" ref="O40:O103" si="6">IF(ISBLANK(F40),"",((F40-F$39)*1000)+L$39)</f>
        <v>-5.0000000000007816</v>
      </c>
      <c r="P40" s="19">
        <f t="shared" ref="P40:P103" si="7">IF(ISBLANK(G40),"",((G40-G$39)*1000)+M$39)</f>
        <v>-2.0000000000006679</v>
      </c>
      <c r="Q40" s="19">
        <f t="shared" ref="Q40:Q103" si="8">IF(ISBLANK(H40),"",((H40-H$39)*1000)+N$39)</f>
        <v>-1.000000000000334</v>
      </c>
      <c r="R40" s="19">
        <f t="shared" si="2"/>
        <v>-8.0000000000097771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0</v>
      </c>
      <c r="Y40" s="24"/>
    </row>
    <row r="41" spans="2:25" ht="15" customHeight="1" x14ac:dyDescent="0.2">
      <c r="B41" s="31">
        <v>41745</v>
      </c>
      <c r="C41" s="64">
        <v>13.042999999999999</v>
      </c>
      <c r="D41" s="65">
        <v>8.3989999999999991</v>
      </c>
      <c r="E41" s="65">
        <v>7.9859999999999998</v>
      </c>
      <c r="F41" s="16">
        <v>13.535</v>
      </c>
      <c r="G41" s="16">
        <v>10.824</v>
      </c>
      <c r="H41" s="16">
        <v>10.672000000000001</v>
      </c>
      <c r="I41" s="57">
        <v>102.523</v>
      </c>
      <c r="J41" s="32">
        <v>516.5</v>
      </c>
      <c r="K41" s="59">
        <f t="shared" si="4"/>
        <v>37.5</v>
      </c>
      <c r="L41" s="19">
        <f t="shared" si="2"/>
        <v>-5.0000000000007816</v>
      </c>
      <c r="M41" s="19">
        <f t="shared" si="2"/>
        <v>-2.0000000000006679</v>
      </c>
      <c r="N41" s="19">
        <f t="shared" si="2"/>
        <v>-1.000000000000334</v>
      </c>
      <c r="O41" s="19">
        <f t="shared" si="6"/>
        <v>-6.0000000000002274</v>
      </c>
      <c r="P41" s="19">
        <f t="shared" si="7"/>
        <v>-3.0000000000001137</v>
      </c>
      <c r="Q41" s="19">
        <f t="shared" si="8"/>
        <v>-1.9999999999997797</v>
      </c>
      <c r="R41" s="19">
        <f t="shared" si="2"/>
        <v>-8.0000000000097771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-0.99999999999944578</v>
      </c>
      <c r="W41" s="28">
        <f t="shared" si="5"/>
        <v>-0.99999999999944578</v>
      </c>
      <c r="X41" s="29">
        <f t="shared" si="5"/>
        <v>-0.99999999999944578</v>
      </c>
      <c r="Y41" s="24"/>
    </row>
    <row r="42" spans="2:25" ht="15" customHeight="1" x14ac:dyDescent="0.2">
      <c r="B42" s="31">
        <v>41751</v>
      </c>
      <c r="C42" s="64">
        <v>13.042999999999999</v>
      </c>
      <c r="D42" s="65">
        <v>8.3989999999999991</v>
      </c>
      <c r="E42" s="65">
        <v>7.9859999999999998</v>
      </c>
      <c r="F42" s="16">
        <v>13.535</v>
      </c>
      <c r="G42" s="16">
        <v>10.824</v>
      </c>
      <c r="H42" s="16">
        <v>10.672000000000001</v>
      </c>
      <c r="I42" s="57">
        <v>102.523</v>
      </c>
      <c r="J42" s="32">
        <v>534.5</v>
      </c>
      <c r="K42" s="59">
        <f t="shared" si="4"/>
        <v>55.5</v>
      </c>
      <c r="L42" s="19">
        <f t="shared" si="2"/>
        <v>-5.0000000000007816</v>
      </c>
      <c r="M42" s="19">
        <f t="shared" si="2"/>
        <v>-2.0000000000006679</v>
      </c>
      <c r="N42" s="19">
        <f t="shared" si="2"/>
        <v>-1.000000000000334</v>
      </c>
      <c r="O42" s="19">
        <f t="shared" si="6"/>
        <v>-6.0000000000002274</v>
      </c>
      <c r="P42" s="19">
        <f t="shared" si="7"/>
        <v>-3.0000000000001137</v>
      </c>
      <c r="Q42" s="19">
        <f t="shared" si="8"/>
        <v>-1.9999999999997797</v>
      </c>
      <c r="R42" s="19">
        <f t="shared" si="2"/>
        <v>-8.0000000000097771</v>
      </c>
      <c r="S42" s="27">
        <f t="shared" si="5"/>
        <v>0</v>
      </c>
      <c r="T42" s="28">
        <f t="shared" si="5"/>
        <v>0</v>
      </c>
      <c r="U42" s="28">
        <f t="shared" si="5"/>
        <v>0</v>
      </c>
      <c r="V42" s="28">
        <f t="shared" si="5"/>
        <v>0</v>
      </c>
      <c r="W42" s="28">
        <f t="shared" si="5"/>
        <v>0</v>
      </c>
      <c r="X42" s="29">
        <f t="shared" si="5"/>
        <v>0</v>
      </c>
      <c r="Y42" s="24" t="s">
        <v>35</v>
      </c>
    </row>
    <row r="43" spans="2:25" ht="15" customHeight="1" x14ac:dyDescent="0.2">
      <c r="B43" s="31">
        <v>41752</v>
      </c>
      <c r="C43" s="64">
        <v>13.042999999999999</v>
      </c>
      <c r="D43" s="65">
        <v>8.3989999999999991</v>
      </c>
      <c r="E43" s="65">
        <v>7.9859999999999998</v>
      </c>
      <c r="F43" s="16">
        <v>13.536</v>
      </c>
      <c r="G43" s="16">
        <v>10.824999999999999</v>
      </c>
      <c r="H43" s="16">
        <v>10.673</v>
      </c>
      <c r="I43" s="57">
        <v>102.523</v>
      </c>
      <c r="J43" s="32">
        <v>534.5</v>
      </c>
      <c r="K43" s="59">
        <f t="shared" si="4"/>
        <v>55.5</v>
      </c>
      <c r="L43" s="19">
        <f t="shared" si="2"/>
        <v>-5.0000000000007816</v>
      </c>
      <c r="M43" s="19">
        <f t="shared" si="2"/>
        <v>-2.0000000000006679</v>
      </c>
      <c r="N43" s="19">
        <f t="shared" si="2"/>
        <v>-1.000000000000334</v>
      </c>
      <c r="O43" s="19">
        <f t="shared" si="6"/>
        <v>-5.0000000000007816</v>
      </c>
      <c r="P43" s="19">
        <f t="shared" si="7"/>
        <v>-2.0000000000006679</v>
      </c>
      <c r="Q43" s="19">
        <f t="shared" si="8"/>
        <v>-1.000000000000334</v>
      </c>
      <c r="R43" s="19">
        <f t="shared" si="2"/>
        <v>-8.0000000000097771</v>
      </c>
      <c r="S43" s="27">
        <f t="shared" si="5"/>
        <v>0</v>
      </c>
      <c r="T43" s="28">
        <f t="shared" si="5"/>
        <v>0</v>
      </c>
      <c r="U43" s="28">
        <f t="shared" si="5"/>
        <v>0</v>
      </c>
      <c r="V43" s="28">
        <f t="shared" si="5"/>
        <v>0.99999999999944578</v>
      </c>
      <c r="W43" s="28">
        <f t="shared" si="5"/>
        <v>0.99999999999944578</v>
      </c>
      <c r="X43" s="29">
        <f t="shared" si="5"/>
        <v>0.99999999999944578</v>
      </c>
      <c r="Y43" s="24"/>
    </row>
    <row r="44" spans="2:25" ht="15" customHeight="1" x14ac:dyDescent="0.2">
      <c r="B44" s="31">
        <v>41753</v>
      </c>
      <c r="C44" s="64">
        <v>13.042999999999999</v>
      </c>
      <c r="D44" s="65">
        <v>8.3989999999999991</v>
      </c>
      <c r="E44" s="65">
        <v>7.9859999999999998</v>
      </c>
      <c r="F44" s="16">
        <v>13.535</v>
      </c>
      <c r="G44" s="16">
        <v>10.824</v>
      </c>
      <c r="H44" s="16">
        <v>10.672000000000001</v>
      </c>
      <c r="I44" s="57">
        <v>102.523</v>
      </c>
      <c r="J44" s="32">
        <v>534.5</v>
      </c>
      <c r="K44" s="59">
        <f t="shared" si="4"/>
        <v>55.5</v>
      </c>
      <c r="L44" s="19">
        <f t="shared" si="2"/>
        <v>-5.0000000000007816</v>
      </c>
      <c r="M44" s="19">
        <f t="shared" si="2"/>
        <v>-2.0000000000006679</v>
      </c>
      <c r="N44" s="19">
        <f t="shared" si="2"/>
        <v>-1.000000000000334</v>
      </c>
      <c r="O44" s="19">
        <f t="shared" si="6"/>
        <v>-6.0000000000002274</v>
      </c>
      <c r="P44" s="19">
        <f t="shared" si="7"/>
        <v>-3.0000000000001137</v>
      </c>
      <c r="Q44" s="19">
        <f t="shared" si="8"/>
        <v>-1.9999999999997797</v>
      </c>
      <c r="R44" s="19">
        <f t="shared" si="2"/>
        <v>-8.0000000000097771</v>
      </c>
      <c r="S44" s="27">
        <f t="shared" si="5"/>
        <v>0</v>
      </c>
      <c r="T44" s="28">
        <f t="shared" si="5"/>
        <v>0</v>
      </c>
      <c r="U44" s="28">
        <f t="shared" si="5"/>
        <v>0</v>
      </c>
      <c r="V44" s="28">
        <f t="shared" si="5"/>
        <v>-0.99999999999944578</v>
      </c>
      <c r="W44" s="28">
        <f t="shared" si="5"/>
        <v>-0.99999999999944578</v>
      </c>
      <c r="X44" s="29">
        <f t="shared" si="5"/>
        <v>-0.99999999999944578</v>
      </c>
      <c r="Y44" s="24"/>
    </row>
    <row r="45" spans="2:25" ht="15" customHeight="1" x14ac:dyDescent="0.2">
      <c r="B45" s="31">
        <v>41754</v>
      </c>
      <c r="C45" s="64">
        <v>13.042999999999999</v>
      </c>
      <c r="D45" s="65">
        <v>8.3989999999999991</v>
      </c>
      <c r="E45" s="65">
        <v>7.9859999999999998</v>
      </c>
      <c r="F45" s="16">
        <v>13.536</v>
      </c>
      <c r="G45" s="16">
        <v>10.824999999999999</v>
      </c>
      <c r="H45" s="16">
        <v>10.673</v>
      </c>
      <c r="I45" s="57">
        <v>102.523</v>
      </c>
      <c r="J45" s="32">
        <v>534.5</v>
      </c>
      <c r="K45" s="59">
        <f t="shared" si="4"/>
        <v>55.5</v>
      </c>
      <c r="L45" s="19">
        <f t="shared" si="2"/>
        <v>-5.0000000000007816</v>
      </c>
      <c r="M45" s="19">
        <f t="shared" si="2"/>
        <v>-2.0000000000006679</v>
      </c>
      <c r="N45" s="19">
        <f t="shared" si="2"/>
        <v>-1.000000000000334</v>
      </c>
      <c r="O45" s="19">
        <f t="shared" si="6"/>
        <v>-5.0000000000007816</v>
      </c>
      <c r="P45" s="19">
        <f t="shared" si="7"/>
        <v>-2.0000000000006679</v>
      </c>
      <c r="Q45" s="19">
        <f t="shared" si="8"/>
        <v>-1.000000000000334</v>
      </c>
      <c r="R45" s="19">
        <f t="shared" si="2"/>
        <v>-8.0000000000097771</v>
      </c>
      <c r="S45" s="27">
        <f t="shared" si="5"/>
        <v>0</v>
      </c>
      <c r="T45" s="28">
        <f t="shared" si="5"/>
        <v>0</v>
      </c>
      <c r="U45" s="28">
        <f t="shared" si="5"/>
        <v>0</v>
      </c>
      <c r="V45" s="28">
        <f t="shared" si="5"/>
        <v>0.99999999999944578</v>
      </c>
      <c r="W45" s="28">
        <f t="shared" si="5"/>
        <v>0.99999999999944578</v>
      </c>
      <c r="X45" s="29">
        <f t="shared" si="5"/>
        <v>0.99999999999944578</v>
      </c>
      <c r="Y45" s="24"/>
    </row>
    <row r="46" spans="2:25" ht="15" customHeight="1" x14ac:dyDescent="0.2">
      <c r="B46" s="31">
        <v>41757</v>
      </c>
      <c r="C46" s="64">
        <v>13.042999999999999</v>
      </c>
      <c r="D46" s="65">
        <v>8.3989999999999991</v>
      </c>
      <c r="E46" s="65">
        <v>7.9859999999999998</v>
      </c>
      <c r="F46" s="16">
        <v>13.535</v>
      </c>
      <c r="G46" s="16">
        <v>10.824</v>
      </c>
      <c r="H46" s="16">
        <v>10.672000000000001</v>
      </c>
      <c r="I46" s="57">
        <v>102.523</v>
      </c>
      <c r="J46" s="32">
        <v>534.5</v>
      </c>
      <c r="K46" s="59">
        <f t="shared" si="4"/>
        <v>55.5</v>
      </c>
      <c r="L46" s="19">
        <f t="shared" si="2"/>
        <v>-5.0000000000007816</v>
      </c>
      <c r="M46" s="19">
        <f t="shared" si="2"/>
        <v>-2.0000000000006679</v>
      </c>
      <c r="N46" s="19">
        <f t="shared" si="2"/>
        <v>-1.000000000000334</v>
      </c>
      <c r="O46" s="19">
        <f t="shared" si="6"/>
        <v>-6.0000000000002274</v>
      </c>
      <c r="P46" s="19">
        <f t="shared" si="7"/>
        <v>-3.0000000000001137</v>
      </c>
      <c r="Q46" s="19">
        <f t="shared" si="8"/>
        <v>-1.9999999999997797</v>
      </c>
      <c r="R46" s="19">
        <f t="shared" si="2"/>
        <v>-8.0000000000097771</v>
      </c>
      <c r="S46" s="27">
        <f t="shared" si="5"/>
        <v>0</v>
      </c>
      <c r="T46" s="28">
        <f t="shared" si="5"/>
        <v>0</v>
      </c>
      <c r="U46" s="28">
        <f t="shared" si="5"/>
        <v>0</v>
      </c>
      <c r="V46" s="28">
        <f t="shared" si="5"/>
        <v>-0.33333333333314857</v>
      </c>
      <c r="W46" s="28">
        <f t="shared" si="5"/>
        <v>-0.33333333333314857</v>
      </c>
      <c r="X46" s="29">
        <f t="shared" si="5"/>
        <v>-0.33333333333314857</v>
      </c>
      <c r="Y46" s="24"/>
    </row>
    <row r="47" spans="2:25" ht="15" customHeight="1" x14ac:dyDescent="0.2">
      <c r="B47" s="31">
        <v>41758</v>
      </c>
      <c r="C47" s="64">
        <v>13.042999999999999</v>
      </c>
      <c r="D47" s="65">
        <v>8.3989999999999991</v>
      </c>
      <c r="E47" s="65">
        <v>7.9859999999999998</v>
      </c>
      <c r="F47" s="16">
        <v>13.535</v>
      </c>
      <c r="G47" s="16">
        <v>10.823</v>
      </c>
      <c r="H47" s="16">
        <v>10.672000000000001</v>
      </c>
      <c r="I47" s="57">
        <v>102.523</v>
      </c>
      <c r="J47" s="32">
        <v>534.5</v>
      </c>
      <c r="K47" s="59">
        <f t="shared" si="4"/>
        <v>55.5</v>
      </c>
      <c r="L47" s="19">
        <f t="shared" si="2"/>
        <v>-5.0000000000007816</v>
      </c>
      <c r="M47" s="19">
        <f t="shared" si="2"/>
        <v>-2.0000000000006679</v>
      </c>
      <c r="N47" s="19">
        <f t="shared" si="2"/>
        <v>-1.000000000000334</v>
      </c>
      <c r="O47" s="19">
        <f t="shared" si="6"/>
        <v>-6.0000000000002274</v>
      </c>
      <c r="P47" s="19">
        <f t="shared" si="7"/>
        <v>-3.9999999999995595</v>
      </c>
      <c r="Q47" s="19">
        <f t="shared" si="8"/>
        <v>-1.9999999999997797</v>
      </c>
      <c r="R47" s="19">
        <f t="shared" si="2"/>
        <v>-8.0000000000097771</v>
      </c>
      <c r="S47" s="27">
        <f t="shared" si="5"/>
        <v>0</v>
      </c>
      <c r="T47" s="28">
        <f t="shared" si="5"/>
        <v>0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/>
    </row>
    <row r="48" spans="2:25" ht="15" customHeight="1" x14ac:dyDescent="0.2">
      <c r="B48" s="31">
        <v>41759</v>
      </c>
      <c r="C48" s="64">
        <v>13.042999999999999</v>
      </c>
      <c r="D48" s="65">
        <v>8.3989999999999991</v>
      </c>
      <c r="E48" s="65">
        <v>7.9859999999999998</v>
      </c>
      <c r="F48" s="16">
        <v>13.535</v>
      </c>
      <c r="G48" s="16">
        <v>10.824</v>
      </c>
      <c r="H48" s="16">
        <v>10.672000000000001</v>
      </c>
      <c r="I48" s="57">
        <v>102.523</v>
      </c>
      <c r="J48" s="32">
        <v>534.5</v>
      </c>
      <c r="K48" s="59">
        <f t="shared" si="4"/>
        <v>55.5</v>
      </c>
      <c r="L48" s="19">
        <f t="shared" si="2"/>
        <v>-5.0000000000007816</v>
      </c>
      <c r="M48" s="19">
        <f t="shared" si="2"/>
        <v>-2.0000000000006679</v>
      </c>
      <c r="N48" s="19">
        <f t="shared" si="2"/>
        <v>-1.000000000000334</v>
      </c>
      <c r="O48" s="19">
        <f t="shared" si="6"/>
        <v>-6.0000000000002274</v>
      </c>
      <c r="P48" s="19">
        <f t="shared" si="7"/>
        <v>-3.0000000000001137</v>
      </c>
      <c r="Q48" s="19">
        <f t="shared" si="8"/>
        <v>-1.9999999999997797</v>
      </c>
      <c r="R48" s="19">
        <f t="shared" si="2"/>
        <v>-8.0000000000097771</v>
      </c>
      <c r="S48" s="27">
        <f t="shared" si="5"/>
        <v>0</v>
      </c>
      <c r="T48" s="28">
        <f t="shared" si="5"/>
        <v>0</v>
      </c>
      <c r="U48" s="28">
        <f t="shared" si="5"/>
        <v>0</v>
      </c>
      <c r="V48" s="28">
        <f t="shared" si="5"/>
        <v>0</v>
      </c>
      <c r="W48" s="28">
        <f t="shared" si="5"/>
        <v>0.99999999999944578</v>
      </c>
      <c r="X48" s="29">
        <f t="shared" si="5"/>
        <v>0</v>
      </c>
      <c r="Y48" s="24"/>
    </row>
    <row r="49" spans="2:25" ht="15" customHeight="1" x14ac:dyDescent="0.2">
      <c r="B49" s="31">
        <v>41781</v>
      </c>
      <c r="C49" s="64">
        <v>13.042999999999999</v>
      </c>
      <c r="D49" s="65">
        <v>8.3989999999999991</v>
      </c>
      <c r="E49" s="65">
        <v>7.9859999999999998</v>
      </c>
      <c r="F49" s="16">
        <v>13.536</v>
      </c>
      <c r="G49" s="16">
        <v>10.821999999999999</v>
      </c>
      <c r="H49" s="16">
        <v>10.672000000000001</v>
      </c>
      <c r="I49" s="57">
        <v>102.523</v>
      </c>
      <c r="J49" s="58">
        <v>792</v>
      </c>
      <c r="K49" s="59">
        <f t="shared" si="4"/>
        <v>313</v>
      </c>
      <c r="L49" s="19">
        <f t="shared" si="2"/>
        <v>-5.0000000000007816</v>
      </c>
      <c r="M49" s="19">
        <f t="shared" si="2"/>
        <v>-2.0000000000006679</v>
      </c>
      <c r="N49" s="19">
        <f t="shared" si="2"/>
        <v>-1.000000000000334</v>
      </c>
      <c r="O49" s="19">
        <f t="shared" si="6"/>
        <v>-5.0000000000007816</v>
      </c>
      <c r="P49" s="19">
        <f t="shared" si="7"/>
        <v>-5.0000000000007816</v>
      </c>
      <c r="Q49" s="19">
        <f t="shared" si="8"/>
        <v>-1.9999999999997797</v>
      </c>
      <c r="R49" s="19">
        <f t="shared" si="2"/>
        <v>-8.0000000000097771</v>
      </c>
      <c r="S49" s="27">
        <f t="shared" ref="S49:X64" si="9">IF(C49="","",((C49-C48)*1000)/($B49-$B48))</f>
        <v>0</v>
      </c>
      <c r="T49" s="28">
        <f t="shared" si="9"/>
        <v>0</v>
      </c>
      <c r="U49" s="28">
        <f t="shared" si="9"/>
        <v>0</v>
      </c>
      <c r="V49" s="28">
        <f t="shared" si="9"/>
        <v>4.5454545454520261E-2</v>
      </c>
      <c r="W49" s="28">
        <f t="shared" si="9"/>
        <v>-9.0909090909121262E-2</v>
      </c>
      <c r="X49" s="29">
        <f t="shared" si="9"/>
        <v>0</v>
      </c>
      <c r="Y49" s="24"/>
    </row>
    <row r="50" spans="2:25" ht="15" customHeight="1" x14ac:dyDescent="0.2">
      <c r="B50" s="31">
        <v>41806</v>
      </c>
      <c r="C50" s="64">
        <v>13.042999999999999</v>
      </c>
      <c r="D50" s="65">
        <v>8.3989999999999991</v>
      </c>
      <c r="E50" s="65">
        <v>7.9859999999999998</v>
      </c>
      <c r="F50" s="16">
        <v>13.536</v>
      </c>
      <c r="G50" s="16">
        <v>10.821</v>
      </c>
      <c r="H50" s="16">
        <v>10.672000000000001</v>
      </c>
      <c r="I50" s="57">
        <v>102.523</v>
      </c>
      <c r="J50" s="58">
        <v>546</v>
      </c>
      <c r="K50" s="59">
        <f t="shared" ref="K50:K62" si="10">IF(ISBLANK(J50),"",(J50-$J$8))</f>
        <v>67</v>
      </c>
      <c r="L50" s="19">
        <f t="shared" si="2"/>
        <v>-5.0000000000007816</v>
      </c>
      <c r="M50" s="19">
        <f t="shared" si="2"/>
        <v>-2.0000000000006679</v>
      </c>
      <c r="N50" s="19">
        <f t="shared" si="2"/>
        <v>-1.000000000000334</v>
      </c>
      <c r="O50" s="19">
        <f t="shared" si="6"/>
        <v>-5.0000000000007816</v>
      </c>
      <c r="P50" s="19">
        <f t="shared" si="7"/>
        <v>-6.0000000000002274</v>
      </c>
      <c r="Q50" s="19">
        <f t="shared" si="8"/>
        <v>-1.9999999999997797</v>
      </c>
      <c r="R50" s="19">
        <f t="shared" si="2"/>
        <v>-8.0000000000097771</v>
      </c>
      <c r="S50" s="27">
        <f t="shared" si="9"/>
        <v>0</v>
      </c>
      <c r="T50" s="28">
        <f t="shared" si="9"/>
        <v>0</v>
      </c>
      <c r="U50" s="28">
        <f t="shared" si="9"/>
        <v>0</v>
      </c>
      <c r="V50" s="28">
        <f t="shared" si="9"/>
        <v>0</v>
      </c>
      <c r="W50" s="28">
        <f t="shared" si="9"/>
        <v>-3.9999999999977831E-2</v>
      </c>
      <c r="X50" s="29">
        <f t="shared" si="9"/>
        <v>0</v>
      </c>
      <c r="Y50" s="24" t="s">
        <v>44</v>
      </c>
    </row>
    <row r="51" spans="2:25" ht="15" customHeight="1" x14ac:dyDescent="0.2">
      <c r="B51" s="31">
        <v>41807</v>
      </c>
      <c r="C51" s="25">
        <v>13.042999999999999</v>
      </c>
      <c r="D51" s="26">
        <v>8.3989999999999991</v>
      </c>
      <c r="E51" s="26">
        <v>7.9859999999999998</v>
      </c>
      <c r="F51" s="16">
        <v>13.536</v>
      </c>
      <c r="G51" s="16">
        <v>10.821</v>
      </c>
      <c r="H51" s="16">
        <v>10.672000000000001</v>
      </c>
      <c r="I51" s="57">
        <v>102.523</v>
      </c>
      <c r="J51" s="58">
        <v>556</v>
      </c>
      <c r="K51" s="59">
        <f t="shared" si="10"/>
        <v>77</v>
      </c>
      <c r="L51" s="19">
        <f t="shared" si="2"/>
        <v>-5.0000000000007816</v>
      </c>
      <c r="M51" s="19">
        <f t="shared" si="2"/>
        <v>-2.0000000000006679</v>
      </c>
      <c r="N51" s="19">
        <f t="shared" si="2"/>
        <v>-1.000000000000334</v>
      </c>
      <c r="O51" s="19">
        <f t="shared" si="6"/>
        <v>-5.0000000000007816</v>
      </c>
      <c r="P51" s="19">
        <f t="shared" si="7"/>
        <v>-6.0000000000002274</v>
      </c>
      <c r="Q51" s="19">
        <f t="shared" si="8"/>
        <v>-1.9999999999997797</v>
      </c>
      <c r="R51" s="19">
        <f t="shared" si="2"/>
        <v>-8.0000000000097771</v>
      </c>
      <c r="S51" s="27">
        <f>IF(C51="","",((C51-C50)*1000)/($B51-$B50))</f>
        <v>0</v>
      </c>
      <c r="T51" s="28">
        <f>IF(D51="","",((D51-D50)*1000)/($B51-$B50))</f>
        <v>0</v>
      </c>
      <c r="U51" s="28">
        <f>IF(E51="","",((E51-E50)*1000)/($B51-$B50))</f>
        <v>0</v>
      </c>
      <c r="V51" s="28">
        <f t="shared" si="9"/>
        <v>0</v>
      </c>
      <c r="W51" s="28">
        <f t="shared" si="9"/>
        <v>0</v>
      </c>
      <c r="X51" s="29">
        <f t="shared" si="9"/>
        <v>0</v>
      </c>
      <c r="Y51" s="24"/>
    </row>
    <row r="52" spans="2:25" ht="15" customHeight="1" x14ac:dyDescent="0.2">
      <c r="B52" s="31">
        <v>41808</v>
      </c>
      <c r="C52" s="25">
        <v>13.042999999999999</v>
      </c>
      <c r="D52" s="26">
        <v>8.3989999999999991</v>
      </c>
      <c r="E52" s="26">
        <v>7.9859999999999998</v>
      </c>
      <c r="F52" s="16">
        <v>13.537000000000001</v>
      </c>
      <c r="G52" s="16">
        <v>10.82</v>
      </c>
      <c r="H52" s="16">
        <v>10.672000000000001</v>
      </c>
      <c r="I52" s="57">
        <v>102.523</v>
      </c>
      <c r="J52" s="58">
        <v>552</v>
      </c>
      <c r="K52" s="59">
        <f t="shared" si="10"/>
        <v>73</v>
      </c>
      <c r="L52" s="19">
        <f t="shared" si="2"/>
        <v>-5.0000000000007816</v>
      </c>
      <c r="M52" s="19">
        <f t="shared" si="2"/>
        <v>-2.0000000000006679</v>
      </c>
      <c r="N52" s="19">
        <f t="shared" si="2"/>
        <v>-1.000000000000334</v>
      </c>
      <c r="O52" s="19">
        <f t="shared" si="6"/>
        <v>-3.9999999999995595</v>
      </c>
      <c r="P52" s="19">
        <f t="shared" si="7"/>
        <v>-6.9999999999996732</v>
      </c>
      <c r="Q52" s="19">
        <f t="shared" si="8"/>
        <v>-1.9999999999997797</v>
      </c>
      <c r="R52" s="19">
        <f t="shared" si="2"/>
        <v>-8.0000000000097771</v>
      </c>
      <c r="S52" s="27">
        <f t="shared" si="9"/>
        <v>0</v>
      </c>
      <c r="T52" s="28">
        <f t="shared" si="9"/>
        <v>0</v>
      </c>
      <c r="U52" s="28">
        <f t="shared" si="9"/>
        <v>0</v>
      </c>
      <c r="V52" s="28">
        <f t="shared" si="9"/>
        <v>1.0000000000012221</v>
      </c>
      <c r="W52" s="28">
        <f t="shared" si="9"/>
        <v>-0.99999999999944578</v>
      </c>
      <c r="X52" s="29">
        <f t="shared" si="9"/>
        <v>0</v>
      </c>
      <c r="Y52" s="24"/>
    </row>
    <row r="53" spans="2:25" ht="15" customHeight="1" x14ac:dyDescent="0.2">
      <c r="B53" s="31">
        <v>41809</v>
      </c>
      <c r="C53" s="25">
        <v>13.042999999999999</v>
      </c>
      <c r="D53" s="26">
        <v>8.3989999999999991</v>
      </c>
      <c r="E53" s="26">
        <v>7.9859999999999998</v>
      </c>
      <c r="F53" s="16">
        <v>13.536</v>
      </c>
      <c r="G53" s="16">
        <v>10.821</v>
      </c>
      <c r="H53" s="16">
        <v>10.672000000000001</v>
      </c>
      <c r="I53" s="57">
        <v>102.523</v>
      </c>
      <c r="J53" s="58">
        <v>559</v>
      </c>
      <c r="K53" s="59">
        <f t="shared" si="10"/>
        <v>80</v>
      </c>
      <c r="L53" s="19">
        <f t="shared" si="2"/>
        <v>-5.0000000000007816</v>
      </c>
      <c r="M53" s="19">
        <f t="shared" si="2"/>
        <v>-2.0000000000006679</v>
      </c>
      <c r="N53" s="19">
        <f t="shared" si="2"/>
        <v>-1.000000000000334</v>
      </c>
      <c r="O53" s="19">
        <f t="shared" si="6"/>
        <v>-5.0000000000007816</v>
      </c>
      <c r="P53" s="19">
        <f t="shared" si="7"/>
        <v>-6.0000000000002274</v>
      </c>
      <c r="Q53" s="19">
        <f t="shared" si="8"/>
        <v>-1.9999999999997797</v>
      </c>
      <c r="R53" s="19">
        <f t="shared" si="2"/>
        <v>-8.0000000000097771</v>
      </c>
      <c r="S53" s="27">
        <f t="shared" si="9"/>
        <v>0</v>
      </c>
      <c r="T53" s="28">
        <f t="shared" si="9"/>
        <v>0</v>
      </c>
      <c r="U53" s="28">
        <f t="shared" si="9"/>
        <v>0</v>
      </c>
      <c r="V53" s="28">
        <f t="shared" si="9"/>
        <v>-1.0000000000012221</v>
      </c>
      <c r="W53" s="28">
        <f t="shared" si="9"/>
        <v>0.99999999999944578</v>
      </c>
      <c r="X53" s="29">
        <f t="shared" si="9"/>
        <v>0</v>
      </c>
      <c r="Y53" s="24"/>
    </row>
    <row r="54" spans="2:25" ht="15" customHeight="1" x14ac:dyDescent="0.2">
      <c r="B54" s="31">
        <v>41810</v>
      </c>
      <c r="C54" s="25">
        <v>13.044</v>
      </c>
      <c r="D54" s="26">
        <v>8.3989999999999991</v>
      </c>
      <c r="E54" s="26">
        <v>7.9859999999999998</v>
      </c>
      <c r="F54" s="16">
        <v>13.536</v>
      </c>
      <c r="G54" s="16">
        <v>10.821</v>
      </c>
      <c r="H54" s="16">
        <v>10.672000000000001</v>
      </c>
      <c r="I54" s="57">
        <v>102.523</v>
      </c>
      <c r="J54" s="58">
        <v>563</v>
      </c>
      <c r="K54" s="59">
        <f t="shared" si="10"/>
        <v>84</v>
      </c>
      <c r="L54" s="19">
        <f t="shared" si="2"/>
        <v>-3.9999999999995595</v>
      </c>
      <c r="M54" s="19">
        <f t="shared" si="2"/>
        <v>-2.0000000000006679</v>
      </c>
      <c r="N54" s="19">
        <f t="shared" si="2"/>
        <v>-1.000000000000334</v>
      </c>
      <c r="O54" s="19">
        <f t="shared" si="6"/>
        <v>-5.0000000000007816</v>
      </c>
      <c r="P54" s="19">
        <f t="shared" si="7"/>
        <v>-6.0000000000002274</v>
      </c>
      <c r="Q54" s="19">
        <f t="shared" si="8"/>
        <v>-1.9999999999997797</v>
      </c>
      <c r="R54" s="19">
        <f t="shared" si="2"/>
        <v>-8.0000000000097771</v>
      </c>
      <c r="S54" s="27">
        <f t="shared" si="9"/>
        <v>1.0000000000012221</v>
      </c>
      <c r="T54" s="28">
        <f t="shared" si="9"/>
        <v>0</v>
      </c>
      <c r="U54" s="28">
        <f t="shared" si="9"/>
        <v>0</v>
      </c>
      <c r="V54" s="28">
        <f t="shared" si="9"/>
        <v>0</v>
      </c>
      <c r="W54" s="28">
        <f t="shared" si="9"/>
        <v>0</v>
      </c>
      <c r="X54" s="29">
        <f t="shared" si="9"/>
        <v>0</v>
      </c>
      <c r="Y54" s="24"/>
    </row>
    <row r="55" spans="2:25" ht="15" customHeight="1" x14ac:dyDescent="0.2">
      <c r="B55" s="31">
        <v>41813</v>
      </c>
      <c r="C55" s="25">
        <v>13.044</v>
      </c>
      <c r="D55" s="26">
        <v>8.4</v>
      </c>
      <c r="E55" s="26">
        <v>7.9859999999999998</v>
      </c>
      <c r="F55" s="16">
        <v>13.537000000000001</v>
      </c>
      <c r="G55" s="16">
        <v>10.821</v>
      </c>
      <c r="H55" s="16">
        <v>10.672000000000001</v>
      </c>
      <c r="I55" s="57">
        <v>102.524</v>
      </c>
      <c r="J55" s="58">
        <v>574</v>
      </c>
      <c r="K55" s="59">
        <f t="shared" si="10"/>
        <v>95</v>
      </c>
      <c r="L55" s="19">
        <f t="shared" si="2"/>
        <v>-3.9999999999995595</v>
      </c>
      <c r="M55" s="19">
        <f t="shared" si="2"/>
        <v>-0.99999999999944578</v>
      </c>
      <c r="N55" s="19">
        <f t="shared" si="2"/>
        <v>-1.000000000000334</v>
      </c>
      <c r="O55" s="19">
        <f t="shared" si="6"/>
        <v>-3.9999999999995595</v>
      </c>
      <c r="P55" s="19">
        <f t="shared" si="7"/>
        <v>-6.0000000000002274</v>
      </c>
      <c r="Q55" s="19">
        <f t="shared" si="8"/>
        <v>-1.9999999999997797</v>
      </c>
      <c r="R55" s="19">
        <f t="shared" si="2"/>
        <v>-7.0000000000050022</v>
      </c>
      <c r="S55" s="27">
        <f t="shared" si="9"/>
        <v>0</v>
      </c>
      <c r="T55" s="28">
        <f t="shared" si="9"/>
        <v>0.33333333333374071</v>
      </c>
      <c r="U55" s="28">
        <f t="shared" si="9"/>
        <v>0</v>
      </c>
      <c r="V55" s="28">
        <f t="shared" si="9"/>
        <v>0.33333333333374071</v>
      </c>
      <c r="W55" s="28">
        <f t="shared" si="9"/>
        <v>0</v>
      </c>
      <c r="X55" s="29">
        <f t="shared" si="9"/>
        <v>0</v>
      </c>
      <c r="Y55" s="24"/>
    </row>
    <row r="56" spans="2:25" ht="15" customHeight="1" x14ac:dyDescent="0.2">
      <c r="B56" s="31">
        <v>41814</v>
      </c>
      <c r="C56" s="25">
        <v>13.042999999999999</v>
      </c>
      <c r="D56" s="26">
        <v>8.3989999999999991</v>
      </c>
      <c r="E56" s="26">
        <v>7.9850000000000003</v>
      </c>
      <c r="F56" s="16">
        <v>13.536</v>
      </c>
      <c r="G56" s="16">
        <v>10.82</v>
      </c>
      <c r="H56" s="16">
        <v>10.670999999999999</v>
      </c>
      <c r="I56" s="57">
        <v>102.523</v>
      </c>
      <c r="J56" s="58">
        <v>603</v>
      </c>
      <c r="K56" s="59">
        <f t="shared" si="10"/>
        <v>124</v>
      </c>
      <c r="L56" s="19">
        <f t="shared" si="2"/>
        <v>-5.0000000000007816</v>
      </c>
      <c r="M56" s="19">
        <f t="shared" si="2"/>
        <v>-2.0000000000006679</v>
      </c>
      <c r="N56" s="19">
        <f t="shared" si="2"/>
        <v>-1.9999999999997797</v>
      </c>
      <c r="O56" s="19">
        <f t="shared" si="6"/>
        <v>-5.0000000000007816</v>
      </c>
      <c r="P56" s="19">
        <f t="shared" si="7"/>
        <v>-6.9999999999996732</v>
      </c>
      <c r="Q56" s="19">
        <f t="shared" si="8"/>
        <v>-3.0000000000010019</v>
      </c>
      <c r="R56" s="19">
        <f t="shared" si="2"/>
        <v>-8.0000000000097771</v>
      </c>
      <c r="S56" s="27">
        <f t="shared" si="9"/>
        <v>-1.0000000000012221</v>
      </c>
      <c r="T56" s="28">
        <f t="shared" si="9"/>
        <v>-1.0000000000012221</v>
      </c>
      <c r="U56" s="28">
        <f t="shared" si="9"/>
        <v>-0.99999999999944578</v>
      </c>
      <c r="V56" s="28">
        <f t="shared" si="9"/>
        <v>-1.0000000000012221</v>
      </c>
      <c r="W56" s="28">
        <f t="shared" si="9"/>
        <v>-0.99999999999944578</v>
      </c>
      <c r="X56" s="29">
        <f t="shared" si="9"/>
        <v>-1.0000000000012221</v>
      </c>
      <c r="Y56" s="24"/>
    </row>
    <row r="57" spans="2:25" ht="15" customHeight="1" x14ac:dyDescent="0.2">
      <c r="B57" s="31">
        <v>41821</v>
      </c>
      <c r="C57" s="25">
        <v>13.042999999999999</v>
      </c>
      <c r="D57" s="26">
        <v>8.3989999999999991</v>
      </c>
      <c r="E57" s="26">
        <v>7.9850000000000003</v>
      </c>
      <c r="F57" s="16">
        <v>13.536</v>
      </c>
      <c r="G57" s="16">
        <v>10.82</v>
      </c>
      <c r="H57" s="16">
        <v>10.670999999999999</v>
      </c>
      <c r="I57" s="57">
        <v>102.523</v>
      </c>
      <c r="J57" s="58">
        <v>671</v>
      </c>
      <c r="K57" s="59">
        <f t="shared" si="10"/>
        <v>192</v>
      </c>
      <c r="L57" s="19">
        <f t="shared" si="2"/>
        <v>-5.0000000000007816</v>
      </c>
      <c r="M57" s="19">
        <f t="shared" si="2"/>
        <v>-2.0000000000006679</v>
      </c>
      <c r="N57" s="19">
        <f t="shared" si="2"/>
        <v>-1.9999999999997797</v>
      </c>
      <c r="O57" s="19">
        <f t="shared" si="6"/>
        <v>-5.0000000000007816</v>
      </c>
      <c r="P57" s="19">
        <f t="shared" si="7"/>
        <v>-6.9999999999996732</v>
      </c>
      <c r="Q57" s="19">
        <f t="shared" si="8"/>
        <v>-3.0000000000010019</v>
      </c>
      <c r="R57" s="19">
        <f t="shared" si="2"/>
        <v>-8.0000000000097771</v>
      </c>
      <c r="S57" s="27">
        <f t="shared" si="9"/>
        <v>0</v>
      </c>
      <c r="T57" s="28">
        <f t="shared" si="9"/>
        <v>0</v>
      </c>
      <c r="U57" s="28">
        <f t="shared" si="9"/>
        <v>0</v>
      </c>
      <c r="V57" s="28">
        <f t="shared" si="9"/>
        <v>0</v>
      </c>
      <c r="W57" s="28">
        <f t="shared" si="9"/>
        <v>0</v>
      </c>
      <c r="X57" s="29">
        <f t="shared" si="9"/>
        <v>0</v>
      </c>
      <c r="Y57" s="24"/>
    </row>
    <row r="58" spans="2:25" ht="15" customHeight="1" x14ac:dyDescent="0.2">
      <c r="B58" s="31">
        <v>41828</v>
      </c>
      <c r="C58" s="25">
        <v>13.042</v>
      </c>
      <c r="D58" s="26">
        <v>8.3989999999999991</v>
      </c>
      <c r="E58" s="26">
        <v>7.9850000000000003</v>
      </c>
      <c r="F58" s="16">
        <v>13.535</v>
      </c>
      <c r="G58" s="16">
        <v>10.821</v>
      </c>
      <c r="H58" s="16">
        <v>10.670999999999999</v>
      </c>
      <c r="I58" s="57">
        <v>102.523</v>
      </c>
      <c r="J58" s="58">
        <v>775</v>
      </c>
      <c r="K58" s="59">
        <f t="shared" si="10"/>
        <v>296</v>
      </c>
      <c r="L58" s="19">
        <f t="shared" si="2"/>
        <v>-6.0000000000002274</v>
      </c>
      <c r="M58" s="19">
        <f t="shared" si="2"/>
        <v>-2.0000000000006679</v>
      </c>
      <c r="N58" s="19">
        <f t="shared" si="2"/>
        <v>-1.9999999999997797</v>
      </c>
      <c r="O58" s="19">
        <f t="shared" si="6"/>
        <v>-6.0000000000002274</v>
      </c>
      <c r="P58" s="19">
        <f t="shared" si="7"/>
        <v>-6.0000000000002274</v>
      </c>
      <c r="Q58" s="19">
        <f t="shared" si="8"/>
        <v>-3.0000000000010019</v>
      </c>
      <c r="R58" s="19">
        <f t="shared" si="2"/>
        <v>-8.0000000000097771</v>
      </c>
      <c r="S58" s="27">
        <f t="shared" si="9"/>
        <v>-0.14285714285706369</v>
      </c>
      <c r="T58" s="28">
        <f t="shared" si="9"/>
        <v>0</v>
      </c>
      <c r="U58" s="28">
        <f t="shared" si="9"/>
        <v>0</v>
      </c>
      <c r="V58" s="28">
        <f t="shared" si="9"/>
        <v>-0.14285714285706369</v>
      </c>
      <c r="W58" s="28">
        <f t="shared" si="9"/>
        <v>0.14285714285706369</v>
      </c>
      <c r="X58" s="29">
        <f t="shared" si="9"/>
        <v>0</v>
      </c>
      <c r="Y58" s="24"/>
    </row>
    <row r="59" spans="2:25" ht="15" customHeight="1" x14ac:dyDescent="0.2">
      <c r="B59" s="31">
        <v>41835</v>
      </c>
      <c r="C59" s="25">
        <v>13.042</v>
      </c>
      <c r="D59" s="26">
        <v>8.3989999999999991</v>
      </c>
      <c r="E59" s="26">
        <v>7.9850000000000003</v>
      </c>
      <c r="F59" s="16">
        <v>13.536</v>
      </c>
      <c r="G59" s="16">
        <v>10.82</v>
      </c>
      <c r="H59" s="16">
        <v>10.67</v>
      </c>
      <c r="I59" s="57">
        <v>102.523</v>
      </c>
      <c r="J59" s="58">
        <v>857</v>
      </c>
      <c r="K59" s="59">
        <f t="shared" si="10"/>
        <v>378</v>
      </c>
      <c r="L59" s="19">
        <f t="shared" si="2"/>
        <v>-6.0000000000002274</v>
      </c>
      <c r="M59" s="19">
        <f t="shared" si="2"/>
        <v>-2.0000000000006679</v>
      </c>
      <c r="N59" s="19">
        <f t="shared" si="2"/>
        <v>-1.9999999999997797</v>
      </c>
      <c r="O59" s="19">
        <f t="shared" si="6"/>
        <v>-5.0000000000007816</v>
      </c>
      <c r="P59" s="19">
        <f t="shared" si="7"/>
        <v>-6.9999999999996732</v>
      </c>
      <c r="Q59" s="19">
        <f t="shared" si="8"/>
        <v>-4.0000000000004476</v>
      </c>
      <c r="R59" s="19">
        <f t="shared" si="2"/>
        <v>-8.0000000000097771</v>
      </c>
      <c r="S59" s="27">
        <f t="shared" si="9"/>
        <v>0</v>
      </c>
      <c r="T59" s="28">
        <f t="shared" si="9"/>
        <v>0</v>
      </c>
      <c r="U59" s="28">
        <f t="shared" si="9"/>
        <v>0</v>
      </c>
      <c r="V59" s="28">
        <f t="shared" si="9"/>
        <v>0.14285714285706369</v>
      </c>
      <c r="W59" s="28">
        <f t="shared" si="9"/>
        <v>-0.14285714285706369</v>
      </c>
      <c r="X59" s="29">
        <f t="shared" si="9"/>
        <v>-0.14285714285706369</v>
      </c>
      <c r="Y59" s="24"/>
    </row>
    <row r="60" spans="2:25" ht="15" customHeight="1" x14ac:dyDescent="0.2">
      <c r="B60" s="31">
        <v>41836</v>
      </c>
      <c r="C60" s="25">
        <v>13.042</v>
      </c>
      <c r="D60" s="26">
        <v>8.3989999999999991</v>
      </c>
      <c r="E60" s="26">
        <v>7.9850000000000003</v>
      </c>
      <c r="F60" s="16">
        <v>13.536</v>
      </c>
      <c r="G60" s="16">
        <v>10.82</v>
      </c>
      <c r="H60" s="16">
        <v>10.67</v>
      </c>
      <c r="I60" s="57">
        <v>102.523</v>
      </c>
      <c r="J60" s="58">
        <v>857</v>
      </c>
      <c r="K60" s="59">
        <f t="shared" si="10"/>
        <v>378</v>
      </c>
      <c r="L60" s="19"/>
      <c r="M60" s="19"/>
      <c r="N60" s="19"/>
      <c r="O60" s="19">
        <f t="shared" si="6"/>
        <v>-5.0000000000007816</v>
      </c>
      <c r="P60" s="19">
        <f t="shared" si="7"/>
        <v>-6.9999999999996732</v>
      </c>
      <c r="Q60" s="19">
        <f t="shared" si="8"/>
        <v>-4.0000000000004476</v>
      </c>
      <c r="R60" s="19">
        <f t="shared" si="2"/>
        <v>-8.0000000000097771</v>
      </c>
      <c r="S60" s="27">
        <f t="shared" si="9"/>
        <v>0</v>
      </c>
      <c r="T60" s="28">
        <f t="shared" si="9"/>
        <v>0</v>
      </c>
      <c r="U60" s="28">
        <f t="shared" si="9"/>
        <v>0</v>
      </c>
      <c r="V60" s="28">
        <f t="shared" si="9"/>
        <v>0</v>
      </c>
      <c r="W60" s="28">
        <f t="shared" si="9"/>
        <v>0</v>
      </c>
      <c r="X60" s="29">
        <f t="shared" si="9"/>
        <v>0</v>
      </c>
      <c r="Y60" s="24"/>
    </row>
    <row r="61" spans="2:25" ht="15" customHeight="1" x14ac:dyDescent="0.2">
      <c r="B61" s="31">
        <v>41843</v>
      </c>
      <c r="C61" s="25"/>
      <c r="D61" s="26"/>
      <c r="E61" s="26"/>
      <c r="F61" s="16">
        <v>13.535</v>
      </c>
      <c r="G61" s="16">
        <v>10.82</v>
      </c>
      <c r="H61" s="16">
        <v>10.670999999999999</v>
      </c>
      <c r="I61" s="57">
        <v>102.523</v>
      </c>
      <c r="J61" s="58">
        <v>943</v>
      </c>
      <c r="K61" s="59">
        <f t="shared" si="10"/>
        <v>464</v>
      </c>
      <c r="L61" s="19"/>
      <c r="M61" s="19"/>
      <c r="N61" s="19"/>
      <c r="O61" s="19">
        <f t="shared" si="6"/>
        <v>-6.0000000000002274</v>
      </c>
      <c r="P61" s="19">
        <f t="shared" si="7"/>
        <v>-6.9999999999996732</v>
      </c>
      <c r="Q61" s="19">
        <f t="shared" si="8"/>
        <v>-3.0000000000010019</v>
      </c>
      <c r="R61" s="19">
        <f t="shared" si="2"/>
        <v>-8.0000000000097771</v>
      </c>
      <c r="S61" s="27" t="str">
        <f t="shared" si="9"/>
        <v/>
      </c>
      <c r="T61" s="28" t="str">
        <f t="shared" si="9"/>
        <v/>
      </c>
      <c r="U61" s="28" t="str">
        <f t="shared" si="9"/>
        <v/>
      </c>
      <c r="V61" s="28">
        <f t="shared" si="9"/>
        <v>-0.14285714285706369</v>
      </c>
      <c r="W61" s="28">
        <f t="shared" si="9"/>
        <v>0</v>
      </c>
      <c r="X61" s="29">
        <f t="shared" si="9"/>
        <v>0.14285714285706369</v>
      </c>
      <c r="Y61" s="24"/>
    </row>
    <row r="62" spans="2:25" ht="15" customHeight="1" x14ac:dyDescent="0.2">
      <c r="B62" s="31">
        <v>41933</v>
      </c>
      <c r="C62" s="25"/>
      <c r="D62" s="26"/>
      <c r="E62" s="26"/>
      <c r="F62" s="16">
        <v>13.536</v>
      </c>
      <c r="G62" s="16">
        <v>10.819000000000001</v>
      </c>
      <c r="H62" s="16">
        <v>10.670999999999999</v>
      </c>
      <c r="I62" s="57">
        <v>102.523</v>
      </c>
      <c r="J62" s="58">
        <v>943</v>
      </c>
      <c r="K62" s="59">
        <f t="shared" si="10"/>
        <v>464</v>
      </c>
      <c r="L62" s="19"/>
      <c r="M62" s="19"/>
      <c r="N62" s="19"/>
      <c r="O62" s="19">
        <f t="shared" si="6"/>
        <v>-5.0000000000007816</v>
      </c>
      <c r="P62" s="19">
        <f t="shared" si="7"/>
        <v>-7.9999999999991189</v>
      </c>
      <c r="Q62" s="19">
        <f t="shared" si="8"/>
        <v>-3.0000000000010019</v>
      </c>
      <c r="R62" s="19">
        <f t="shared" ref="R62:R93" si="11">IF(ISBLANK(I62),"",(I62-I$16)*1000)</f>
        <v>-8.0000000000097771</v>
      </c>
      <c r="S62" s="27"/>
      <c r="T62" s="28"/>
      <c r="U62" s="28"/>
      <c r="V62" s="28">
        <f t="shared" si="9"/>
        <v>1.1111111111104953E-2</v>
      </c>
      <c r="W62" s="28">
        <f t="shared" si="9"/>
        <v>-1.1111111111104953E-2</v>
      </c>
      <c r="X62" s="29">
        <f t="shared" si="9"/>
        <v>0</v>
      </c>
      <c r="Y62" s="24"/>
    </row>
    <row r="63" spans="2:25" ht="15" customHeight="1" x14ac:dyDescent="0.2">
      <c r="B63" s="31">
        <v>42025</v>
      </c>
      <c r="C63" s="25">
        <v>13.042999999999999</v>
      </c>
      <c r="D63" s="26">
        <v>8.3989999999999991</v>
      </c>
      <c r="E63" s="26">
        <v>7.9850000000000003</v>
      </c>
      <c r="F63" s="16">
        <v>13.536</v>
      </c>
      <c r="G63" s="16">
        <v>10.82</v>
      </c>
      <c r="H63" s="16">
        <v>10.670999999999999</v>
      </c>
      <c r="I63" s="57">
        <v>102.523</v>
      </c>
      <c r="J63" s="58">
        <v>943</v>
      </c>
      <c r="K63" s="59">
        <f>IF(ISBLANK(J63),"",(J63-$J$8))</f>
        <v>464</v>
      </c>
      <c r="L63" s="19"/>
      <c r="M63" s="19"/>
      <c r="N63" s="19"/>
      <c r="O63" s="19">
        <f t="shared" si="6"/>
        <v>-5.0000000000007816</v>
      </c>
      <c r="P63" s="19">
        <f t="shared" si="7"/>
        <v>-6.9999999999996732</v>
      </c>
      <c r="Q63" s="19">
        <f t="shared" si="8"/>
        <v>-3.0000000000010019</v>
      </c>
      <c r="R63" s="19">
        <f t="shared" si="11"/>
        <v>-8.0000000000097771</v>
      </c>
      <c r="S63" s="27"/>
      <c r="T63" s="28"/>
      <c r="U63" s="28"/>
      <c r="V63" s="28">
        <f t="shared" si="9"/>
        <v>0</v>
      </c>
      <c r="W63" s="28">
        <f t="shared" si="9"/>
        <v>1.0869565217385279E-2</v>
      </c>
      <c r="X63" s="29">
        <f t="shared" si="9"/>
        <v>0</v>
      </c>
      <c r="Y63" s="24"/>
    </row>
    <row r="64" spans="2:25" ht="15" customHeight="1" x14ac:dyDescent="0.2">
      <c r="B64" s="31">
        <v>42109</v>
      </c>
      <c r="C64" s="25"/>
      <c r="D64" s="26"/>
      <c r="E64" s="26"/>
      <c r="F64" s="16">
        <v>13.536</v>
      </c>
      <c r="G64" s="16">
        <v>10.82</v>
      </c>
      <c r="H64" s="16">
        <v>10.670999999999999</v>
      </c>
      <c r="I64" s="57">
        <v>102.523</v>
      </c>
      <c r="J64" s="58">
        <v>943</v>
      </c>
      <c r="K64" s="18">
        <f>IF(ISBLANK(J64),"",(J64-$J$8))</f>
        <v>464</v>
      </c>
      <c r="L64" s="19"/>
      <c r="M64" s="19"/>
      <c r="N64" s="19"/>
      <c r="O64" s="19">
        <f t="shared" si="6"/>
        <v>-5.0000000000007816</v>
      </c>
      <c r="P64" s="19">
        <f t="shared" si="7"/>
        <v>-6.9999999999996732</v>
      </c>
      <c r="Q64" s="19">
        <f t="shared" si="8"/>
        <v>-3.0000000000010019</v>
      </c>
      <c r="R64" s="19">
        <f t="shared" si="11"/>
        <v>-8.0000000000097771</v>
      </c>
      <c r="S64" s="27"/>
      <c r="T64" s="28"/>
      <c r="U64" s="28"/>
      <c r="V64" s="28">
        <f t="shared" si="9"/>
        <v>0</v>
      </c>
      <c r="W64" s="28">
        <f t="shared" si="9"/>
        <v>0</v>
      </c>
      <c r="X64" s="29">
        <f t="shared" si="9"/>
        <v>0</v>
      </c>
      <c r="Y64" s="24"/>
    </row>
    <row r="65" spans="2:25" ht="15" customHeight="1" x14ac:dyDescent="0.2">
      <c r="B65" s="31">
        <v>42222</v>
      </c>
      <c r="C65" s="33"/>
      <c r="D65" s="16"/>
      <c r="E65" s="16"/>
      <c r="F65" s="16">
        <v>13.538</v>
      </c>
      <c r="G65" s="16">
        <v>10.819000000000001</v>
      </c>
      <c r="H65" s="16">
        <v>10.672000000000001</v>
      </c>
      <c r="I65" s="16">
        <v>102.52200000000001</v>
      </c>
      <c r="J65" s="32">
        <v>1278</v>
      </c>
      <c r="K65" s="18">
        <f>IF(ISBLANK(J65),"",(J65-$J$8))</f>
        <v>799</v>
      </c>
      <c r="L65" s="19"/>
      <c r="M65" s="19"/>
      <c r="N65" s="19"/>
      <c r="O65" s="19">
        <f t="shared" si="6"/>
        <v>-3.0000000000001137</v>
      </c>
      <c r="P65" s="19">
        <f t="shared" si="7"/>
        <v>-7.9999999999991189</v>
      </c>
      <c r="Q65" s="19">
        <f t="shared" si="8"/>
        <v>-1.9999999999997797</v>
      </c>
      <c r="R65" s="19">
        <f t="shared" si="11"/>
        <v>-9.0000000000003411</v>
      </c>
      <c r="S65" s="27"/>
      <c r="T65" s="28"/>
      <c r="U65" s="28"/>
      <c r="V65" s="28">
        <f t="shared" ref="S65:X80" si="12">IF(F65="","",((F65-F64)*1000)/($B65-$B64))</f>
        <v>1.7699115044253699E-2</v>
      </c>
      <c r="W65" s="28">
        <f t="shared" si="12"/>
        <v>-8.8495575221189896E-3</v>
      </c>
      <c r="X65" s="29">
        <f t="shared" si="12"/>
        <v>8.8495575221347097E-3</v>
      </c>
      <c r="Y65" s="24"/>
    </row>
    <row r="66" spans="2:25" ht="15" customHeight="1" x14ac:dyDescent="0.2">
      <c r="B66" s="31">
        <v>42326</v>
      </c>
      <c r="C66" s="25"/>
      <c r="D66" s="26"/>
      <c r="E66" s="26"/>
      <c r="F66" s="16">
        <v>13.536</v>
      </c>
      <c r="G66" s="16">
        <v>10.819000000000001</v>
      </c>
      <c r="H66" s="16">
        <v>10.67</v>
      </c>
      <c r="I66" s="16">
        <v>102.52</v>
      </c>
      <c r="J66" s="32">
        <v>2248</v>
      </c>
      <c r="K66" s="18">
        <f t="shared" ref="K66:K68" si="13">IF(ISBLANK(J66),"",(J66-$J$8))</f>
        <v>1769</v>
      </c>
      <c r="L66" s="19"/>
      <c r="M66" s="19"/>
      <c r="N66" s="19"/>
      <c r="O66" s="19">
        <f t="shared" si="6"/>
        <v>-5.0000000000007816</v>
      </c>
      <c r="P66" s="19">
        <f t="shared" si="7"/>
        <v>-7.9999999999991189</v>
      </c>
      <c r="Q66" s="19">
        <f t="shared" si="8"/>
        <v>-4.0000000000004476</v>
      </c>
      <c r="R66" s="19">
        <f t="shared" si="11"/>
        <v>-11.000000000009891</v>
      </c>
      <c r="S66" s="27"/>
      <c r="T66" s="28"/>
      <c r="U66" s="28"/>
      <c r="V66" s="28">
        <f t="shared" si="12"/>
        <v>-1.9230769230775654E-2</v>
      </c>
      <c r="W66" s="28">
        <f t="shared" si="12"/>
        <v>0</v>
      </c>
      <c r="X66" s="29">
        <f t="shared" si="12"/>
        <v>-1.9230769230775654E-2</v>
      </c>
      <c r="Y66" s="24"/>
    </row>
    <row r="67" spans="2:25" ht="15" customHeight="1" x14ac:dyDescent="0.2">
      <c r="B67" s="31">
        <v>42416</v>
      </c>
      <c r="C67" s="25">
        <v>13.042999999999999</v>
      </c>
      <c r="D67" s="26">
        <v>8.3989999999999991</v>
      </c>
      <c r="E67" s="26">
        <v>7.9859999999999998</v>
      </c>
      <c r="F67" s="16">
        <v>13.536</v>
      </c>
      <c r="G67" s="16">
        <v>10.818</v>
      </c>
      <c r="H67" s="16">
        <v>10.669</v>
      </c>
      <c r="I67" s="16">
        <v>102.52</v>
      </c>
      <c r="J67" s="58">
        <v>2519</v>
      </c>
      <c r="K67" s="18">
        <f t="shared" si="13"/>
        <v>2040</v>
      </c>
      <c r="L67" s="19"/>
      <c r="M67" s="19"/>
      <c r="N67" s="19"/>
      <c r="O67" s="19">
        <f t="shared" si="6"/>
        <v>-5.0000000000007816</v>
      </c>
      <c r="P67" s="19">
        <f t="shared" si="7"/>
        <v>-9.0000000000003411</v>
      </c>
      <c r="Q67" s="19">
        <f t="shared" si="8"/>
        <v>-4.9999999999998934</v>
      </c>
      <c r="R67" s="19">
        <f t="shared" si="11"/>
        <v>-11.000000000009891</v>
      </c>
      <c r="S67" s="27"/>
      <c r="T67" s="28"/>
      <c r="U67" s="28"/>
      <c r="V67" s="28">
        <f t="shared" si="12"/>
        <v>0</v>
      </c>
      <c r="W67" s="28">
        <f t="shared" si="12"/>
        <v>-1.1111111111124691E-2</v>
      </c>
      <c r="X67" s="29">
        <f t="shared" si="12"/>
        <v>-1.1111111111104953E-2</v>
      </c>
      <c r="Y67" s="24"/>
    </row>
    <row r="68" spans="2:25" ht="15" customHeight="1" x14ac:dyDescent="0.2">
      <c r="B68" s="31">
        <v>42529</v>
      </c>
      <c r="C68" s="25"/>
      <c r="D68" s="26"/>
      <c r="E68" s="26"/>
      <c r="F68" s="16">
        <v>13.534000000000001</v>
      </c>
      <c r="G68" s="16">
        <v>10.817</v>
      </c>
      <c r="H68" s="16">
        <v>10.67</v>
      </c>
      <c r="I68" s="16">
        <v>102.52</v>
      </c>
      <c r="J68" s="58">
        <v>2603</v>
      </c>
      <c r="K68" s="18">
        <f t="shared" si="13"/>
        <v>2124</v>
      </c>
      <c r="L68" s="19"/>
      <c r="M68" s="19"/>
      <c r="N68" s="19"/>
      <c r="O68" s="19">
        <f t="shared" si="6"/>
        <v>-6.9999999999996732</v>
      </c>
      <c r="P68" s="19">
        <f t="shared" si="7"/>
        <v>-9.9999999999997868</v>
      </c>
      <c r="Q68" s="19">
        <f t="shared" si="8"/>
        <v>-4.0000000000004476</v>
      </c>
      <c r="R68" s="19">
        <f t="shared" si="11"/>
        <v>-11.000000000009891</v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>
        <f t="shared" si="12"/>
        <v>-1.7699115044237979E-2</v>
      </c>
      <c r="W68" s="28">
        <f t="shared" si="12"/>
        <v>-8.8495575221189896E-3</v>
      </c>
      <c r="X68" s="29">
        <f t="shared" si="12"/>
        <v>8.8495575221189896E-3</v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94" si="14">IF(ISBLANK(C69),"",(C69-C$16)*1000)</f>
        <v/>
      </c>
      <c r="M69" s="19" t="str">
        <f t="shared" ref="M69:M94" si="15">IF(ISBLANK(D69),"",(D69-D$16)*1000)</f>
        <v/>
      </c>
      <c r="N69" s="19" t="str">
        <f t="shared" ref="N69:N94" si="16">IF(ISBLANK(E69),"",(E69-E$16)*1000)</f>
        <v/>
      </c>
      <c r="O69" s="19" t="str">
        <f t="shared" si="6"/>
        <v/>
      </c>
      <c r="P69" s="19" t="str">
        <f t="shared" si="7"/>
        <v/>
      </c>
      <c r="Q69" s="19" t="str">
        <f t="shared" si="8"/>
        <v/>
      </c>
      <c r="R69" s="19" t="str">
        <f t="shared" si="11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4"/>
        <v/>
      </c>
      <c r="M70" s="19" t="str">
        <f t="shared" si="15"/>
        <v/>
      </c>
      <c r="N70" s="19" t="str">
        <f t="shared" si="16"/>
        <v/>
      </c>
      <c r="O70" s="19" t="str">
        <f t="shared" si="6"/>
        <v/>
      </c>
      <c r="P70" s="19" t="str">
        <f t="shared" si="7"/>
        <v/>
      </c>
      <c r="Q70" s="19" t="str">
        <f t="shared" si="8"/>
        <v/>
      </c>
      <c r="R70" s="19" t="str">
        <f t="shared" si="11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4"/>
        <v/>
      </c>
      <c r="M71" s="19" t="str">
        <f t="shared" si="15"/>
        <v/>
      </c>
      <c r="N71" s="19" t="str">
        <f t="shared" si="16"/>
        <v/>
      </c>
      <c r="O71" s="19" t="str">
        <f t="shared" si="6"/>
        <v/>
      </c>
      <c r="P71" s="19" t="str">
        <f t="shared" si="7"/>
        <v/>
      </c>
      <c r="Q71" s="19" t="str">
        <f t="shared" si="8"/>
        <v/>
      </c>
      <c r="R71" s="19" t="str">
        <f t="shared" si="11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4"/>
        <v/>
      </c>
      <c r="M72" s="19" t="str">
        <f t="shared" si="15"/>
        <v/>
      </c>
      <c r="N72" s="19" t="str">
        <f t="shared" si="16"/>
        <v/>
      </c>
      <c r="O72" s="19" t="str">
        <f t="shared" si="6"/>
        <v/>
      </c>
      <c r="P72" s="19" t="str">
        <f t="shared" si="7"/>
        <v/>
      </c>
      <c r="Q72" s="19" t="str">
        <f t="shared" si="8"/>
        <v/>
      </c>
      <c r="R72" s="19" t="str">
        <f t="shared" si="11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4"/>
        <v/>
      </c>
      <c r="M73" s="19" t="str">
        <f t="shared" si="15"/>
        <v/>
      </c>
      <c r="N73" s="19" t="str">
        <f t="shared" si="16"/>
        <v/>
      </c>
      <c r="O73" s="19" t="str">
        <f t="shared" si="6"/>
        <v/>
      </c>
      <c r="P73" s="19" t="str">
        <f t="shared" si="7"/>
        <v/>
      </c>
      <c r="Q73" s="19" t="str">
        <f t="shared" si="8"/>
        <v/>
      </c>
      <c r="R73" s="19" t="str">
        <f t="shared" si="11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4"/>
        <v/>
      </c>
      <c r="M74" s="19" t="str">
        <f t="shared" si="15"/>
        <v/>
      </c>
      <c r="N74" s="19" t="str">
        <f t="shared" si="16"/>
        <v/>
      </c>
      <c r="O74" s="19" t="str">
        <f t="shared" si="6"/>
        <v/>
      </c>
      <c r="P74" s="19" t="str">
        <f t="shared" si="7"/>
        <v/>
      </c>
      <c r="Q74" s="19" t="str">
        <f t="shared" si="8"/>
        <v/>
      </c>
      <c r="R74" s="19" t="str">
        <f t="shared" si="11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4"/>
        <v/>
      </c>
      <c r="M75" s="19" t="str">
        <f t="shared" si="15"/>
        <v/>
      </c>
      <c r="N75" s="19" t="str">
        <f t="shared" si="16"/>
        <v/>
      </c>
      <c r="O75" s="19" t="str">
        <f t="shared" si="6"/>
        <v/>
      </c>
      <c r="P75" s="19" t="str">
        <f t="shared" si="7"/>
        <v/>
      </c>
      <c r="Q75" s="19" t="str">
        <f t="shared" si="8"/>
        <v/>
      </c>
      <c r="R75" s="19" t="str">
        <f t="shared" si="11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4"/>
        <v/>
      </c>
      <c r="M76" s="19" t="str">
        <f t="shared" si="15"/>
        <v/>
      </c>
      <c r="N76" s="19" t="str">
        <f t="shared" si="16"/>
        <v/>
      </c>
      <c r="O76" s="19" t="str">
        <f t="shared" si="6"/>
        <v/>
      </c>
      <c r="P76" s="19" t="str">
        <f t="shared" si="7"/>
        <v/>
      </c>
      <c r="Q76" s="19" t="str">
        <f t="shared" si="8"/>
        <v/>
      </c>
      <c r="R76" s="19" t="str">
        <f t="shared" si="11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4"/>
        <v/>
      </c>
      <c r="M77" s="19" t="str">
        <f t="shared" si="15"/>
        <v/>
      </c>
      <c r="N77" s="19" t="str">
        <f t="shared" si="16"/>
        <v/>
      </c>
      <c r="O77" s="19" t="str">
        <f t="shared" si="6"/>
        <v/>
      </c>
      <c r="P77" s="19" t="str">
        <f t="shared" si="7"/>
        <v/>
      </c>
      <c r="Q77" s="19" t="str">
        <f t="shared" si="8"/>
        <v/>
      </c>
      <c r="R77" s="19" t="str">
        <f t="shared" si="11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4"/>
        <v/>
      </c>
      <c r="M78" s="19" t="str">
        <f t="shared" si="15"/>
        <v/>
      </c>
      <c r="N78" s="19" t="str">
        <f t="shared" si="16"/>
        <v/>
      </c>
      <c r="O78" s="19" t="str">
        <f t="shared" si="6"/>
        <v/>
      </c>
      <c r="P78" s="19" t="str">
        <f t="shared" si="7"/>
        <v/>
      </c>
      <c r="Q78" s="19" t="str">
        <f t="shared" si="8"/>
        <v/>
      </c>
      <c r="R78" s="19" t="str">
        <f t="shared" si="11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4"/>
        <v/>
      </c>
      <c r="M79" s="19" t="str">
        <f t="shared" si="15"/>
        <v/>
      </c>
      <c r="N79" s="19" t="str">
        <f t="shared" si="16"/>
        <v/>
      </c>
      <c r="O79" s="19" t="str">
        <f t="shared" si="6"/>
        <v/>
      </c>
      <c r="P79" s="19" t="str">
        <f t="shared" si="7"/>
        <v/>
      </c>
      <c r="Q79" s="19" t="str">
        <f t="shared" si="8"/>
        <v/>
      </c>
      <c r="R79" s="19" t="str">
        <f t="shared" si="11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4"/>
        <v/>
      </c>
      <c r="M80" s="19" t="str">
        <f t="shared" si="15"/>
        <v/>
      </c>
      <c r="N80" s="19" t="str">
        <f t="shared" si="16"/>
        <v/>
      </c>
      <c r="O80" s="19" t="str">
        <f t="shared" si="6"/>
        <v/>
      </c>
      <c r="P80" s="19" t="str">
        <f t="shared" si="7"/>
        <v/>
      </c>
      <c r="Q80" s="19" t="str">
        <f t="shared" si="8"/>
        <v/>
      </c>
      <c r="R80" s="19" t="str">
        <f t="shared" si="11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4"/>
        <v/>
      </c>
      <c r="M81" s="19" t="str">
        <f t="shared" si="15"/>
        <v/>
      </c>
      <c r="N81" s="19" t="str">
        <f t="shared" si="16"/>
        <v/>
      </c>
      <c r="O81" s="19" t="str">
        <f t="shared" si="6"/>
        <v/>
      </c>
      <c r="P81" s="19" t="str">
        <f t="shared" si="7"/>
        <v/>
      </c>
      <c r="Q81" s="19" t="str">
        <f t="shared" si="8"/>
        <v/>
      </c>
      <c r="R81" s="19" t="str">
        <f t="shared" si="11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4"/>
        <v/>
      </c>
      <c r="M82" s="19" t="str">
        <f t="shared" si="15"/>
        <v/>
      </c>
      <c r="N82" s="19" t="str">
        <f t="shared" si="16"/>
        <v/>
      </c>
      <c r="O82" s="19" t="str">
        <f t="shared" si="6"/>
        <v/>
      </c>
      <c r="P82" s="19" t="str">
        <f t="shared" si="7"/>
        <v/>
      </c>
      <c r="Q82" s="19" t="str">
        <f t="shared" si="8"/>
        <v/>
      </c>
      <c r="R82" s="19" t="str">
        <f t="shared" si="11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4"/>
        <v/>
      </c>
      <c r="M83" s="19" t="str">
        <f t="shared" si="15"/>
        <v/>
      </c>
      <c r="N83" s="19" t="str">
        <f t="shared" si="16"/>
        <v/>
      </c>
      <c r="O83" s="19" t="str">
        <f t="shared" si="6"/>
        <v/>
      </c>
      <c r="P83" s="19" t="str">
        <f t="shared" si="7"/>
        <v/>
      </c>
      <c r="Q83" s="19" t="str">
        <f t="shared" si="8"/>
        <v/>
      </c>
      <c r="R83" s="19" t="str">
        <f t="shared" si="11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4"/>
        <v/>
      </c>
      <c r="M84" s="19" t="str">
        <f t="shared" si="15"/>
        <v/>
      </c>
      <c r="N84" s="19" t="str">
        <f t="shared" si="16"/>
        <v/>
      </c>
      <c r="O84" s="19" t="str">
        <f t="shared" si="6"/>
        <v/>
      </c>
      <c r="P84" s="19" t="str">
        <f t="shared" si="7"/>
        <v/>
      </c>
      <c r="Q84" s="19" t="str">
        <f t="shared" si="8"/>
        <v/>
      </c>
      <c r="R84" s="19" t="str">
        <f t="shared" si="11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4"/>
        <v/>
      </c>
      <c r="M85" s="19" t="str">
        <f t="shared" si="15"/>
        <v/>
      </c>
      <c r="N85" s="19" t="str">
        <f t="shared" si="16"/>
        <v/>
      </c>
      <c r="O85" s="19" t="str">
        <f t="shared" si="6"/>
        <v/>
      </c>
      <c r="P85" s="19" t="str">
        <f t="shared" si="7"/>
        <v/>
      </c>
      <c r="Q85" s="19" t="str">
        <f t="shared" si="8"/>
        <v/>
      </c>
      <c r="R85" s="19" t="str">
        <f t="shared" si="11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4"/>
        <v/>
      </c>
      <c r="M86" s="19" t="str">
        <f t="shared" si="15"/>
        <v/>
      </c>
      <c r="N86" s="19" t="str">
        <f t="shared" si="16"/>
        <v/>
      </c>
      <c r="O86" s="19" t="str">
        <f t="shared" si="6"/>
        <v/>
      </c>
      <c r="P86" s="19" t="str">
        <f t="shared" si="7"/>
        <v/>
      </c>
      <c r="Q86" s="19" t="str">
        <f t="shared" si="8"/>
        <v/>
      </c>
      <c r="R86" s="19" t="str">
        <f t="shared" si="11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4"/>
        <v/>
      </c>
      <c r="M87" s="19" t="str">
        <f t="shared" si="15"/>
        <v/>
      </c>
      <c r="N87" s="19" t="str">
        <f t="shared" si="16"/>
        <v/>
      </c>
      <c r="O87" s="19" t="str">
        <f t="shared" si="6"/>
        <v/>
      </c>
      <c r="P87" s="19" t="str">
        <f t="shared" si="7"/>
        <v/>
      </c>
      <c r="Q87" s="19" t="str">
        <f t="shared" si="8"/>
        <v/>
      </c>
      <c r="R87" s="19" t="str">
        <f t="shared" si="11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4"/>
        <v/>
      </c>
      <c r="M88" s="19" t="str">
        <f t="shared" si="15"/>
        <v/>
      </c>
      <c r="N88" s="19" t="str">
        <f t="shared" si="16"/>
        <v/>
      </c>
      <c r="O88" s="19" t="str">
        <f t="shared" si="6"/>
        <v/>
      </c>
      <c r="P88" s="19" t="str">
        <f t="shared" si="7"/>
        <v/>
      </c>
      <c r="Q88" s="19" t="str">
        <f t="shared" si="8"/>
        <v/>
      </c>
      <c r="R88" s="19" t="str">
        <f t="shared" si="11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4"/>
        <v/>
      </c>
      <c r="M89" s="19" t="str">
        <f t="shared" si="15"/>
        <v/>
      </c>
      <c r="N89" s="19" t="str">
        <f t="shared" si="16"/>
        <v/>
      </c>
      <c r="O89" s="19" t="str">
        <f t="shared" si="6"/>
        <v/>
      </c>
      <c r="P89" s="19" t="str">
        <f t="shared" si="7"/>
        <v/>
      </c>
      <c r="Q89" s="19" t="str">
        <f t="shared" si="8"/>
        <v/>
      </c>
      <c r="R89" s="19" t="str">
        <f t="shared" si="11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4"/>
        <v/>
      </c>
      <c r="M90" s="19" t="str">
        <f t="shared" si="15"/>
        <v/>
      </c>
      <c r="N90" s="19" t="str">
        <f t="shared" si="16"/>
        <v/>
      </c>
      <c r="O90" s="19" t="str">
        <f t="shared" si="6"/>
        <v/>
      </c>
      <c r="P90" s="19" t="str">
        <f t="shared" si="7"/>
        <v/>
      </c>
      <c r="Q90" s="19" t="str">
        <f t="shared" si="8"/>
        <v/>
      </c>
      <c r="R90" s="19" t="str">
        <f t="shared" si="11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4"/>
        <v/>
      </c>
      <c r="M91" s="19" t="str">
        <f t="shared" si="15"/>
        <v/>
      </c>
      <c r="N91" s="19" t="str">
        <f t="shared" si="16"/>
        <v/>
      </c>
      <c r="O91" s="19" t="str">
        <f t="shared" si="6"/>
        <v/>
      </c>
      <c r="P91" s="19" t="str">
        <f t="shared" si="7"/>
        <v/>
      </c>
      <c r="Q91" s="19" t="str">
        <f t="shared" si="8"/>
        <v/>
      </c>
      <c r="R91" s="19" t="str">
        <f t="shared" si="11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4"/>
        <v/>
      </c>
      <c r="M92" s="19" t="str">
        <f t="shared" si="15"/>
        <v/>
      </c>
      <c r="N92" s="19" t="str">
        <f t="shared" si="16"/>
        <v/>
      </c>
      <c r="O92" s="19" t="str">
        <f t="shared" si="6"/>
        <v/>
      </c>
      <c r="P92" s="19" t="str">
        <f t="shared" si="7"/>
        <v/>
      </c>
      <c r="Q92" s="19" t="str">
        <f t="shared" si="8"/>
        <v/>
      </c>
      <c r="R92" s="19" t="str">
        <f t="shared" si="11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4"/>
        <v/>
      </c>
      <c r="M93" s="19" t="str">
        <f t="shared" si="15"/>
        <v/>
      </c>
      <c r="N93" s="19" t="str">
        <f t="shared" si="16"/>
        <v/>
      </c>
      <c r="O93" s="19" t="str">
        <f t="shared" si="6"/>
        <v/>
      </c>
      <c r="P93" s="19" t="str">
        <f t="shared" si="7"/>
        <v/>
      </c>
      <c r="Q93" s="19" t="str">
        <f t="shared" si="8"/>
        <v/>
      </c>
      <c r="R93" s="19" t="str">
        <f t="shared" si="11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4"/>
        <v/>
      </c>
      <c r="M94" s="19" t="str">
        <f t="shared" si="15"/>
        <v/>
      </c>
      <c r="N94" s="19" t="str">
        <f t="shared" si="16"/>
        <v/>
      </c>
      <c r="O94" s="19" t="str">
        <f t="shared" si="6"/>
        <v/>
      </c>
      <c r="P94" s="19" t="str">
        <f t="shared" si="7"/>
        <v/>
      </c>
      <c r="Q94" s="19" t="str">
        <f t="shared" si="8"/>
        <v/>
      </c>
      <c r="R94" s="19" t="str">
        <f t="shared" ref="R94:R116" si="18">IF(ISBLANK(I94),"",(I94-I$16)*1000)</f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16" si="19">IF(ISBLANK(C95),"",(C95-C$16)*1000)</f>
        <v/>
      </c>
      <c r="M95" s="19" t="str">
        <f t="shared" ref="M95:M116" si="20">IF(ISBLANK(D95),"",(D95-D$16)*1000)</f>
        <v/>
      </c>
      <c r="N95" s="19" t="str">
        <f t="shared" ref="N95:N116" si="21">IF(ISBLANK(E95),"",(E95-E$16)*1000)</f>
        <v/>
      </c>
      <c r="O95" s="19" t="str">
        <f t="shared" si="6"/>
        <v/>
      </c>
      <c r="P95" s="19" t="str">
        <f t="shared" si="7"/>
        <v/>
      </c>
      <c r="Q95" s="19" t="str">
        <f t="shared" si="8"/>
        <v/>
      </c>
      <c r="R95" s="19" t="str">
        <f t="shared" si="18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9"/>
        <v/>
      </c>
      <c r="M96" s="19" t="str">
        <f t="shared" si="20"/>
        <v/>
      </c>
      <c r="N96" s="19" t="str">
        <f t="shared" si="21"/>
        <v/>
      </c>
      <c r="O96" s="19" t="str">
        <f t="shared" si="6"/>
        <v/>
      </c>
      <c r="P96" s="19" t="str">
        <f t="shared" si="7"/>
        <v/>
      </c>
      <c r="Q96" s="19" t="str">
        <f t="shared" si="8"/>
        <v/>
      </c>
      <c r="R96" s="19" t="str">
        <f t="shared" si="18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9"/>
        <v/>
      </c>
      <c r="M97" s="19" t="str">
        <f t="shared" si="20"/>
        <v/>
      </c>
      <c r="N97" s="19" t="str">
        <f t="shared" si="21"/>
        <v/>
      </c>
      <c r="O97" s="19" t="str">
        <f t="shared" si="6"/>
        <v/>
      </c>
      <c r="P97" s="19" t="str">
        <f t="shared" si="7"/>
        <v/>
      </c>
      <c r="Q97" s="19" t="str">
        <f t="shared" si="8"/>
        <v/>
      </c>
      <c r="R97" s="19" t="str">
        <f t="shared" si="18"/>
        <v/>
      </c>
      <c r="S97" s="27" t="str">
        <f t="shared" ref="S97:X112" si="22">IF(C97="","",((C97-C96)*1000)/($B97-$B96))</f>
        <v/>
      </c>
      <c r="T97" s="28" t="str">
        <f t="shared" si="22"/>
        <v/>
      </c>
      <c r="U97" s="28" t="str">
        <f t="shared" si="22"/>
        <v/>
      </c>
      <c r="V97" s="28" t="str">
        <f t="shared" si="22"/>
        <v/>
      </c>
      <c r="W97" s="28" t="str">
        <f t="shared" si="22"/>
        <v/>
      </c>
      <c r="X97" s="29" t="str">
        <f t="shared" si="22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9"/>
        <v/>
      </c>
      <c r="M98" s="19" t="str">
        <f t="shared" si="20"/>
        <v/>
      </c>
      <c r="N98" s="19" t="str">
        <f t="shared" si="21"/>
        <v/>
      </c>
      <c r="O98" s="19" t="str">
        <f t="shared" si="6"/>
        <v/>
      </c>
      <c r="P98" s="19" t="str">
        <f t="shared" si="7"/>
        <v/>
      </c>
      <c r="Q98" s="19" t="str">
        <f t="shared" si="8"/>
        <v/>
      </c>
      <c r="R98" s="19" t="str">
        <f t="shared" si="18"/>
        <v/>
      </c>
      <c r="S98" s="27" t="str">
        <f t="shared" si="22"/>
        <v/>
      </c>
      <c r="T98" s="28" t="str">
        <f t="shared" si="22"/>
        <v/>
      </c>
      <c r="U98" s="28" t="str">
        <f t="shared" si="22"/>
        <v/>
      </c>
      <c r="V98" s="28" t="str">
        <f t="shared" si="22"/>
        <v/>
      </c>
      <c r="W98" s="28" t="str">
        <f t="shared" si="22"/>
        <v/>
      </c>
      <c r="X98" s="29" t="str">
        <f t="shared" si="22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9"/>
        <v/>
      </c>
      <c r="M99" s="19" t="str">
        <f t="shared" si="20"/>
        <v/>
      </c>
      <c r="N99" s="19" t="str">
        <f t="shared" si="21"/>
        <v/>
      </c>
      <c r="O99" s="19" t="str">
        <f t="shared" si="6"/>
        <v/>
      </c>
      <c r="P99" s="19" t="str">
        <f t="shared" si="7"/>
        <v/>
      </c>
      <c r="Q99" s="19" t="str">
        <f t="shared" si="8"/>
        <v/>
      </c>
      <c r="R99" s="19" t="str">
        <f t="shared" si="18"/>
        <v/>
      </c>
      <c r="S99" s="27" t="str">
        <f t="shared" si="22"/>
        <v/>
      </c>
      <c r="T99" s="28" t="str">
        <f t="shared" si="22"/>
        <v/>
      </c>
      <c r="U99" s="28" t="str">
        <f t="shared" si="22"/>
        <v/>
      </c>
      <c r="V99" s="28" t="str">
        <f t="shared" si="22"/>
        <v/>
      </c>
      <c r="W99" s="28" t="str">
        <f t="shared" si="22"/>
        <v/>
      </c>
      <c r="X99" s="29" t="str">
        <f t="shared" si="22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6"/>
        <v/>
      </c>
      <c r="P100" s="19" t="str">
        <f t="shared" si="7"/>
        <v/>
      </c>
      <c r="Q100" s="19" t="str">
        <f t="shared" si="8"/>
        <v/>
      </c>
      <c r="R100" s="19" t="str">
        <f t="shared" si="18"/>
        <v/>
      </c>
      <c r="S100" s="27" t="str">
        <f t="shared" si="22"/>
        <v/>
      </c>
      <c r="T100" s="28" t="str">
        <f t="shared" si="22"/>
        <v/>
      </c>
      <c r="U100" s="28" t="str">
        <f t="shared" si="22"/>
        <v/>
      </c>
      <c r="V100" s="28" t="str">
        <f t="shared" si="22"/>
        <v/>
      </c>
      <c r="W100" s="28" t="str">
        <f t="shared" si="22"/>
        <v/>
      </c>
      <c r="X100" s="29" t="str">
        <f t="shared" si="22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6"/>
        <v/>
      </c>
      <c r="P101" s="19" t="str">
        <f t="shared" si="7"/>
        <v/>
      </c>
      <c r="Q101" s="19" t="str">
        <f t="shared" si="8"/>
        <v/>
      </c>
      <c r="R101" s="19" t="str">
        <f t="shared" si="18"/>
        <v/>
      </c>
      <c r="S101" s="27" t="str">
        <f t="shared" si="22"/>
        <v/>
      </c>
      <c r="T101" s="28" t="str">
        <f t="shared" si="22"/>
        <v/>
      </c>
      <c r="U101" s="28" t="str">
        <f t="shared" si="22"/>
        <v/>
      </c>
      <c r="V101" s="28" t="str">
        <f t="shared" si="22"/>
        <v/>
      </c>
      <c r="W101" s="28" t="str">
        <f t="shared" si="22"/>
        <v/>
      </c>
      <c r="X101" s="29" t="str">
        <f t="shared" si="22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6"/>
        <v/>
      </c>
      <c r="P102" s="19" t="str">
        <f t="shared" si="7"/>
        <v/>
      </c>
      <c r="Q102" s="19" t="str">
        <f t="shared" si="8"/>
        <v/>
      </c>
      <c r="R102" s="19" t="str">
        <f t="shared" si="18"/>
        <v/>
      </c>
      <c r="S102" s="27" t="str">
        <f t="shared" si="22"/>
        <v/>
      </c>
      <c r="T102" s="28" t="str">
        <f t="shared" si="22"/>
        <v/>
      </c>
      <c r="U102" s="28" t="str">
        <f t="shared" si="22"/>
        <v/>
      </c>
      <c r="V102" s="28" t="str">
        <f t="shared" si="22"/>
        <v/>
      </c>
      <c r="W102" s="28" t="str">
        <f t="shared" si="22"/>
        <v/>
      </c>
      <c r="X102" s="29" t="str">
        <f t="shared" si="22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6"/>
        <v/>
      </c>
      <c r="P103" s="19" t="str">
        <f t="shared" si="7"/>
        <v/>
      </c>
      <c r="Q103" s="19" t="str">
        <f t="shared" si="8"/>
        <v/>
      </c>
      <c r="R103" s="19" t="str">
        <f t="shared" si="18"/>
        <v/>
      </c>
      <c r="S103" s="27" t="str">
        <f t="shared" si="22"/>
        <v/>
      </c>
      <c r="T103" s="28" t="str">
        <f t="shared" si="22"/>
        <v/>
      </c>
      <c r="U103" s="28" t="str">
        <f t="shared" si="22"/>
        <v/>
      </c>
      <c r="V103" s="28" t="str">
        <f t="shared" si="22"/>
        <v/>
      </c>
      <c r="W103" s="28" t="str">
        <f t="shared" si="22"/>
        <v/>
      </c>
      <c r="X103" s="29" t="str">
        <f t="shared" si="22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ref="O104:O153" si="23">IF(ISBLANK(F104),"",((F104-F$39)*1000)+L$39)</f>
        <v/>
      </c>
      <c r="P104" s="19" t="str">
        <f t="shared" ref="P104:P153" si="24">IF(ISBLANK(G104),"",((G104-G$39)*1000)+M$39)</f>
        <v/>
      </c>
      <c r="Q104" s="19" t="str">
        <f t="shared" ref="Q104:Q153" si="25">IF(ISBLANK(H104),"",((H104-H$39)*1000)+N$39)</f>
        <v/>
      </c>
      <c r="R104" s="19" t="str">
        <f t="shared" si="18"/>
        <v/>
      </c>
      <c r="S104" s="27" t="str">
        <f t="shared" si="22"/>
        <v/>
      </c>
      <c r="T104" s="28" t="str">
        <f t="shared" si="22"/>
        <v/>
      </c>
      <c r="U104" s="28" t="str">
        <f t="shared" si="22"/>
        <v/>
      </c>
      <c r="V104" s="28" t="str">
        <f t="shared" si="22"/>
        <v/>
      </c>
      <c r="W104" s="28" t="str">
        <f t="shared" si="22"/>
        <v/>
      </c>
      <c r="X104" s="29" t="str">
        <f t="shared" si="22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3"/>
        <v/>
      </c>
      <c r="P105" s="19" t="str">
        <f t="shared" si="24"/>
        <v/>
      </c>
      <c r="Q105" s="19" t="str">
        <f t="shared" si="25"/>
        <v/>
      </c>
      <c r="R105" s="19" t="str">
        <f t="shared" si="18"/>
        <v/>
      </c>
      <c r="S105" s="27" t="str">
        <f t="shared" si="22"/>
        <v/>
      </c>
      <c r="T105" s="28" t="str">
        <f t="shared" si="22"/>
        <v/>
      </c>
      <c r="U105" s="28" t="str">
        <f t="shared" si="22"/>
        <v/>
      </c>
      <c r="V105" s="28" t="str">
        <f t="shared" si="22"/>
        <v/>
      </c>
      <c r="W105" s="28" t="str">
        <f t="shared" si="22"/>
        <v/>
      </c>
      <c r="X105" s="29" t="str">
        <f t="shared" si="22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3"/>
        <v/>
      </c>
      <c r="P106" s="19" t="str">
        <f t="shared" si="24"/>
        <v/>
      </c>
      <c r="Q106" s="19" t="str">
        <f t="shared" si="25"/>
        <v/>
      </c>
      <c r="R106" s="19" t="str">
        <f t="shared" si="18"/>
        <v/>
      </c>
      <c r="S106" s="27" t="str">
        <f t="shared" si="22"/>
        <v/>
      </c>
      <c r="T106" s="28" t="str">
        <f t="shared" si="22"/>
        <v/>
      </c>
      <c r="U106" s="28" t="str">
        <f t="shared" si="22"/>
        <v/>
      </c>
      <c r="V106" s="28" t="str">
        <f t="shared" si="22"/>
        <v/>
      </c>
      <c r="W106" s="28" t="str">
        <f t="shared" si="22"/>
        <v/>
      </c>
      <c r="X106" s="29" t="str">
        <f t="shared" si="22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3"/>
        <v/>
      </c>
      <c r="P107" s="19" t="str">
        <f t="shared" si="24"/>
        <v/>
      </c>
      <c r="Q107" s="19" t="str">
        <f t="shared" si="25"/>
        <v/>
      </c>
      <c r="R107" s="19" t="str">
        <f t="shared" si="18"/>
        <v/>
      </c>
      <c r="S107" s="27" t="str">
        <f t="shared" si="22"/>
        <v/>
      </c>
      <c r="T107" s="28" t="str">
        <f t="shared" si="22"/>
        <v/>
      </c>
      <c r="U107" s="28" t="str">
        <f t="shared" si="22"/>
        <v/>
      </c>
      <c r="V107" s="28" t="str">
        <f t="shared" si="22"/>
        <v/>
      </c>
      <c r="W107" s="28" t="str">
        <f t="shared" si="22"/>
        <v/>
      </c>
      <c r="X107" s="29" t="str">
        <f t="shared" si="22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3"/>
        <v/>
      </c>
      <c r="P108" s="19" t="str">
        <f t="shared" si="24"/>
        <v/>
      </c>
      <c r="Q108" s="19" t="str">
        <f t="shared" si="25"/>
        <v/>
      </c>
      <c r="R108" s="19" t="str">
        <f t="shared" si="18"/>
        <v/>
      </c>
      <c r="S108" s="27" t="str">
        <f t="shared" si="22"/>
        <v/>
      </c>
      <c r="T108" s="28" t="str">
        <f t="shared" si="22"/>
        <v/>
      </c>
      <c r="U108" s="28" t="str">
        <f t="shared" si="22"/>
        <v/>
      </c>
      <c r="V108" s="28" t="str">
        <f t="shared" si="22"/>
        <v/>
      </c>
      <c r="W108" s="28" t="str">
        <f t="shared" si="22"/>
        <v/>
      </c>
      <c r="X108" s="29" t="str">
        <f t="shared" si="22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3"/>
        <v/>
      </c>
      <c r="P109" s="19" t="str">
        <f t="shared" si="24"/>
        <v/>
      </c>
      <c r="Q109" s="19" t="str">
        <f t="shared" si="25"/>
        <v/>
      </c>
      <c r="R109" s="19" t="str">
        <f t="shared" si="18"/>
        <v/>
      </c>
      <c r="S109" s="27" t="str">
        <f t="shared" si="22"/>
        <v/>
      </c>
      <c r="T109" s="28" t="str">
        <f t="shared" si="22"/>
        <v/>
      </c>
      <c r="U109" s="28" t="str">
        <f t="shared" si="22"/>
        <v/>
      </c>
      <c r="V109" s="28" t="str">
        <f t="shared" si="22"/>
        <v/>
      </c>
      <c r="W109" s="28" t="str">
        <f t="shared" si="22"/>
        <v/>
      </c>
      <c r="X109" s="29" t="str">
        <f t="shared" si="22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3"/>
        <v/>
      </c>
      <c r="P110" s="19" t="str">
        <f t="shared" si="24"/>
        <v/>
      </c>
      <c r="Q110" s="19" t="str">
        <f t="shared" si="25"/>
        <v/>
      </c>
      <c r="R110" s="19" t="str">
        <f t="shared" si="18"/>
        <v/>
      </c>
      <c r="S110" s="27" t="str">
        <f t="shared" si="22"/>
        <v/>
      </c>
      <c r="T110" s="28" t="str">
        <f t="shared" si="22"/>
        <v/>
      </c>
      <c r="U110" s="28" t="str">
        <f t="shared" si="22"/>
        <v/>
      </c>
      <c r="V110" s="28" t="str">
        <f t="shared" si="22"/>
        <v/>
      </c>
      <c r="W110" s="28" t="str">
        <f t="shared" si="22"/>
        <v/>
      </c>
      <c r="X110" s="29" t="str">
        <f t="shared" si="22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3"/>
        <v/>
      </c>
      <c r="P111" s="19" t="str">
        <f t="shared" si="24"/>
        <v/>
      </c>
      <c r="Q111" s="19" t="str">
        <f t="shared" si="25"/>
        <v/>
      </c>
      <c r="R111" s="19" t="str">
        <f t="shared" si="18"/>
        <v/>
      </c>
      <c r="S111" s="27" t="str">
        <f t="shared" si="22"/>
        <v/>
      </c>
      <c r="T111" s="28" t="str">
        <f t="shared" si="22"/>
        <v/>
      </c>
      <c r="U111" s="28" t="str">
        <f t="shared" si="22"/>
        <v/>
      </c>
      <c r="V111" s="28" t="str">
        <f t="shared" si="22"/>
        <v/>
      </c>
      <c r="W111" s="28" t="str">
        <f t="shared" si="22"/>
        <v/>
      </c>
      <c r="X111" s="29" t="str">
        <f t="shared" si="22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3"/>
        <v/>
      </c>
      <c r="P112" s="19" t="str">
        <f t="shared" si="24"/>
        <v/>
      </c>
      <c r="Q112" s="19" t="str">
        <f t="shared" si="25"/>
        <v/>
      </c>
      <c r="R112" s="19" t="str">
        <f t="shared" si="18"/>
        <v/>
      </c>
      <c r="S112" s="27" t="str">
        <f t="shared" si="22"/>
        <v/>
      </c>
      <c r="T112" s="28" t="str">
        <f t="shared" si="22"/>
        <v/>
      </c>
      <c r="U112" s="28" t="str">
        <f t="shared" si="22"/>
        <v/>
      </c>
      <c r="V112" s="28" t="str">
        <f t="shared" si="22"/>
        <v/>
      </c>
      <c r="W112" s="28" t="str">
        <f t="shared" si="22"/>
        <v/>
      </c>
      <c r="X112" s="29" t="str">
        <f t="shared" si="22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3"/>
        <v/>
      </c>
      <c r="P113" s="19" t="str">
        <f t="shared" si="24"/>
        <v/>
      </c>
      <c r="Q113" s="19" t="str">
        <f t="shared" si="25"/>
        <v/>
      </c>
      <c r="R113" s="19" t="str">
        <f t="shared" si="18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3"/>
        <v/>
      </c>
      <c r="P114" s="19" t="str">
        <f t="shared" si="24"/>
        <v/>
      </c>
      <c r="Q114" s="19" t="str">
        <f t="shared" si="25"/>
        <v/>
      </c>
      <c r="R114" s="19" t="str">
        <f t="shared" si="18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3"/>
        <v/>
      </c>
      <c r="P115" s="19" t="str">
        <f t="shared" si="24"/>
        <v/>
      </c>
      <c r="Q115" s="19" t="str">
        <f t="shared" si="25"/>
        <v/>
      </c>
      <c r="R115" s="19" t="str">
        <f t="shared" si="18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3"/>
        <v/>
      </c>
      <c r="P116" s="19" t="str">
        <f t="shared" si="24"/>
        <v/>
      </c>
      <c r="Q116" s="19" t="str">
        <f t="shared" si="25"/>
        <v/>
      </c>
      <c r="R116" s="19" t="str">
        <f t="shared" si="18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>IF(ISBLANK(C117),"",(C117-C$16)*1000)</f>
        <v/>
      </c>
      <c r="M117" s="19" t="str">
        <f t="shared" ref="M117:R153" si="27">IF(ISBLANK(D117),"",(D117-D$16)*1000)</f>
        <v/>
      </c>
      <c r="N117" s="19" t="str">
        <f t="shared" si="27"/>
        <v/>
      </c>
      <c r="O117" s="19" t="str">
        <f t="shared" si="23"/>
        <v/>
      </c>
      <c r="P117" s="19" t="str">
        <f t="shared" si="24"/>
        <v/>
      </c>
      <c r="Q117" s="19" t="str">
        <f t="shared" si="25"/>
        <v/>
      </c>
      <c r="R117" s="19" t="str">
        <f t="shared" si="27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8">IF(ISBLANK(C118),"",(C118-C$16)*1000)</f>
        <v/>
      </c>
      <c r="M118" s="19" t="str">
        <f t="shared" si="27"/>
        <v/>
      </c>
      <c r="N118" s="19" t="str">
        <f t="shared" si="27"/>
        <v/>
      </c>
      <c r="O118" s="19" t="str">
        <f t="shared" si="23"/>
        <v/>
      </c>
      <c r="P118" s="19" t="str">
        <f t="shared" si="24"/>
        <v/>
      </c>
      <c r="Q118" s="19" t="str">
        <f t="shared" si="25"/>
        <v/>
      </c>
      <c r="R118" s="19" t="str">
        <f t="shared" si="27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27"/>
        <v/>
      </c>
      <c r="N119" s="19" t="str">
        <f t="shared" si="27"/>
        <v/>
      </c>
      <c r="O119" s="19" t="str">
        <f t="shared" si="23"/>
        <v/>
      </c>
      <c r="P119" s="19" t="str">
        <f t="shared" si="24"/>
        <v/>
      </c>
      <c r="Q119" s="19" t="str">
        <f t="shared" si="25"/>
        <v/>
      </c>
      <c r="R119" s="19" t="str">
        <f t="shared" si="27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27"/>
        <v/>
      </c>
      <c r="N120" s="19" t="str">
        <f t="shared" si="27"/>
        <v/>
      </c>
      <c r="O120" s="19" t="str">
        <f t="shared" si="23"/>
        <v/>
      </c>
      <c r="P120" s="19" t="str">
        <f t="shared" si="24"/>
        <v/>
      </c>
      <c r="Q120" s="19" t="str">
        <f t="shared" si="25"/>
        <v/>
      </c>
      <c r="R120" s="19" t="str">
        <f t="shared" si="27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27"/>
        <v/>
      </c>
      <c r="N121" s="19" t="str">
        <f t="shared" si="27"/>
        <v/>
      </c>
      <c r="O121" s="19" t="str">
        <f t="shared" si="23"/>
        <v/>
      </c>
      <c r="P121" s="19" t="str">
        <f t="shared" si="24"/>
        <v/>
      </c>
      <c r="Q121" s="19" t="str">
        <f t="shared" si="25"/>
        <v/>
      </c>
      <c r="R121" s="19" t="str">
        <f t="shared" si="27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27"/>
        <v/>
      </c>
      <c r="N122" s="19" t="str">
        <f t="shared" si="27"/>
        <v/>
      </c>
      <c r="O122" s="19" t="str">
        <f t="shared" si="23"/>
        <v/>
      </c>
      <c r="P122" s="19" t="str">
        <f t="shared" si="24"/>
        <v/>
      </c>
      <c r="Q122" s="19" t="str">
        <f t="shared" si="25"/>
        <v/>
      </c>
      <c r="R122" s="19" t="str">
        <f t="shared" si="27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27"/>
        <v/>
      </c>
      <c r="N123" s="19" t="str">
        <f t="shared" si="27"/>
        <v/>
      </c>
      <c r="O123" s="19" t="str">
        <f t="shared" si="23"/>
        <v/>
      </c>
      <c r="P123" s="19" t="str">
        <f t="shared" si="24"/>
        <v/>
      </c>
      <c r="Q123" s="19" t="str">
        <f t="shared" si="25"/>
        <v/>
      </c>
      <c r="R123" s="19" t="str">
        <f t="shared" si="27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27"/>
        <v/>
      </c>
      <c r="N124" s="19" t="str">
        <f t="shared" si="27"/>
        <v/>
      </c>
      <c r="O124" s="19" t="str">
        <f t="shared" si="23"/>
        <v/>
      </c>
      <c r="P124" s="19" t="str">
        <f t="shared" si="24"/>
        <v/>
      </c>
      <c r="Q124" s="19" t="str">
        <f t="shared" si="25"/>
        <v/>
      </c>
      <c r="R124" s="19" t="str">
        <f t="shared" si="27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27"/>
        <v/>
      </c>
      <c r="N125" s="19" t="str">
        <f t="shared" si="27"/>
        <v/>
      </c>
      <c r="O125" s="19" t="str">
        <f t="shared" si="23"/>
        <v/>
      </c>
      <c r="P125" s="19" t="str">
        <f t="shared" si="24"/>
        <v/>
      </c>
      <c r="Q125" s="19" t="str">
        <f t="shared" si="25"/>
        <v/>
      </c>
      <c r="R125" s="19" t="str">
        <f t="shared" si="27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27"/>
        <v/>
      </c>
      <c r="N126" s="19" t="str">
        <f t="shared" si="27"/>
        <v/>
      </c>
      <c r="O126" s="19" t="str">
        <f t="shared" si="23"/>
        <v/>
      </c>
      <c r="P126" s="19" t="str">
        <f t="shared" si="24"/>
        <v/>
      </c>
      <c r="Q126" s="19" t="str">
        <f t="shared" si="25"/>
        <v/>
      </c>
      <c r="R126" s="19" t="str">
        <f t="shared" si="27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27"/>
        <v/>
      </c>
      <c r="N127" s="19" t="str">
        <f t="shared" si="27"/>
        <v/>
      </c>
      <c r="O127" s="19" t="str">
        <f t="shared" si="23"/>
        <v/>
      </c>
      <c r="P127" s="19" t="str">
        <f t="shared" si="24"/>
        <v/>
      </c>
      <c r="Q127" s="19" t="str">
        <f t="shared" si="25"/>
        <v/>
      </c>
      <c r="R127" s="19" t="str">
        <f t="shared" si="27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27"/>
        <v/>
      </c>
      <c r="N128" s="19" t="str">
        <f t="shared" si="27"/>
        <v/>
      </c>
      <c r="O128" s="19" t="str">
        <f t="shared" si="23"/>
        <v/>
      </c>
      <c r="P128" s="19" t="str">
        <f t="shared" si="24"/>
        <v/>
      </c>
      <c r="Q128" s="19" t="str">
        <f t="shared" si="25"/>
        <v/>
      </c>
      <c r="R128" s="19" t="str">
        <f t="shared" si="27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27"/>
        <v/>
      </c>
      <c r="N129" s="19" t="str">
        <f t="shared" si="27"/>
        <v/>
      </c>
      <c r="O129" s="19" t="str">
        <f t="shared" si="23"/>
        <v/>
      </c>
      <c r="P129" s="19" t="str">
        <f t="shared" si="24"/>
        <v/>
      </c>
      <c r="Q129" s="19" t="str">
        <f t="shared" si="25"/>
        <v/>
      </c>
      <c r="R129" s="19" t="str">
        <f t="shared" si="27"/>
        <v/>
      </c>
      <c r="S129" s="27" t="str">
        <f t="shared" ref="S129:X144" si="29">IF(C129="","",((C129-C128)*1000)/($B129-$B128))</f>
        <v/>
      </c>
      <c r="T129" s="28" t="str">
        <f t="shared" si="29"/>
        <v/>
      </c>
      <c r="U129" s="28" t="str">
        <f t="shared" si="29"/>
        <v/>
      </c>
      <c r="V129" s="28" t="str">
        <f t="shared" si="29"/>
        <v/>
      </c>
      <c r="W129" s="28" t="str">
        <f t="shared" si="29"/>
        <v/>
      </c>
      <c r="X129" s="29" t="str">
        <f t="shared" si="29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27"/>
        <v/>
      </c>
      <c r="N130" s="19" t="str">
        <f t="shared" si="27"/>
        <v/>
      </c>
      <c r="O130" s="19" t="str">
        <f t="shared" si="23"/>
        <v/>
      </c>
      <c r="P130" s="19" t="str">
        <f t="shared" si="24"/>
        <v/>
      </c>
      <c r="Q130" s="19" t="str">
        <f t="shared" si="25"/>
        <v/>
      </c>
      <c r="R130" s="19" t="str">
        <f t="shared" si="27"/>
        <v/>
      </c>
      <c r="S130" s="27" t="str">
        <f t="shared" si="29"/>
        <v/>
      </c>
      <c r="T130" s="28" t="str">
        <f t="shared" si="29"/>
        <v/>
      </c>
      <c r="U130" s="28" t="str">
        <f t="shared" si="29"/>
        <v/>
      </c>
      <c r="V130" s="28" t="str">
        <f t="shared" si="29"/>
        <v/>
      </c>
      <c r="W130" s="28" t="str">
        <f t="shared" si="29"/>
        <v/>
      </c>
      <c r="X130" s="29" t="str">
        <f t="shared" si="29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27"/>
        <v/>
      </c>
      <c r="N131" s="19" t="str">
        <f t="shared" si="27"/>
        <v/>
      </c>
      <c r="O131" s="19" t="str">
        <f t="shared" si="23"/>
        <v/>
      </c>
      <c r="P131" s="19" t="str">
        <f t="shared" si="24"/>
        <v/>
      </c>
      <c r="Q131" s="19" t="str">
        <f t="shared" si="25"/>
        <v/>
      </c>
      <c r="R131" s="19" t="str">
        <f t="shared" si="27"/>
        <v/>
      </c>
      <c r="S131" s="27" t="str">
        <f t="shared" si="29"/>
        <v/>
      </c>
      <c r="T131" s="28" t="str">
        <f t="shared" si="29"/>
        <v/>
      </c>
      <c r="U131" s="28" t="str">
        <f t="shared" si="29"/>
        <v/>
      </c>
      <c r="V131" s="28" t="str">
        <f t="shared" si="29"/>
        <v/>
      </c>
      <c r="W131" s="28" t="str">
        <f t="shared" si="29"/>
        <v/>
      </c>
      <c r="X131" s="29" t="str">
        <f t="shared" si="29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27"/>
        <v/>
      </c>
      <c r="N132" s="19" t="str">
        <f t="shared" si="27"/>
        <v/>
      </c>
      <c r="O132" s="19" t="str">
        <f t="shared" si="23"/>
        <v/>
      </c>
      <c r="P132" s="19" t="str">
        <f t="shared" si="24"/>
        <v/>
      </c>
      <c r="Q132" s="19" t="str">
        <f t="shared" si="25"/>
        <v/>
      </c>
      <c r="R132" s="19" t="str">
        <f t="shared" si="27"/>
        <v/>
      </c>
      <c r="S132" s="27" t="str">
        <f t="shared" si="29"/>
        <v/>
      </c>
      <c r="T132" s="28" t="str">
        <f t="shared" si="29"/>
        <v/>
      </c>
      <c r="U132" s="28" t="str">
        <f t="shared" si="29"/>
        <v/>
      </c>
      <c r="V132" s="28" t="str">
        <f t="shared" si="29"/>
        <v/>
      </c>
      <c r="W132" s="28" t="str">
        <f t="shared" si="29"/>
        <v/>
      </c>
      <c r="X132" s="29" t="str">
        <f t="shared" si="29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8"/>
        <v/>
      </c>
      <c r="M133" s="19" t="str">
        <f t="shared" si="27"/>
        <v/>
      </c>
      <c r="N133" s="19" t="str">
        <f t="shared" si="27"/>
        <v/>
      </c>
      <c r="O133" s="19" t="str">
        <f t="shared" si="23"/>
        <v/>
      </c>
      <c r="P133" s="19" t="str">
        <f t="shared" si="24"/>
        <v/>
      </c>
      <c r="Q133" s="19" t="str">
        <f t="shared" si="25"/>
        <v/>
      </c>
      <c r="R133" s="19" t="str">
        <f t="shared" si="27"/>
        <v/>
      </c>
      <c r="S133" s="27" t="str">
        <f t="shared" si="29"/>
        <v/>
      </c>
      <c r="T133" s="28" t="str">
        <f t="shared" si="29"/>
        <v/>
      </c>
      <c r="U133" s="28" t="str">
        <f t="shared" si="29"/>
        <v/>
      </c>
      <c r="V133" s="28" t="str">
        <f t="shared" si="29"/>
        <v/>
      </c>
      <c r="W133" s="28" t="str">
        <f t="shared" si="29"/>
        <v/>
      </c>
      <c r="X133" s="29" t="str">
        <f t="shared" si="29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8"/>
        <v/>
      </c>
      <c r="M134" s="19" t="str">
        <f t="shared" si="27"/>
        <v/>
      </c>
      <c r="N134" s="19" t="str">
        <f t="shared" si="27"/>
        <v/>
      </c>
      <c r="O134" s="19" t="str">
        <f t="shared" si="23"/>
        <v/>
      </c>
      <c r="P134" s="19" t="str">
        <f t="shared" si="24"/>
        <v/>
      </c>
      <c r="Q134" s="19" t="str">
        <f t="shared" si="25"/>
        <v/>
      </c>
      <c r="R134" s="19" t="str">
        <f t="shared" si="27"/>
        <v/>
      </c>
      <c r="S134" s="27" t="str">
        <f t="shared" si="29"/>
        <v/>
      </c>
      <c r="T134" s="28" t="str">
        <f t="shared" si="29"/>
        <v/>
      </c>
      <c r="U134" s="28" t="str">
        <f t="shared" si="29"/>
        <v/>
      </c>
      <c r="V134" s="28" t="str">
        <f t="shared" si="29"/>
        <v/>
      </c>
      <c r="W134" s="28" t="str">
        <f t="shared" si="29"/>
        <v/>
      </c>
      <c r="X134" s="29" t="str">
        <f t="shared" si="29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8"/>
        <v/>
      </c>
      <c r="M135" s="19" t="str">
        <f t="shared" si="27"/>
        <v/>
      </c>
      <c r="N135" s="19" t="str">
        <f t="shared" si="27"/>
        <v/>
      </c>
      <c r="O135" s="19" t="str">
        <f t="shared" si="23"/>
        <v/>
      </c>
      <c r="P135" s="19" t="str">
        <f t="shared" si="24"/>
        <v/>
      </c>
      <c r="Q135" s="19" t="str">
        <f t="shared" si="25"/>
        <v/>
      </c>
      <c r="R135" s="19" t="str">
        <f t="shared" si="27"/>
        <v/>
      </c>
      <c r="S135" s="27" t="str">
        <f t="shared" si="29"/>
        <v/>
      </c>
      <c r="T135" s="28" t="str">
        <f t="shared" si="29"/>
        <v/>
      </c>
      <c r="U135" s="28" t="str">
        <f t="shared" si="29"/>
        <v/>
      </c>
      <c r="V135" s="28" t="str">
        <f t="shared" si="29"/>
        <v/>
      </c>
      <c r="W135" s="28" t="str">
        <f t="shared" si="29"/>
        <v/>
      </c>
      <c r="X135" s="29" t="str">
        <f t="shared" si="29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8"/>
        <v/>
      </c>
      <c r="M136" s="19" t="str">
        <f t="shared" si="27"/>
        <v/>
      </c>
      <c r="N136" s="19" t="str">
        <f t="shared" si="27"/>
        <v/>
      </c>
      <c r="O136" s="19" t="str">
        <f t="shared" si="23"/>
        <v/>
      </c>
      <c r="P136" s="19" t="str">
        <f t="shared" si="24"/>
        <v/>
      </c>
      <c r="Q136" s="19" t="str">
        <f t="shared" si="25"/>
        <v/>
      </c>
      <c r="R136" s="19" t="str">
        <f t="shared" si="27"/>
        <v/>
      </c>
      <c r="S136" s="27" t="str">
        <f t="shared" si="29"/>
        <v/>
      </c>
      <c r="T136" s="28" t="str">
        <f t="shared" si="29"/>
        <v/>
      </c>
      <c r="U136" s="28" t="str">
        <f t="shared" si="29"/>
        <v/>
      </c>
      <c r="V136" s="28" t="str">
        <f t="shared" si="29"/>
        <v/>
      </c>
      <c r="W136" s="28" t="str">
        <f t="shared" si="29"/>
        <v/>
      </c>
      <c r="X136" s="29" t="str">
        <f t="shared" si="29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8"/>
        <v/>
      </c>
      <c r="M137" s="19" t="str">
        <f t="shared" si="27"/>
        <v/>
      </c>
      <c r="N137" s="19" t="str">
        <f t="shared" si="27"/>
        <v/>
      </c>
      <c r="O137" s="19" t="str">
        <f t="shared" si="23"/>
        <v/>
      </c>
      <c r="P137" s="19" t="str">
        <f t="shared" si="24"/>
        <v/>
      </c>
      <c r="Q137" s="19" t="str">
        <f t="shared" si="25"/>
        <v/>
      </c>
      <c r="R137" s="19" t="str">
        <f t="shared" si="27"/>
        <v/>
      </c>
      <c r="S137" s="27" t="str">
        <f t="shared" si="29"/>
        <v/>
      </c>
      <c r="T137" s="28" t="str">
        <f t="shared" si="29"/>
        <v/>
      </c>
      <c r="U137" s="28" t="str">
        <f t="shared" si="29"/>
        <v/>
      </c>
      <c r="V137" s="28" t="str">
        <f t="shared" si="29"/>
        <v/>
      </c>
      <c r="W137" s="28" t="str">
        <f t="shared" si="29"/>
        <v/>
      </c>
      <c r="X137" s="29" t="str">
        <f t="shared" si="29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8"/>
        <v/>
      </c>
      <c r="M138" s="19" t="str">
        <f t="shared" si="27"/>
        <v/>
      </c>
      <c r="N138" s="19" t="str">
        <f t="shared" si="27"/>
        <v/>
      </c>
      <c r="O138" s="19" t="str">
        <f t="shared" si="23"/>
        <v/>
      </c>
      <c r="P138" s="19" t="str">
        <f t="shared" si="24"/>
        <v/>
      </c>
      <c r="Q138" s="19" t="str">
        <f t="shared" si="25"/>
        <v/>
      </c>
      <c r="R138" s="19" t="str">
        <f t="shared" si="27"/>
        <v/>
      </c>
      <c r="S138" s="27" t="str">
        <f t="shared" si="29"/>
        <v/>
      </c>
      <c r="T138" s="28" t="str">
        <f t="shared" si="29"/>
        <v/>
      </c>
      <c r="U138" s="28" t="str">
        <f t="shared" si="29"/>
        <v/>
      </c>
      <c r="V138" s="28" t="str">
        <f t="shared" si="29"/>
        <v/>
      </c>
      <c r="W138" s="28" t="str">
        <f t="shared" si="29"/>
        <v/>
      </c>
      <c r="X138" s="29" t="str">
        <f t="shared" si="29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8"/>
        <v/>
      </c>
      <c r="M139" s="19" t="str">
        <f t="shared" si="27"/>
        <v/>
      </c>
      <c r="N139" s="19" t="str">
        <f t="shared" si="27"/>
        <v/>
      </c>
      <c r="O139" s="19" t="str">
        <f t="shared" si="23"/>
        <v/>
      </c>
      <c r="P139" s="19" t="str">
        <f t="shared" si="24"/>
        <v/>
      </c>
      <c r="Q139" s="19" t="str">
        <f t="shared" si="25"/>
        <v/>
      </c>
      <c r="R139" s="19" t="str">
        <f t="shared" si="27"/>
        <v/>
      </c>
      <c r="S139" s="27" t="str">
        <f t="shared" si="29"/>
        <v/>
      </c>
      <c r="T139" s="28" t="str">
        <f t="shared" si="29"/>
        <v/>
      </c>
      <c r="U139" s="28" t="str">
        <f t="shared" si="29"/>
        <v/>
      </c>
      <c r="V139" s="28" t="str">
        <f t="shared" si="29"/>
        <v/>
      </c>
      <c r="W139" s="28" t="str">
        <f t="shared" si="29"/>
        <v/>
      </c>
      <c r="X139" s="29" t="str">
        <f t="shared" si="29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8"/>
        <v/>
      </c>
      <c r="M140" s="19" t="str">
        <f t="shared" si="27"/>
        <v/>
      </c>
      <c r="N140" s="19" t="str">
        <f t="shared" si="27"/>
        <v/>
      </c>
      <c r="O140" s="19" t="str">
        <f t="shared" si="23"/>
        <v/>
      </c>
      <c r="P140" s="19" t="str">
        <f t="shared" si="24"/>
        <v/>
      </c>
      <c r="Q140" s="19" t="str">
        <f t="shared" si="25"/>
        <v/>
      </c>
      <c r="R140" s="19" t="str">
        <f t="shared" si="27"/>
        <v/>
      </c>
      <c r="S140" s="27" t="str">
        <f t="shared" si="29"/>
        <v/>
      </c>
      <c r="T140" s="28" t="str">
        <f t="shared" si="29"/>
        <v/>
      </c>
      <c r="U140" s="28" t="str">
        <f t="shared" si="29"/>
        <v/>
      </c>
      <c r="V140" s="28" t="str">
        <f t="shared" si="29"/>
        <v/>
      </c>
      <c r="W140" s="28" t="str">
        <f t="shared" si="29"/>
        <v/>
      </c>
      <c r="X140" s="29" t="str">
        <f t="shared" si="29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8"/>
        <v/>
      </c>
      <c r="M141" s="19" t="str">
        <f t="shared" si="27"/>
        <v/>
      </c>
      <c r="N141" s="19" t="str">
        <f t="shared" si="27"/>
        <v/>
      </c>
      <c r="O141" s="19" t="str">
        <f t="shared" si="23"/>
        <v/>
      </c>
      <c r="P141" s="19" t="str">
        <f t="shared" si="24"/>
        <v/>
      </c>
      <c r="Q141" s="19" t="str">
        <f t="shared" si="25"/>
        <v/>
      </c>
      <c r="R141" s="19" t="str">
        <f t="shared" si="27"/>
        <v/>
      </c>
      <c r="S141" s="27" t="str">
        <f t="shared" si="29"/>
        <v/>
      </c>
      <c r="T141" s="28" t="str">
        <f t="shared" si="29"/>
        <v/>
      </c>
      <c r="U141" s="28" t="str">
        <f t="shared" si="29"/>
        <v/>
      </c>
      <c r="V141" s="28" t="str">
        <f t="shared" si="29"/>
        <v/>
      </c>
      <c r="W141" s="28" t="str">
        <f t="shared" si="29"/>
        <v/>
      </c>
      <c r="X141" s="29" t="str">
        <f t="shared" si="29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8"/>
        <v/>
      </c>
      <c r="M142" s="19" t="str">
        <f t="shared" si="27"/>
        <v/>
      </c>
      <c r="N142" s="19" t="str">
        <f t="shared" si="27"/>
        <v/>
      </c>
      <c r="O142" s="19" t="str">
        <f t="shared" si="23"/>
        <v/>
      </c>
      <c r="P142" s="19" t="str">
        <f t="shared" si="24"/>
        <v/>
      </c>
      <c r="Q142" s="19" t="str">
        <f t="shared" si="25"/>
        <v/>
      </c>
      <c r="R142" s="19" t="str">
        <f t="shared" si="27"/>
        <v/>
      </c>
      <c r="S142" s="27" t="str">
        <f t="shared" si="29"/>
        <v/>
      </c>
      <c r="T142" s="28" t="str">
        <f t="shared" si="29"/>
        <v/>
      </c>
      <c r="U142" s="28" t="str">
        <f t="shared" si="29"/>
        <v/>
      </c>
      <c r="V142" s="28" t="str">
        <f t="shared" si="29"/>
        <v/>
      </c>
      <c r="W142" s="28" t="str">
        <f t="shared" si="29"/>
        <v/>
      </c>
      <c r="X142" s="29" t="str">
        <f t="shared" si="29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8"/>
        <v/>
      </c>
      <c r="M143" s="19" t="str">
        <f t="shared" si="27"/>
        <v/>
      </c>
      <c r="N143" s="19" t="str">
        <f t="shared" si="27"/>
        <v/>
      </c>
      <c r="O143" s="19" t="str">
        <f t="shared" si="23"/>
        <v/>
      </c>
      <c r="P143" s="19" t="str">
        <f t="shared" si="24"/>
        <v/>
      </c>
      <c r="Q143" s="19" t="str">
        <f t="shared" si="25"/>
        <v/>
      </c>
      <c r="R143" s="19" t="str">
        <f t="shared" si="27"/>
        <v/>
      </c>
      <c r="S143" s="27" t="str">
        <f t="shared" si="29"/>
        <v/>
      </c>
      <c r="T143" s="28" t="str">
        <f t="shared" si="29"/>
        <v/>
      </c>
      <c r="U143" s="28" t="str">
        <f t="shared" si="29"/>
        <v/>
      </c>
      <c r="V143" s="28" t="str">
        <f t="shared" si="29"/>
        <v/>
      </c>
      <c r="W143" s="28" t="str">
        <f t="shared" si="29"/>
        <v/>
      </c>
      <c r="X143" s="29" t="str">
        <f t="shared" si="29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8"/>
        <v/>
      </c>
      <c r="M144" s="19" t="str">
        <f t="shared" si="27"/>
        <v/>
      </c>
      <c r="N144" s="19" t="str">
        <f t="shared" si="27"/>
        <v/>
      </c>
      <c r="O144" s="19" t="str">
        <f t="shared" si="23"/>
        <v/>
      </c>
      <c r="P144" s="19" t="str">
        <f t="shared" si="24"/>
        <v/>
      </c>
      <c r="Q144" s="19" t="str">
        <f t="shared" si="25"/>
        <v/>
      </c>
      <c r="R144" s="19" t="str">
        <f t="shared" si="27"/>
        <v/>
      </c>
      <c r="S144" s="27" t="str">
        <f t="shared" si="29"/>
        <v/>
      </c>
      <c r="T144" s="28" t="str">
        <f t="shared" si="29"/>
        <v/>
      </c>
      <c r="U144" s="28" t="str">
        <f t="shared" si="29"/>
        <v/>
      </c>
      <c r="V144" s="28" t="str">
        <f t="shared" si="29"/>
        <v/>
      </c>
      <c r="W144" s="28" t="str">
        <f t="shared" si="29"/>
        <v/>
      </c>
      <c r="X144" s="29" t="str">
        <f t="shared" si="29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8"/>
        <v/>
      </c>
      <c r="M145" s="19" t="str">
        <f t="shared" si="27"/>
        <v/>
      </c>
      <c r="N145" s="19" t="str">
        <f t="shared" si="27"/>
        <v/>
      </c>
      <c r="O145" s="19" t="str">
        <f t="shared" si="23"/>
        <v/>
      </c>
      <c r="P145" s="19" t="str">
        <f t="shared" si="24"/>
        <v/>
      </c>
      <c r="Q145" s="19" t="str">
        <f t="shared" si="25"/>
        <v/>
      </c>
      <c r="R145" s="19" t="str">
        <f t="shared" si="27"/>
        <v/>
      </c>
      <c r="S145" s="27" t="str">
        <f t="shared" ref="S145:X153" si="30">IF(C145="","",((C145-C144)*1000)/($B145-$B144))</f>
        <v/>
      </c>
      <c r="T145" s="28" t="str">
        <f t="shared" si="30"/>
        <v/>
      </c>
      <c r="U145" s="28" t="str">
        <f t="shared" si="30"/>
        <v/>
      </c>
      <c r="V145" s="28" t="str">
        <f t="shared" si="30"/>
        <v/>
      </c>
      <c r="W145" s="28" t="str">
        <f t="shared" si="30"/>
        <v/>
      </c>
      <c r="X145" s="29" t="str">
        <f t="shared" si="3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8"/>
        <v/>
      </c>
      <c r="M146" s="19" t="str">
        <f t="shared" si="27"/>
        <v/>
      </c>
      <c r="N146" s="19" t="str">
        <f t="shared" si="27"/>
        <v/>
      </c>
      <c r="O146" s="19" t="str">
        <f t="shared" si="23"/>
        <v/>
      </c>
      <c r="P146" s="19" t="str">
        <f t="shared" si="24"/>
        <v/>
      </c>
      <c r="Q146" s="19" t="str">
        <f t="shared" si="25"/>
        <v/>
      </c>
      <c r="R146" s="19" t="str">
        <f t="shared" si="27"/>
        <v/>
      </c>
      <c r="S146" s="27" t="str">
        <f t="shared" si="30"/>
        <v/>
      </c>
      <c r="T146" s="28" t="str">
        <f t="shared" si="30"/>
        <v/>
      </c>
      <c r="U146" s="28" t="str">
        <f t="shared" si="30"/>
        <v/>
      </c>
      <c r="V146" s="28" t="str">
        <f t="shared" si="30"/>
        <v/>
      </c>
      <c r="W146" s="28" t="str">
        <f t="shared" si="30"/>
        <v/>
      </c>
      <c r="X146" s="29" t="str">
        <f t="shared" si="3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8"/>
        <v/>
      </c>
      <c r="M147" s="19" t="str">
        <f t="shared" si="27"/>
        <v/>
      </c>
      <c r="N147" s="19" t="str">
        <f t="shared" si="27"/>
        <v/>
      </c>
      <c r="O147" s="19" t="str">
        <f t="shared" si="23"/>
        <v/>
      </c>
      <c r="P147" s="19" t="str">
        <f t="shared" si="24"/>
        <v/>
      </c>
      <c r="Q147" s="19" t="str">
        <f t="shared" si="25"/>
        <v/>
      </c>
      <c r="R147" s="19" t="str">
        <f t="shared" si="27"/>
        <v/>
      </c>
      <c r="S147" s="27" t="str">
        <f t="shared" si="30"/>
        <v/>
      </c>
      <c r="T147" s="28" t="str">
        <f t="shared" si="30"/>
        <v/>
      </c>
      <c r="U147" s="28" t="str">
        <f t="shared" si="30"/>
        <v/>
      </c>
      <c r="V147" s="28" t="str">
        <f t="shared" si="30"/>
        <v/>
      </c>
      <c r="W147" s="28" t="str">
        <f t="shared" si="30"/>
        <v/>
      </c>
      <c r="X147" s="29" t="str">
        <f t="shared" si="3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8"/>
        <v/>
      </c>
      <c r="M148" s="19" t="str">
        <f t="shared" si="27"/>
        <v/>
      </c>
      <c r="N148" s="19" t="str">
        <f t="shared" si="27"/>
        <v/>
      </c>
      <c r="O148" s="19" t="str">
        <f t="shared" si="23"/>
        <v/>
      </c>
      <c r="P148" s="19" t="str">
        <f t="shared" si="24"/>
        <v/>
      </c>
      <c r="Q148" s="19" t="str">
        <f t="shared" si="25"/>
        <v/>
      </c>
      <c r="R148" s="19" t="str">
        <f t="shared" si="27"/>
        <v/>
      </c>
      <c r="S148" s="27" t="str">
        <f t="shared" si="30"/>
        <v/>
      </c>
      <c r="T148" s="28" t="str">
        <f t="shared" si="30"/>
        <v/>
      </c>
      <c r="U148" s="28" t="str">
        <f t="shared" si="30"/>
        <v/>
      </c>
      <c r="V148" s="28" t="str">
        <f t="shared" si="30"/>
        <v/>
      </c>
      <c r="W148" s="28" t="str">
        <f t="shared" si="30"/>
        <v/>
      </c>
      <c r="X148" s="29" t="str">
        <f t="shared" si="3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8"/>
        <v/>
      </c>
      <c r="M149" s="19" t="str">
        <f t="shared" si="27"/>
        <v/>
      </c>
      <c r="N149" s="19" t="str">
        <f t="shared" si="27"/>
        <v/>
      </c>
      <c r="O149" s="19" t="str">
        <f t="shared" si="23"/>
        <v/>
      </c>
      <c r="P149" s="19" t="str">
        <f t="shared" si="24"/>
        <v/>
      </c>
      <c r="Q149" s="19" t="str">
        <f t="shared" si="25"/>
        <v/>
      </c>
      <c r="R149" s="19" t="str">
        <f t="shared" si="27"/>
        <v/>
      </c>
      <c r="S149" s="27" t="str">
        <f t="shared" si="30"/>
        <v/>
      </c>
      <c r="T149" s="28" t="str">
        <f t="shared" si="30"/>
        <v/>
      </c>
      <c r="U149" s="28" t="str">
        <f t="shared" si="30"/>
        <v/>
      </c>
      <c r="V149" s="28" t="str">
        <f t="shared" si="30"/>
        <v/>
      </c>
      <c r="W149" s="28" t="str">
        <f t="shared" si="30"/>
        <v/>
      </c>
      <c r="X149" s="29" t="str">
        <f t="shared" si="3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8"/>
        <v/>
      </c>
      <c r="M150" s="19" t="str">
        <f t="shared" si="27"/>
        <v/>
      </c>
      <c r="N150" s="19" t="str">
        <f t="shared" si="27"/>
        <v/>
      </c>
      <c r="O150" s="19" t="str">
        <f t="shared" si="23"/>
        <v/>
      </c>
      <c r="P150" s="19" t="str">
        <f t="shared" si="24"/>
        <v/>
      </c>
      <c r="Q150" s="19" t="str">
        <f t="shared" si="25"/>
        <v/>
      </c>
      <c r="R150" s="19" t="str">
        <f t="shared" si="27"/>
        <v/>
      </c>
      <c r="S150" s="27" t="str">
        <f t="shared" si="30"/>
        <v/>
      </c>
      <c r="T150" s="28" t="str">
        <f t="shared" si="30"/>
        <v/>
      </c>
      <c r="U150" s="28" t="str">
        <f t="shared" si="30"/>
        <v/>
      </c>
      <c r="V150" s="28" t="str">
        <f t="shared" si="30"/>
        <v/>
      </c>
      <c r="W150" s="28" t="str">
        <f t="shared" si="30"/>
        <v/>
      </c>
      <c r="X150" s="29" t="str">
        <f t="shared" si="3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8"/>
        <v/>
      </c>
      <c r="M151" s="19" t="str">
        <f t="shared" si="27"/>
        <v/>
      </c>
      <c r="N151" s="19" t="str">
        <f t="shared" si="27"/>
        <v/>
      </c>
      <c r="O151" s="19" t="str">
        <f t="shared" si="23"/>
        <v/>
      </c>
      <c r="P151" s="19" t="str">
        <f t="shared" si="24"/>
        <v/>
      </c>
      <c r="Q151" s="19" t="str">
        <f t="shared" si="25"/>
        <v/>
      </c>
      <c r="R151" s="19" t="str">
        <f t="shared" si="27"/>
        <v/>
      </c>
      <c r="S151" s="27" t="str">
        <f t="shared" si="30"/>
        <v/>
      </c>
      <c r="T151" s="28" t="str">
        <f t="shared" si="30"/>
        <v/>
      </c>
      <c r="U151" s="28" t="str">
        <f t="shared" si="30"/>
        <v/>
      </c>
      <c r="V151" s="28" t="str">
        <f t="shared" si="30"/>
        <v/>
      </c>
      <c r="W151" s="28" t="str">
        <f t="shared" si="30"/>
        <v/>
      </c>
      <c r="X151" s="29" t="str">
        <f t="shared" si="3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8"/>
        <v/>
      </c>
      <c r="M152" s="19" t="str">
        <f t="shared" si="27"/>
        <v/>
      </c>
      <c r="N152" s="19" t="str">
        <f t="shared" si="27"/>
        <v/>
      </c>
      <c r="O152" s="19" t="str">
        <f t="shared" si="23"/>
        <v/>
      </c>
      <c r="P152" s="19" t="str">
        <f t="shared" si="24"/>
        <v/>
      </c>
      <c r="Q152" s="19" t="str">
        <f t="shared" si="25"/>
        <v/>
      </c>
      <c r="R152" s="19" t="str">
        <f t="shared" si="27"/>
        <v/>
      </c>
      <c r="S152" s="27" t="str">
        <f t="shared" si="30"/>
        <v/>
      </c>
      <c r="T152" s="28" t="str">
        <f t="shared" si="30"/>
        <v/>
      </c>
      <c r="U152" s="28" t="str">
        <f t="shared" si="30"/>
        <v/>
      </c>
      <c r="V152" s="28" t="str">
        <f t="shared" si="30"/>
        <v/>
      </c>
      <c r="W152" s="28" t="str">
        <f t="shared" si="30"/>
        <v/>
      </c>
      <c r="X152" s="29" t="str">
        <f t="shared" si="3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8"/>
        <v/>
      </c>
      <c r="M153" s="19" t="str">
        <f t="shared" si="27"/>
        <v/>
      </c>
      <c r="N153" s="19" t="str">
        <f t="shared" si="27"/>
        <v/>
      </c>
      <c r="O153" s="19" t="str">
        <f t="shared" si="23"/>
        <v/>
      </c>
      <c r="P153" s="19" t="str">
        <f t="shared" si="24"/>
        <v/>
      </c>
      <c r="Q153" s="19" t="str">
        <f t="shared" si="25"/>
        <v/>
      </c>
      <c r="R153" s="19" t="str">
        <f t="shared" si="27"/>
        <v/>
      </c>
      <c r="S153" s="27" t="str">
        <f t="shared" si="30"/>
        <v/>
      </c>
      <c r="T153" s="28" t="str">
        <f t="shared" si="30"/>
        <v/>
      </c>
      <c r="U153" s="28" t="str">
        <f t="shared" si="30"/>
        <v/>
      </c>
      <c r="V153" s="28" t="str">
        <f t="shared" si="30"/>
        <v/>
      </c>
      <c r="W153" s="28" t="str">
        <f t="shared" si="30"/>
        <v/>
      </c>
      <c r="X153" s="29" t="str">
        <f t="shared" si="30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>
    <pageSetUpPr fitToPage="1"/>
  </sheetPr>
  <dimension ref="A1:AI153"/>
  <sheetViews>
    <sheetView showGridLines="0" zoomScale="75" zoomScaleNormal="75" zoomScaleSheetLayoutView="40" zoomScalePageLayoutView="40" workbookViewId="0">
      <pane ySplit="8" topLeftCell="A51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TZ-20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45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/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/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260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518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46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41695</v>
      </c>
      <c r="C16" s="35">
        <v>13.141</v>
      </c>
      <c r="D16" s="36">
        <v>8.1690000000000005</v>
      </c>
      <c r="E16" s="36">
        <v>8.2789999999999999</v>
      </c>
      <c r="F16" s="37"/>
      <c r="G16" s="37"/>
      <c r="H16" s="37"/>
      <c r="I16" s="56">
        <v>102.875</v>
      </c>
      <c r="J16" s="39">
        <v>530</v>
      </c>
      <c r="K16" s="55">
        <f>IF(ISBLANK(J16),"",(J16-$J$8))</f>
        <v>12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0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41696</v>
      </c>
      <c r="C17" s="25">
        <v>13.141</v>
      </c>
      <c r="D17" s="26">
        <v>8.1679999999999993</v>
      </c>
      <c r="E17" s="26">
        <v>8.2789999999999999</v>
      </c>
      <c r="F17" s="16"/>
      <c r="G17" s="16"/>
      <c r="H17" s="16"/>
      <c r="I17" s="54">
        <v>102.874</v>
      </c>
      <c r="J17" s="32">
        <v>537</v>
      </c>
      <c r="K17" s="18">
        <f>IF(ISBLANK(J17),"",(J17-$J$8))</f>
        <v>19</v>
      </c>
      <c r="L17" s="19">
        <f t="shared" ref="L17:R62" si="1">IF(ISBLANK(C17),"",(C17-C$16)*1000)</f>
        <v>0</v>
      </c>
      <c r="M17" s="19">
        <f t="shared" si="1"/>
        <v>-1.0000000000012221</v>
      </c>
      <c r="N17" s="19">
        <f t="shared" si="1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0"/>
        <v>-1.0000000000047748</v>
      </c>
      <c r="S17" s="27">
        <f t="shared" ref="S17:X32" si="2">IF(C17="","",((C17-C16)*1000)/($B17-$B16))</f>
        <v>0</v>
      </c>
      <c r="T17" s="28">
        <f t="shared" si="2"/>
        <v>-1.0000000000012221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41697</v>
      </c>
      <c r="C18" s="25">
        <v>13.141999999999999</v>
      </c>
      <c r="D18" s="26">
        <v>8.1690000000000005</v>
      </c>
      <c r="E18" s="26">
        <v>8.2789999999999999</v>
      </c>
      <c r="F18" s="47"/>
      <c r="G18" s="47"/>
      <c r="H18" s="47"/>
      <c r="I18" s="26">
        <v>102.874</v>
      </c>
      <c r="J18" s="58">
        <v>547.5</v>
      </c>
      <c r="K18" s="59">
        <f t="shared" ref="K18:K23" si="3">IF(ISBLANK(J18),"",(J18-$J$8))</f>
        <v>29.5</v>
      </c>
      <c r="L18" s="19">
        <f t="shared" si="1"/>
        <v>0.99999999999944578</v>
      </c>
      <c r="M18" s="19">
        <f t="shared" si="1"/>
        <v>0</v>
      </c>
      <c r="N18" s="19">
        <f t="shared" si="1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-1.0000000000047748</v>
      </c>
      <c r="S18" s="27">
        <f t="shared" si="2"/>
        <v>0.99999999999944578</v>
      </c>
      <c r="T18" s="28">
        <f t="shared" si="2"/>
        <v>1.0000000000012221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41698</v>
      </c>
      <c r="C19" s="25">
        <v>13.141</v>
      </c>
      <c r="D19" s="26">
        <v>8.1690000000000005</v>
      </c>
      <c r="E19" s="26">
        <v>8.2789999999999999</v>
      </c>
      <c r="F19" s="47"/>
      <c r="G19" s="47"/>
      <c r="H19" s="47"/>
      <c r="I19" s="26">
        <v>102.874</v>
      </c>
      <c r="J19" s="58">
        <v>552</v>
      </c>
      <c r="K19" s="59">
        <f t="shared" si="3"/>
        <v>34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-1.0000000000047748</v>
      </c>
      <c r="S19" s="27">
        <f t="shared" si="2"/>
        <v>-0.99999999999944578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41701</v>
      </c>
      <c r="C20" s="25">
        <v>13.141</v>
      </c>
      <c r="D20" s="26">
        <v>8.1690000000000005</v>
      </c>
      <c r="E20" s="26">
        <v>8.2789999999999999</v>
      </c>
      <c r="F20" s="47"/>
      <c r="G20" s="47"/>
      <c r="H20" s="47"/>
      <c r="I20" s="26">
        <v>102.874</v>
      </c>
      <c r="J20" s="58">
        <v>555.5</v>
      </c>
      <c r="K20" s="59">
        <f t="shared" si="3"/>
        <v>37.5</v>
      </c>
      <c r="L20" s="19">
        <f t="shared" si="1"/>
        <v>0</v>
      </c>
      <c r="M20" s="19">
        <f t="shared" si="1"/>
        <v>0</v>
      </c>
      <c r="N20" s="19">
        <f t="shared" si="1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-1.0000000000047748</v>
      </c>
      <c r="S20" s="27">
        <f t="shared" si="2"/>
        <v>0</v>
      </c>
      <c r="T20" s="28">
        <f t="shared" si="2"/>
        <v>0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41702</v>
      </c>
      <c r="C21" s="25">
        <v>13.141999999999999</v>
      </c>
      <c r="D21" s="26">
        <v>8.1690000000000005</v>
      </c>
      <c r="E21" s="26">
        <v>8.2780000000000005</v>
      </c>
      <c r="F21" s="47"/>
      <c r="G21" s="47"/>
      <c r="H21" s="47"/>
      <c r="I21" s="26">
        <v>102.874</v>
      </c>
      <c r="J21" s="58">
        <v>559.5</v>
      </c>
      <c r="K21" s="59">
        <f t="shared" si="3"/>
        <v>41.5</v>
      </c>
      <c r="L21" s="19">
        <f t="shared" si="1"/>
        <v>0.99999999999944578</v>
      </c>
      <c r="M21" s="19">
        <f t="shared" si="1"/>
        <v>0</v>
      </c>
      <c r="N21" s="19">
        <f t="shared" si="1"/>
        <v>-0.99999999999944578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-1.0000000000047748</v>
      </c>
      <c r="S21" s="27">
        <f t="shared" si="2"/>
        <v>0.99999999999944578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41703</v>
      </c>
      <c r="C22" s="25">
        <v>13.141</v>
      </c>
      <c r="D22" s="26">
        <v>8.1690000000000005</v>
      </c>
      <c r="E22" s="26">
        <v>8.2789999999999999</v>
      </c>
      <c r="F22" s="47"/>
      <c r="G22" s="47"/>
      <c r="H22" s="47"/>
      <c r="I22" s="26">
        <v>102.873</v>
      </c>
      <c r="J22" s="58">
        <v>562.5</v>
      </c>
      <c r="K22" s="59">
        <f t="shared" si="3"/>
        <v>44.5</v>
      </c>
      <c r="L22" s="19">
        <f t="shared" si="1"/>
        <v>0</v>
      </c>
      <c r="M22" s="19">
        <f t="shared" si="1"/>
        <v>0</v>
      </c>
      <c r="N22" s="19">
        <f t="shared" si="1"/>
        <v>0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-1.9999999999953388</v>
      </c>
      <c r="S22" s="27">
        <f t="shared" si="2"/>
        <v>-0.99999999999944578</v>
      </c>
      <c r="T22" s="28">
        <f t="shared" si="2"/>
        <v>0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41704</v>
      </c>
      <c r="C23" s="25">
        <v>13.141999999999999</v>
      </c>
      <c r="D23" s="26">
        <v>8.1690000000000005</v>
      </c>
      <c r="E23" s="26">
        <v>8.2780000000000005</v>
      </c>
      <c r="F23" s="47"/>
      <c r="G23" s="47"/>
      <c r="H23" s="47"/>
      <c r="I23" s="26">
        <v>102.873</v>
      </c>
      <c r="J23" s="58">
        <v>565</v>
      </c>
      <c r="K23" s="59">
        <f t="shared" si="3"/>
        <v>47</v>
      </c>
      <c r="L23" s="19">
        <f t="shared" si="1"/>
        <v>0.99999999999944578</v>
      </c>
      <c r="M23" s="19">
        <f t="shared" si="1"/>
        <v>0</v>
      </c>
      <c r="N23" s="19">
        <f t="shared" si="1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-1.9999999999953388</v>
      </c>
      <c r="S23" s="27">
        <f t="shared" si="2"/>
        <v>0.99999999999944578</v>
      </c>
      <c r="T23" s="28">
        <f t="shared" si="2"/>
        <v>0</v>
      </c>
      <c r="U23" s="28">
        <f t="shared" si="2"/>
        <v>-0.99999999999944578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41705</v>
      </c>
      <c r="C24" s="25">
        <v>13.141999999999999</v>
      </c>
      <c r="D24" s="26">
        <v>8.1690000000000005</v>
      </c>
      <c r="E24" s="26">
        <v>8.2780000000000005</v>
      </c>
      <c r="F24" s="47"/>
      <c r="G24" s="47"/>
      <c r="H24" s="47"/>
      <c r="I24" s="26">
        <v>102.874</v>
      </c>
      <c r="J24" s="58">
        <v>568.5</v>
      </c>
      <c r="K24" s="59">
        <f t="shared" ref="K24:K39" si="4">IF(ISBLANK(J24),"",(J24-$J$8))</f>
        <v>50.5</v>
      </c>
      <c r="L24" s="19">
        <f t="shared" si="1"/>
        <v>0.99999999999944578</v>
      </c>
      <c r="M24" s="19">
        <f t="shared" si="1"/>
        <v>0</v>
      </c>
      <c r="N24" s="19">
        <f t="shared" si="1"/>
        <v>-0.99999999999944578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41708</v>
      </c>
      <c r="C25" s="25">
        <v>13.141999999999999</v>
      </c>
      <c r="D25" s="26">
        <v>8.1690000000000005</v>
      </c>
      <c r="E25" s="26">
        <v>8.2789999999999999</v>
      </c>
      <c r="F25" s="47"/>
      <c r="G25" s="47"/>
      <c r="H25" s="47"/>
      <c r="I25" s="26">
        <v>102.874</v>
      </c>
      <c r="J25" s="58">
        <v>576</v>
      </c>
      <c r="K25" s="59">
        <f t="shared" si="4"/>
        <v>58</v>
      </c>
      <c r="L25" s="19">
        <f t="shared" si="1"/>
        <v>0.99999999999944578</v>
      </c>
      <c r="M25" s="19">
        <f t="shared" si="1"/>
        <v>0</v>
      </c>
      <c r="N25" s="19">
        <f t="shared" si="1"/>
        <v>0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-1.0000000000047748</v>
      </c>
      <c r="S25" s="27">
        <f t="shared" si="2"/>
        <v>0</v>
      </c>
      <c r="T25" s="28">
        <f t="shared" si="2"/>
        <v>0</v>
      </c>
      <c r="U25" s="28">
        <f t="shared" si="2"/>
        <v>0.33333333333314857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41709</v>
      </c>
      <c r="C26" s="25">
        <v>13.141999999999999</v>
      </c>
      <c r="D26" s="26">
        <v>8.1690000000000005</v>
      </c>
      <c r="E26" s="26">
        <v>8.2780000000000005</v>
      </c>
      <c r="F26" s="47"/>
      <c r="G26" s="47"/>
      <c r="H26" s="47"/>
      <c r="I26" s="26">
        <v>102.873</v>
      </c>
      <c r="J26" s="58">
        <v>584</v>
      </c>
      <c r="K26" s="59">
        <f t="shared" si="4"/>
        <v>66</v>
      </c>
      <c r="L26" s="19">
        <f t="shared" si="1"/>
        <v>0.99999999999944578</v>
      </c>
      <c r="M26" s="19">
        <f t="shared" si="1"/>
        <v>0</v>
      </c>
      <c r="N26" s="19">
        <f t="shared" si="1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-1.9999999999953388</v>
      </c>
      <c r="S26" s="27">
        <f t="shared" si="2"/>
        <v>0</v>
      </c>
      <c r="T26" s="28">
        <f t="shared" si="2"/>
        <v>0</v>
      </c>
      <c r="U26" s="28">
        <f t="shared" si="2"/>
        <v>-0.99999999999944578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41710</v>
      </c>
      <c r="C27" s="25">
        <v>13.143000000000001</v>
      </c>
      <c r="D27" s="26">
        <v>8.17</v>
      </c>
      <c r="E27" s="26">
        <v>8.2780000000000005</v>
      </c>
      <c r="F27" s="47"/>
      <c r="G27" s="47"/>
      <c r="H27" s="47"/>
      <c r="I27" s="26">
        <v>102.872</v>
      </c>
      <c r="J27" s="58">
        <v>587.5</v>
      </c>
      <c r="K27" s="59">
        <f t="shared" si="4"/>
        <v>69.5</v>
      </c>
      <c r="L27" s="19">
        <f t="shared" si="1"/>
        <v>2.0000000000006679</v>
      </c>
      <c r="M27" s="19">
        <f t="shared" si="1"/>
        <v>0.99999999999944578</v>
      </c>
      <c r="N27" s="19">
        <f t="shared" si="1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-3.0000000000001137</v>
      </c>
      <c r="S27" s="27">
        <f t="shared" si="2"/>
        <v>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41711</v>
      </c>
      <c r="C28" s="25">
        <v>13.143000000000001</v>
      </c>
      <c r="D28" s="26">
        <v>8.1690000000000005</v>
      </c>
      <c r="E28" s="26">
        <v>8.2780000000000005</v>
      </c>
      <c r="F28" s="47"/>
      <c r="G28" s="47"/>
      <c r="H28" s="47"/>
      <c r="I28" s="26">
        <v>102.872</v>
      </c>
      <c r="J28" s="58">
        <v>596</v>
      </c>
      <c r="K28" s="59">
        <f t="shared" si="4"/>
        <v>78</v>
      </c>
      <c r="L28" s="19">
        <f t="shared" si="1"/>
        <v>2.0000000000006679</v>
      </c>
      <c r="M28" s="19">
        <f t="shared" si="1"/>
        <v>0</v>
      </c>
      <c r="N28" s="19">
        <f t="shared" si="1"/>
        <v>-0.99999999999944578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-3.0000000000001137</v>
      </c>
      <c r="S28" s="27">
        <f t="shared" si="2"/>
        <v>0</v>
      </c>
      <c r="T28" s="28">
        <f t="shared" si="2"/>
        <v>-0.99999999999944578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41712</v>
      </c>
      <c r="C29" s="25">
        <v>13.143000000000001</v>
      </c>
      <c r="D29" s="26">
        <v>8.17</v>
      </c>
      <c r="E29" s="26">
        <v>8.2769999999999992</v>
      </c>
      <c r="F29" s="47"/>
      <c r="G29" s="47"/>
      <c r="H29" s="47"/>
      <c r="I29" s="26">
        <v>102.872</v>
      </c>
      <c r="J29" s="58">
        <v>600.5</v>
      </c>
      <c r="K29" s="59">
        <f t="shared" si="4"/>
        <v>82.5</v>
      </c>
      <c r="L29" s="19">
        <f t="shared" si="1"/>
        <v>2.0000000000006679</v>
      </c>
      <c r="M29" s="19">
        <f t="shared" si="1"/>
        <v>0.99999999999944578</v>
      </c>
      <c r="N29" s="19">
        <f t="shared" si="1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-3.0000000000001137</v>
      </c>
      <c r="S29" s="27">
        <f t="shared" si="2"/>
        <v>0</v>
      </c>
      <c r="T29" s="28">
        <f t="shared" si="2"/>
        <v>0.99999999999944578</v>
      </c>
      <c r="U29" s="28">
        <f t="shared" si="2"/>
        <v>-1.0000000000012221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41715</v>
      </c>
      <c r="C30" s="25">
        <v>13.143000000000001</v>
      </c>
      <c r="D30" s="26">
        <v>8.1690000000000005</v>
      </c>
      <c r="E30" s="26">
        <v>8.2780000000000005</v>
      </c>
      <c r="F30" s="47"/>
      <c r="G30" s="47"/>
      <c r="H30" s="47"/>
      <c r="I30" s="26">
        <v>102.872</v>
      </c>
      <c r="J30" s="58">
        <v>609.5</v>
      </c>
      <c r="K30" s="59">
        <f t="shared" si="4"/>
        <v>91.5</v>
      </c>
      <c r="L30" s="19">
        <f t="shared" si="1"/>
        <v>2.0000000000006679</v>
      </c>
      <c r="M30" s="19">
        <f t="shared" si="1"/>
        <v>0</v>
      </c>
      <c r="N30" s="19">
        <f t="shared" si="1"/>
        <v>-0.99999999999944578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-3.0000000000001137</v>
      </c>
      <c r="S30" s="27">
        <f t="shared" si="2"/>
        <v>0</v>
      </c>
      <c r="T30" s="28">
        <f t="shared" si="2"/>
        <v>-0.33333333333314857</v>
      </c>
      <c r="U30" s="28">
        <f t="shared" si="2"/>
        <v>0.33333333333374071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41723</v>
      </c>
      <c r="C31" s="25">
        <v>13.143000000000001</v>
      </c>
      <c r="D31" s="26">
        <v>8.17</v>
      </c>
      <c r="E31" s="26">
        <v>8.2780000000000005</v>
      </c>
      <c r="F31" s="47"/>
      <c r="G31" s="47"/>
      <c r="H31" s="47"/>
      <c r="I31" s="26">
        <v>102.872</v>
      </c>
      <c r="J31" s="32">
        <v>308</v>
      </c>
      <c r="K31" s="59">
        <f t="shared" si="4"/>
        <v>-210</v>
      </c>
      <c r="L31" s="19">
        <f t="shared" si="1"/>
        <v>2.0000000000006679</v>
      </c>
      <c r="M31" s="19">
        <f t="shared" si="1"/>
        <v>0.99999999999944578</v>
      </c>
      <c r="N31" s="19">
        <f t="shared" si="1"/>
        <v>-0.99999999999944578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0"/>
        <v>-3.0000000000001137</v>
      </c>
      <c r="S31" s="27">
        <f t="shared" si="2"/>
        <v>0</v>
      </c>
      <c r="T31" s="28">
        <f t="shared" si="2"/>
        <v>0.12499999999993072</v>
      </c>
      <c r="U31" s="28">
        <f t="shared" si="2"/>
        <v>0</v>
      </c>
      <c r="V31" s="28" t="str">
        <f t="shared" si="2"/>
        <v/>
      </c>
      <c r="W31" s="28" t="str">
        <f t="shared" si="2"/>
        <v/>
      </c>
      <c r="X31" s="29" t="str">
        <f t="shared" si="2"/>
        <v/>
      </c>
      <c r="Y31" s="24" t="s">
        <v>23</v>
      </c>
    </row>
    <row r="32" spans="2:25" ht="15" customHeight="1" x14ac:dyDescent="0.2">
      <c r="B32" s="31">
        <v>41724</v>
      </c>
      <c r="C32" s="25">
        <v>13.143000000000001</v>
      </c>
      <c r="D32" s="26">
        <v>8.17</v>
      </c>
      <c r="E32" s="26">
        <v>8.2780000000000005</v>
      </c>
      <c r="F32" s="47"/>
      <c r="G32" s="47"/>
      <c r="H32" s="47"/>
      <c r="I32" s="26">
        <v>102.871</v>
      </c>
      <c r="J32" s="32">
        <v>319</v>
      </c>
      <c r="K32" s="59">
        <f t="shared" si="4"/>
        <v>-199</v>
      </c>
      <c r="L32" s="19">
        <f t="shared" si="1"/>
        <v>2.0000000000006679</v>
      </c>
      <c r="M32" s="19">
        <f t="shared" si="1"/>
        <v>0.99999999999944578</v>
      </c>
      <c r="N32" s="19">
        <f t="shared" si="1"/>
        <v>-0.99999999999944578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0"/>
        <v>-4.0000000000048885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 t="str">
        <f t="shared" si="2"/>
        <v/>
      </c>
      <c r="W32" s="28" t="str">
        <f t="shared" si="2"/>
        <v/>
      </c>
      <c r="X32" s="29" t="str">
        <f t="shared" si="2"/>
        <v/>
      </c>
      <c r="Y32" s="24"/>
    </row>
    <row r="33" spans="2:25" ht="15" customHeight="1" x14ac:dyDescent="0.2">
      <c r="B33" s="31">
        <v>41751</v>
      </c>
      <c r="C33" s="64">
        <v>13.143000000000001</v>
      </c>
      <c r="D33" s="65">
        <v>8.17</v>
      </c>
      <c r="E33" s="65">
        <v>8.2780000000000005</v>
      </c>
      <c r="F33" s="16">
        <v>13.746</v>
      </c>
      <c r="G33" s="16">
        <v>10.545999999999999</v>
      </c>
      <c r="H33" s="16">
        <v>11.105</v>
      </c>
      <c r="I33" s="26">
        <v>102.871</v>
      </c>
      <c r="J33" s="32">
        <v>534.5</v>
      </c>
      <c r="K33" s="59">
        <f t="shared" si="4"/>
        <v>16.5</v>
      </c>
      <c r="L33" s="19">
        <f t="shared" si="1"/>
        <v>2.0000000000006679</v>
      </c>
      <c r="M33" s="19">
        <f t="shared" si="1"/>
        <v>0.99999999999944578</v>
      </c>
      <c r="N33" s="19">
        <f t="shared" si="1"/>
        <v>-0.99999999999944578</v>
      </c>
      <c r="O33" s="19">
        <f>IF(ISBLANK(F33),"",((F33-F$33)*1000)+L$32)</f>
        <v>2.0000000000006679</v>
      </c>
      <c r="P33" s="19">
        <f>IF(ISBLANK(G33),"",((G33-G$33)*1000)+M$32)</f>
        <v>0.99999999999944578</v>
      </c>
      <c r="Q33" s="19">
        <f>IF(ISBLANK(H33),"",((H33-H$33)*1000)+N$32)</f>
        <v>-0.99999999999944578</v>
      </c>
      <c r="R33" s="19">
        <f t="shared" si="1"/>
        <v>-4.0000000000048885</v>
      </c>
      <c r="S33" s="27">
        <f t="shared" ref="S33:X48" si="5">IF(C33="","",((C33-C32)*1000)/($B33-$B32))</f>
        <v>0</v>
      </c>
      <c r="T33" s="28">
        <f t="shared" si="5"/>
        <v>0</v>
      </c>
      <c r="U33" s="28">
        <f t="shared" si="5"/>
        <v>0</v>
      </c>
      <c r="V33" s="28"/>
      <c r="W33" s="28"/>
      <c r="X33" s="29"/>
      <c r="Y33" s="24" t="s">
        <v>35</v>
      </c>
    </row>
    <row r="34" spans="2:25" ht="15" customHeight="1" x14ac:dyDescent="0.2">
      <c r="B34" s="31">
        <v>41752</v>
      </c>
      <c r="C34" s="64">
        <v>13.143000000000001</v>
      </c>
      <c r="D34" s="65">
        <v>8.17</v>
      </c>
      <c r="E34" s="65">
        <v>8.2780000000000005</v>
      </c>
      <c r="F34" s="16">
        <v>13.744</v>
      </c>
      <c r="G34" s="16">
        <v>10.544</v>
      </c>
      <c r="H34" s="16">
        <v>11.103999999999999</v>
      </c>
      <c r="I34" s="26">
        <v>102.871</v>
      </c>
      <c r="J34" s="32">
        <v>534.5</v>
      </c>
      <c r="K34" s="59">
        <f t="shared" si="4"/>
        <v>16.5</v>
      </c>
      <c r="L34" s="19">
        <f t="shared" si="1"/>
        <v>2.0000000000006679</v>
      </c>
      <c r="M34" s="19">
        <f t="shared" si="1"/>
        <v>0.99999999999944578</v>
      </c>
      <c r="N34" s="19">
        <f t="shared" si="1"/>
        <v>-0.99999999999944578</v>
      </c>
      <c r="O34" s="19">
        <f t="shared" ref="O34:O40" si="6">IF(ISBLANK(F34),"",((F34-F$33)*1000)+L$32)</f>
        <v>0</v>
      </c>
      <c r="P34" s="19">
        <f t="shared" ref="P34:P40" si="7">IF(ISBLANK(G34),"",((G34-G$33)*1000)+M$32)</f>
        <v>-0.99999999999944578</v>
      </c>
      <c r="Q34" s="19">
        <f t="shared" ref="Q34:Q97" si="8">IF(ISBLANK(H34),"",((H34-H$33)*1000)+N$32)</f>
        <v>-2.0000000000006679</v>
      </c>
      <c r="R34" s="19">
        <f t="shared" si="1"/>
        <v>-4.0000000000048885</v>
      </c>
      <c r="S34" s="27">
        <f t="shared" si="5"/>
        <v>0</v>
      </c>
      <c r="T34" s="28">
        <f t="shared" si="5"/>
        <v>0</v>
      </c>
      <c r="U34" s="28">
        <f t="shared" si="5"/>
        <v>0</v>
      </c>
      <c r="V34" s="28">
        <f t="shared" si="5"/>
        <v>-2.0000000000006679</v>
      </c>
      <c r="W34" s="28">
        <f t="shared" si="5"/>
        <v>-1.9999999999988916</v>
      </c>
      <c r="X34" s="29">
        <f t="shared" si="5"/>
        <v>-1.0000000000012221</v>
      </c>
      <c r="Y34" s="24"/>
    </row>
    <row r="35" spans="2:25" ht="15" customHeight="1" x14ac:dyDescent="0.2">
      <c r="B35" s="31">
        <v>41753</v>
      </c>
      <c r="C35" s="64">
        <v>13.143000000000001</v>
      </c>
      <c r="D35" s="65">
        <v>8.17</v>
      </c>
      <c r="E35" s="65">
        <v>8.2780000000000005</v>
      </c>
      <c r="F35" s="16">
        <v>13.743</v>
      </c>
      <c r="G35" s="16">
        <v>10.545</v>
      </c>
      <c r="H35" s="16">
        <v>11.103</v>
      </c>
      <c r="I35" s="26">
        <v>102.871</v>
      </c>
      <c r="J35" s="32">
        <v>534.5</v>
      </c>
      <c r="K35" s="59">
        <f t="shared" si="4"/>
        <v>16.5</v>
      </c>
      <c r="L35" s="19">
        <f t="shared" si="1"/>
        <v>2.0000000000006679</v>
      </c>
      <c r="M35" s="19">
        <f t="shared" si="1"/>
        <v>0.99999999999944578</v>
      </c>
      <c r="N35" s="19">
        <f t="shared" si="1"/>
        <v>-0.99999999999944578</v>
      </c>
      <c r="O35" s="19">
        <f t="shared" si="6"/>
        <v>-0.99999999999944578</v>
      </c>
      <c r="P35" s="19">
        <f t="shared" si="7"/>
        <v>0</v>
      </c>
      <c r="Q35" s="19">
        <f t="shared" si="8"/>
        <v>-3.0000000000001137</v>
      </c>
      <c r="R35" s="19">
        <f t="shared" si="1"/>
        <v>-4.0000000000048885</v>
      </c>
      <c r="S35" s="27">
        <f t="shared" si="5"/>
        <v>0</v>
      </c>
      <c r="T35" s="28">
        <f t="shared" si="5"/>
        <v>0</v>
      </c>
      <c r="U35" s="28">
        <f t="shared" si="5"/>
        <v>0</v>
      </c>
      <c r="V35" s="28">
        <f t="shared" si="5"/>
        <v>-0.99999999999944578</v>
      </c>
      <c r="W35" s="28">
        <f t="shared" si="5"/>
        <v>0.99999999999944578</v>
      </c>
      <c r="X35" s="29">
        <f t="shared" si="5"/>
        <v>-0.99999999999944578</v>
      </c>
      <c r="Y35" s="24"/>
    </row>
    <row r="36" spans="2:25" ht="15" customHeight="1" x14ac:dyDescent="0.2">
      <c r="B36" s="31">
        <v>41754</v>
      </c>
      <c r="C36" s="64">
        <v>13.143000000000001</v>
      </c>
      <c r="D36" s="65">
        <v>8.17</v>
      </c>
      <c r="E36" s="65">
        <v>8.2780000000000005</v>
      </c>
      <c r="F36" s="16">
        <v>13.743</v>
      </c>
      <c r="G36" s="16">
        <v>10.544</v>
      </c>
      <c r="H36" s="16">
        <v>11.103</v>
      </c>
      <c r="I36" s="26">
        <v>102.871</v>
      </c>
      <c r="J36" s="32">
        <v>534.5</v>
      </c>
      <c r="K36" s="59">
        <f t="shared" si="4"/>
        <v>16.5</v>
      </c>
      <c r="L36" s="19">
        <f t="shared" si="1"/>
        <v>2.0000000000006679</v>
      </c>
      <c r="M36" s="19">
        <f t="shared" si="1"/>
        <v>0.99999999999944578</v>
      </c>
      <c r="N36" s="19">
        <f t="shared" si="1"/>
        <v>-0.99999999999944578</v>
      </c>
      <c r="O36" s="19">
        <f t="shared" si="6"/>
        <v>-0.99999999999944578</v>
      </c>
      <c r="P36" s="19">
        <f t="shared" si="7"/>
        <v>-0.99999999999944578</v>
      </c>
      <c r="Q36" s="19">
        <f t="shared" si="8"/>
        <v>-3.0000000000001137</v>
      </c>
      <c r="R36" s="19">
        <f t="shared" si="1"/>
        <v>-4.0000000000048885</v>
      </c>
      <c r="S36" s="27">
        <f t="shared" si="5"/>
        <v>0</v>
      </c>
      <c r="T36" s="28">
        <f t="shared" si="5"/>
        <v>0</v>
      </c>
      <c r="U36" s="28">
        <f t="shared" si="5"/>
        <v>0</v>
      </c>
      <c r="V36" s="28">
        <f t="shared" si="5"/>
        <v>0</v>
      </c>
      <c r="W36" s="28">
        <f t="shared" si="5"/>
        <v>-0.99999999999944578</v>
      </c>
      <c r="X36" s="29">
        <f t="shared" si="5"/>
        <v>0</v>
      </c>
      <c r="Y36" s="24"/>
    </row>
    <row r="37" spans="2:25" ht="15" customHeight="1" x14ac:dyDescent="0.2">
      <c r="B37" s="31">
        <v>41757</v>
      </c>
      <c r="C37" s="64">
        <v>13.143000000000001</v>
      </c>
      <c r="D37" s="65">
        <v>8.17</v>
      </c>
      <c r="E37" s="65">
        <v>8.2780000000000005</v>
      </c>
      <c r="F37" s="16">
        <v>13.742000000000001</v>
      </c>
      <c r="G37" s="16">
        <v>10.542999999999999</v>
      </c>
      <c r="H37" s="16">
        <v>11.103</v>
      </c>
      <c r="I37" s="26">
        <v>102.871</v>
      </c>
      <c r="J37" s="32">
        <v>534.5</v>
      </c>
      <c r="K37" s="59">
        <f t="shared" si="4"/>
        <v>16.5</v>
      </c>
      <c r="L37" s="19">
        <f t="shared" si="1"/>
        <v>2.0000000000006679</v>
      </c>
      <c r="M37" s="19">
        <f t="shared" si="1"/>
        <v>0.99999999999944578</v>
      </c>
      <c r="N37" s="19">
        <f t="shared" si="1"/>
        <v>-0.99999999999944578</v>
      </c>
      <c r="O37" s="19">
        <f t="shared" si="6"/>
        <v>-1.9999999999988916</v>
      </c>
      <c r="P37" s="19">
        <f t="shared" si="7"/>
        <v>-2.0000000000006679</v>
      </c>
      <c r="Q37" s="19">
        <f t="shared" si="8"/>
        <v>-3.0000000000001137</v>
      </c>
      <c r="R37" s="19">
        <f t="shared" si="1"/>
        <v>-4.0000000000048885</v>
      </c>
      <c r="S37" s="27">
        <f t="shared" si="5"/>
        <v>0</v>
      </c>
      <c r="T37" s="28">
        <f t="shared" si="5"/>
        <v>0</v>
      </c>
      <c r="U37" s="28">
        <f t="shared" si="5"/>
        <v>0</v>
      </c>
      <c r="V37" s="28">
        <f t="shared" si="5"/>
        <v>-0.33333333333314857</v>
      </c>
      <c r="W37" s="28">
        <f t="shared" si="5"/>
        <v>-0.33333333333374071</v>
      </c>
      <c r="X37" s="29">
        <f t="shared" si="5"/>
        <v>0</v>
      </c>
      <c r="Y37" s="24"/>
    </row>
    <row r="38" spans="2:25" ht="15" customHeight="1" x14ac:dyDescent="0.2">
      <c r="B38" s="31">
        <v>41758</v>
      </c>
      <c r="C38" s="64">
        <v>13.143000000000001</v>
      </c>
      <c r="D38" s="65">
        <v>8.17</v>
      </c>
      <c r="E38" s="65">
        <v>8.2780000000000005</v>
      </c>
      <c r="F38" s="16">
        <v>13.742000000000001</v>
      </c>
      <c r="G38" s="16">
        <v>10.544</v>
      </c>
      <c r="H38" s="16">
        <v>11.103</v>
      </c>
      <c r="I38" s="26">
        <v>102.871</v>
      </c>
      <c r="J38" s="32">
        <v>534.5</v>
      </c>
      <c r="K38" s="59">
        <f t="shared" si="4"/>
        <v>16.5</v>
      </c>
      <c r="L38" s="19">
        <f t="shared" si="1"/>
        <v>2.0000000000006679</v>
      </c>
      <c r="M38" s="19">
        <f t="shared" si="1"/>
        <v>0.99999999999944578</v>
      </c>
      <c r="N38" s="19">
        <f t="shared" si="1"/>
        <v>-0.99999999999944578</v>
      </c>
      <c r="O38" s="19">
        <f t="shared" si="6"/>
        <v>-1.9999999999988916</v>
      </c>
      <c r="P38" s="19">
        <f t="shared" si="7"/>
        <v>-0.99999999999944578</v>
      </c>
      <c r="Q38" s="19">
        <f t="shared" si="8"/>
        <v>-3.0000000000001137</v>
      </c>
      <c r="R38" s="19">
        <f t="shared" si="1"/>
        <v>-4.0000000000048885</v>
      </c>
      <c r="S38" s="27">
        <f t="shared" si="5"/>
        <v>0</v>
      </c>
      <c r="T38" s="28">
        <f t="shared" si="5"/>
        <v>0</v>
      </c>
      <c r="U38" s="28">
        <f t="shared" si="5"/>
        <v>0</v>
      </c>
      <c r="V38" s="28">
        <f t="shared" si="5"/>
        <v>0</v>
      </c>
      <c r="W38" s="28">
        <f t="shared" si="5"/>
        <v>1.0000000000012221</v>
      </c>
      <c r="X38" s="29">
        <f t="shared" si="5"/>
        <v>0</v>
      </c>
      <c r="Y38" s="24"/>
    </row>
    <row r="39" spans="2:25" ht="15" customHeight="1" x14ac:dyDescent="0.2">
      <c r="B39" s="31">
        <v>41759</v>
      </c>
      <c r="C39" s="64">
        <v>13.143000000000001</v>
      </c>
      <c r="D39" s="65">
        <v>8.17</v>
      </c>
      <c r="E39" s="65">
        <v>8.2780000000000005</v>
      </c>
      <c r="F39" s="16">
        <v>13.742000000000001</v>
      </c>
      <c r="G39" s="16">
        <v>10.544</v>
      </c>
      <c r="H39" s="16">
        <v>11.103</v>
      </c>
      <c r="I39" s="26">
        <v>102.871</v>
      </c>
      <c r="J39" s="32">
        <v>534.5</v>
      </c>
      <c r="K39" s="59">
        <f t="shared" si="4"/>
        <v>16.5</v>
      </c>
      <c r="L39" s="19">
        <f t="shared" si="1"/>
        <v>2.0000000000006679</v>
      </c>
      <c r="M39" s="19">
        <f t="shared" si="1"/>
        <v>0.99999999999944578</v>
      </c>
      <c r="N39" s="19">
        <f t="shared" si="1"/>
        <v>-0.99999999999944578</v>
      </c>
      <c r="O39" s="19">
        <f t="shared" si="6"/>
        <v>-1.9999999999988916</v>
      </c>
      <c r="P39" s="19">
        <f t="shared" si="7"/>
        <v>-0.99999999999944578</v>
      </c>
      <c r="Q39" s="19">
        <f t="shared" si="8"/>
        <v>-3.0000000000001137</v>
      </c>
      <c r="R39" s="19">
        <f t="shared" si="1"/>
        <v>-4.0000000000048885</v>
      </c>
      <c r="S39" s="27">
        <f t="shared" si="5"/>
        <v>0</v>
      </c>
      <c r="T39" s="28">
        <f t="shared" si="5"/>
        <v>0</v>
      </c>
      <c r="U39" s="28">
        <f t="shared" si="5"/>
        <v>0</v>
      </c>
      <c r="V39" s="28">
        <f t="shared" si="5"/>
        <v>0</v>
      </c>
      <c r="W39" s="28">
        <f t="shared" si="5"/>
        <v>0</v>
      </c>
      <c r="X39" s="29">
        <f t="shared" si="5"/>
        <v>0</v>
      </c>
      <c r="Y39" s="24"/>
    </row>
    <row r="40" spans="2:25" ht="15" customHeight="1" x14ac:dyDescent="0.2">
      <c r="B40" s="31">
        <v>41781</v>
      </c>
      <c r="C40" s="64">
        <v>13.143000000000001</v>
      </c>
      <c r="D40" s="65">
        <v>8.17</v>
      </c>
      <c r="E40" s="65">
        <v>8.2780000000000005</v>
      </c>
      <c r="F40" s="16">
        <v>13.742000000000001</v>
      </c>
      <c r="G40" s="16">
        <v>10.544</v>
      </c>
      <c r="H40" s="16">
        <v>11.103999999999999</v>
      </c>
      <c r="I40" s="26">
        <v>102.872</v>
      </c>
      <c r="J40" s="58">
        <v>792</v>
      </c>
      <c r="K40" s="59">
        <f t="shared" ref="K40:K53" si="9">IF(ISBLANK(J40),"",(J40-$J$8))</f>
        <v>274</v>
      </c>
      <c r="L40" s="19">
        <f t="shared" si="1"/>
        <v>2.0000000000006679</v>
      </c>
      <c r="M40" s="19">
        <f t="shared" si="1"/>
        <v>0.99999999999944578</v>
      </c>
      <c r="N40" s="19">
        <f t="shared" si="1"/>
        <v>-0.99999999999944578</v>
      </c>
      <c r="O40" s="19">
        <f t="shared" si="6"/>
        <v>-1.9999999999988916</v>
      </c>
      <c r="P40" s="19">
        <f t="shared" si="7"/>
        <v>-0.99999999999944578</v>
      </c>
      <c r="Q40" s="19">
        <f t="shared" si="8"/>
        <v>-2.0000000000006679</v>
      </c>
      <c r="R40" s="19">
        <f t="shared" si="1"/>
        <v>-3.0000000000001137</v>
      </c>
      <c r="S40" s="27">
        <f t="shared" si="5"/>
        <v>0</v>
      </c>
      <c r="T40" s="28">
        <f t="shared" si="5"/>
        <v>0</v>
      </c>
      <c r="U40" s="28">
        <f t="shared" si="5"/>
        <v>0</v>
      </c>
      <c r="V40" s="28">
        <f t="shared" si="5"/>
        <v>0</v>
      </c>
      <c r="W40" s="28">
        <f t="shared" si="5"/>
        <v>0</v>
      </c>
      <c r="X40" s="29">
        <f t="shared" si="5"/>
        <v>4.5454545454520261E-2</v>
      </c>
      <c r="Y40" s="24"/>
    </row>
    <row r="41" spans="2:25" ht="15" customHeight="1" x14ac:dyDescent="0.2">
      <c r="B41" s="31">
        <v>41806</v>
      </c>
      <c r="C41" s="64">
        <v>13.143000000000001</v>
      </c>
      <c r="D41" s="65">
        <v>8.17</v>
      </c>
      <c r="E41" s="65">
        <v>8.2780000000000005</v>
      </c>
      <c r="F41" s="80">
        <v>13.76</v>
      </c>
      <c r="G41" s="80">
        <v>10.548999999999999</v>
      </c>
      <c r="H41" s="16">
        <v>11.103999999999999</v>
      </c>
      <c r="I41" s="26">
        <v>102.872</v>
      </c>
      <c r="J41" s="58">
        <v>546</v>
      </c>
      <c r="K41" s="59">
        <f t="shared" si="9"/>
        <v>28</v>
      </c>
      <c r="L41" s="19">
        <f t="shared" si="1"/>
        <v>2.0000000000006679</v>
      </c>
      <c r="M41" s="19">
        <f t="shared" si="1"/>
        <v>0.99999999999944578</v>
      </c>
      <c r="N41" s="19">
        <f t="shared" si="1"/>
        <v>-0.99999999999944578</v>
      </c>
      <c r="O41" s="81">
        <f>IF(ISBLANK(F41),"",((F41-F$41)*1000)+O$40)</f>
        <v>-1.9999999999988916</v>
      </c>
      <c r="P41" s="81">
        <f>IF(ISBLANK(G41),"",((G41-G$41)*1000)+P$40)</f>
        <v>-0.99999999999944578</v>
      </c>
      <c r="Q41" s="19">
        <f t="shared" si="8"/>
        <v>-2.0000000000006679</v>
      </c>
      <c r="R41" s="19">
        <f t="shared" si="1"/>
        <v>-3.0000000000001137</v>
      </c>
      <c r="S41" s="27">
        <f t="shared" si="5"/>
        <v>0</v>
      </c>
      <c r="T41" s="28">
        <f t="shared" si="5"/>
        <v>0</v>
      </c>
      <c r="U41" s="28">
        <f t="shared" si="5"/>
        <v>0</v>
      </c>
      <c r="V41" s="28">
        <f t="shared" si="5"/>
        <v>0.71999999999995623</v>
      </c>
      <c r="W41" s="28">
        <f t="shared" si="5"/>
        <v>0.19999999999996021</v>
      </c>
      <c r="X41" s="29">
        <f t="shared" si="5"/>
        <v>0</v>
      </c>
      <c r="Y41" s="24" t="s">
        <v>47</v>
      </c>
    </row>
    <row r="42" spans="2:25" ht="15" customHeight="1" x14ac:dyDescent="0.2">
      <c r="B42" s="31">
        <v>41807</v>
      </c>
      <c r="C42" s="25">
        <v>13.144</v>
      </c>
      <c r="D42" s="26">
        <v>8.1690000000000005</v>
      </c>
      <c r="E42" s="26">
        <v>8.2789999999999999</v>
      </c>
      <c r="F42" s="47">
        <v>13.759</v>
      </c>
      <c r="G42" s="47">
        <v>10.548999999999999</v>
      </c>
      <c r="H42" s="16">
        <v>11.103999999999999</v>
      </c>
      <c r="I42" s="26">
        <v>102.872</v>
      </c>
      <c r="J42" s="58">
        <v>556</v>
      </c>
      <c r="K42" s="59">
        <f t="shared" si="9"/>
        <v>38</v>
      </c>
      <c r="L42" s="19">
        <f t="shared" si="1"/>
        <v>3.0000000000001137</v>
      </c>
      <c r="M42" s="19">
        <f t="shared" si="1"/>
        <v>0</v>
      </c>
      <c r="N42" s="19">
        <f t="shared" si="1"/>
        <v>0</v>
      </c>
      <c r="O42" s="19">
        <f t="shared" ref="O42:O105" si="10">IF(ISBLANK(F42),"",((F42-F$41)*1000)+O$40)</f>
        <v>-2.9999999999983373</v>
      </c>
      <c r="P42" s="19">
        <f t="shared" ref="P42:P105" si="11">IF(ISBLANK(G42),"",((G42-G$41)*1000)+P$40)</f>
        <v>-0.99999999999944578</v>
      </c>
      <c r="Q42" s="19">
        <f t="shared" si="8"/>
        <v>-2.0000000000006679</v>
      </c>
      <c r="R42" s="19">
        <f t="shared" si="1"/>
        <v>-3.0000000000001137</v>
      </c>
      <c r="S42" s="27"/>
      <c r="T42" s="28"/>
      <c r="U42" s="28"/>
      <c r="V42" s="28">
        <f t="shared" si="5"/>
        <v>-0.99999999999944578</v>
      </c>
      <c r="W42" s="28">
        <f t="shared" si="5"/>
        <v>0</v>
      </c>
      <c r="X42" s="29">
        <f t="shared" si="5"/>
        <v>0</v>
      </c>
      <c r="Y42" s="24"/>
    </row>
    <row r="43" spans="2:25" ht="15" customHeight="1" x14ac:dyDescent="0.2">
      <c r="B43" s="31">
        <v>41808</v>
      </c>
      <c r="C43" s="82">
        <v>13.135999999999999</v>
      </c>
      <c r="D43" s="26">
        <v>8.17</v>
      </c>
      <c r="E43" s="45">
        <v>8.2720000000000002</v>
      </c>
      <c r="F43" s="47">
        <v>13.759</v>
      </c>
      <c r="G43" s="47">
        <v>10.548</v>
      </c>
      <c r="H43" s="16">
        <v>11.103</v>
      </c>
      <c r="I43" s="26">
        <v>102.872</v>
      </c>
      <c r="J43" s="58">
        <v>552</v>
      </c>
      <c r="K43" s="59">
        <f t="shared" si="9"/>
        <v>34</v>
      </c>
      <c r="L43" s="19">
        <f t="shared" si="1"/>
        <v>-5.0000000000007816</v>
      </c>
      <c r="M43" s="19">
        <f t="shared" si="1"/>
        <v>0.99999999999944578</v>
      </c>
      <c r="N43" s="19">
        <f t="shared" si="1"/>
        <v>-6.9999999999996732</v>
      </c>
      <c r="O43" s="19">
        <f t="shared" si="10"/>
        <v>-2.9999999999983373</v>
      </c>
      <c r="P43" s="19">
        <f t="shared" si="11"/>
        <v>-1.9999999999988916</v>
      </c>
      <c r="Q43" s="19">
        <f t="shared" si="8"/>
        <v>-3.0000000000001137</v>
      </c>
      <c r="R43" s="19">
        <f t="shared" si="1"/>
        <v>-3.0000000000001137</v>
      </c>
      <c r="S43" s="27">
        <f t="shared" si="5"/>
        <v>-8.0000000000008953</v>
      </c>
      <c r="T43" s="28">
        <f t="shared" si="5"/>
        <v>0.99999999999944578</v>
      </c>
      <c r="U43" s="28">
        <f t="shared" si="5"/>
        <v>-6.9999999999996732</v>
      </c>
      <c r="V43" s="28">
        <f t="shared" si="5"/>
        <v>0</v>
      </c>
      <c r="W43" s="28">
        <f t="shared" si="5"/>
        <v>-0.99999999999944578</v>
      </c>
      <c r="X43" s="29">
        <f t="shared" si="5"/>
        <v>-0.99999999999944578</v>
      </c>
      <c r="Y43" s="24" t="s">
        <v>48</v>
      </c>
    </row>
    <row r="44" spans="2:25" ht="15" customHeight="1" x14ac:dyDescent="0.2">
      <c r="B44" s="31">
        <v>41809</v>
      </c>
      <c r="C44" s="25">
        <v>13.135999999999999</v>
      </c>
      <c r="D44" s="26">
        <v>8.1690000000000005</v>
      </c>
      <c r="E44" s="26">
        <v>8.2710000000000008</v>
      </c>
      <c r="F44" s="47">
        <v>13.76</v>
      </c>
      <c r="G44" s="47">
        <v>10.548999999999999</v>
      </c>
      <c r="H44" s="16">
        <v>11.103999999999999</v>
      </c>
      <c r="I44" s="26">
        <v>102.873</v>
      </c>
      <c r="J44" s="58">
        <v>559</v>
      </c>
      <c r="K44" s="59">
        <f t="shared" si="9"/>
        <v>41</v>
      </c>
      <c r="L44" s="19">
        <f t="shared" si="1"/>
        <v>-5.0000000000007816</v>
      </c>
      <c r="M44" s="19">
        <f t="shared" si="1"/>
        <v>0</v>
      </c>
      <c r="N44" s="19">
        <f t="shared" si="1"/>
        <v>-7.9999999999991189</v>
      </c>
      <c r="O44" s="19">
        <f t="shared" si="10"/>
        <v>-1.9999999999988916</v>
      </c>
      <c r="P44" s="19">
        <f t="shared" si="11"/>
        <v>-0.99999999999944578</v>
      </c>
      <c r="Q44" s="19">
        <f t="shared" si="8"/>
        <v>-2.0000000000006679</v>
      </c>
      <c r="R44" s="19">
        <f t="shared" si="1"/>
        <v>-1.9999999999953388</v>
      </c>
      <c r="S44" s="27">
        <f t="shared" si="5"/>
        <v>0</v>
      </c>
      <c r="T44" s="28">
        <f t="shared" si="5"/>
        <v>-0.99999999999944578</v>
      </c>
      <c r="U44" s="28">
        <f t="shared" si="5"/>
        <v>-0.99999999999944578</v>
      </c>
      <c r="V44" s="28">
        <f t="shared" si="5"/>
        <v>0.99999999999944578</v>
      </c>
      <c r="W44" s="28">
        <f t="shared" si="5"/>
        <v>0.99999999999944578</v>
      </c>
      <c r="X44" s="29">
        <f t="shared" si="5"/>
        <v>0.99999999999944578</v>
      </c>
      <c r="Y44" s="24"/>
    </row>
    <row r="45" spans="2:25" ht="15" customHeight="1" x14ac:dyDescent="0.2">
      <c r="B45" s="31">
        <v>41810</v>
      </c>
      <c r="C45" s="25">
        <v>13.135999999999999</v>
      </c>
      <c r="D45" s="26">
        <v>8.17</v>
      </c>
      <c r="E45" s="26">
        <v>8.2720000000000002</v>
      </c>
      <c r="F45" s="47">
        <v>13.759</v>
      </c>
      <c r="G45" s="47">
        <v>10.548</v>
      </c>
      <c r="H45" s="16">
        <v>11.103</v>
      </c>
      <c r="I45" s="26">
        <v>102.872</v>
      </c>
      <c r="J45" s="58">
        <v>563</v>
      </c>
      <c r="K45" s="59">
        <f t="shared" si="9"/>
        <v>45</v>
      </c>
      <c r="L45" s="19">
        <f t="shared" si="1"/>
        <v>-5.0000000000007816</v>
      </c>
      <c r="M45" s="19">
        <f t="shared" si="1"/>
        <v>0.99999999999944578</v>
      </c>
      <c r="N45" s="19">
        <f t="shared" si="1"/>
        <v>-6.9999999999996732</v>
      </c>
      <c r="O45" s="19">
        <f t="shared" si="10"/>
        <v>-2.9999999999983373</v>
      </c>
      <c r="P45" s="19">
        <f t="shared" si="11"/>
        <v>-1.9999999999988916</v>
      </c>
      <c r="Q45" s="19">
        <f t="shared" si="8"/>
        <v>-3.0000000000001137</v>
      </c>
      <c r="R45" s="19">
        <f t="shared" si="1"/>
        <v>-3.0000000000001137</v>
      </c>
      <c r="S45" s="27">
        <f t="shared" si="5"/>
        <v>0</v>
      </c>
      <c r="T45" s="28">
        <f t="shared" si="5"/>
        <v>0.99999999999944578</v>
      </c>
      <c r="U45" s="28">
        <f t="shared" si="5"/>
        <v>0.99999999999944578</v>
      </c>
      <c r="V45" s="28">
        <f t="shared" si="5"/>
        <v>-0.99999999999944578</v>
      </c>
      <c r="W45" s="28">
        <f t="shared" si="5"/>
        <v>-0.99999999999944578</v>
      </c>
      <c r="X45" s="29">
        <f t="shared" si="5"/>
        <v>-0.99999999999944578</v>
      </c>
      <c r="Y45" s="24"/>
    </row>
    <row r="46" spans="2:25" ht="15" customHeight="1" x14ac:dyDescent="0.2">
      <c r="B46" s="31">
        <v>41813</v>
      </c>
      <c r="C46" s="25">
        <v>13.135999999999999</v>
      </c>
      <c r="D46" s="26">
        <v>8.1690000000000005</v>
      </c>
      <c r="E46" s="26">
        <v>8.2710000000000008</v>
      </c>
      <c r="F46" s="47">
        <v>13.76</v>
      </c>
      <c r="G46" s="47">
        <v>10.548</v>
      </c>
      <c r="H46" s="16">
        <v>11.103</v>
      </c>
      <c r="I46" s="26">
        <v>102.872</v>
      </c>
      <c r="J46" s="58">
        <v>574</v>
      </c>
      <c r="K46" s="59">
        <f t="shared" si="9"/>
        <v>56</v>
      </c>
      <c r="L46" s="19">
        <f t="shared" si="1"/>
        <v>-5.0000000000007816</v>
      </c>
      <c r="M46" s="19">
        <f t="shared" si="1"/>
        <v>0</v>
      </c>
      <c r="N46" s="19">
        <f t="shared" si="1"/>
        <v>-7.9999999999991189</v>
      </c>
      <c r="O46" s="19">
        <f t="shared" si="10"/>
        <v>-1.9999999999988916</v>
      </c>
      <c r="P46" s="19">
        <f t="shared" si="11"/>
        <v>-1.9999999999988916</v>
      </c>
      <c r="Q46" s="19">
        <f t="shared" si="8"/>
        <v>-3.0000000000001137</v>
      </c>
      <c r="R46" s="19">
        <f t="shared" si="1"/>
        <v>-3.0000000000001137</v>
      </c>
      <c r="S46" s="27">
        <f t="shared" si="5"/>
        <v>0</v>
      </c>
      <c r="T46" s="28">
        <f t="shared" si="5"/>
        <v>-0.33333333333314857</v>
      </c>
      <c r="U46" s="28">
        <f t="shared" si="5"/>
        <v>-0.33333333333314857</v>
      </c>
      <c r="V46" s="28">
        <f t="shared" si="5"/>
        <v>0.33333333333314857</v>
      </c>
      <c r="W46" s="28">
        <f t="shared" si="5"/>
        <v>0</v>
      </c>
      <c r="X46" s="29">
        <f t="shared" si="5"/>
        <v>0</v>
      </c>
      <c r="Y46" s="24"/>
    </row>
    <row r="47" spans="2:25" ht="15" customHeight="1" x14ac:dyDescent="0.2">
      <c r="B47" s="31">
        <v>41814</v>
      </c>
      <c r="C47" s="64">
        <v>13.135999999999999</v>
      </c>
      <c r="D47" s="26">
        <v>8.17</v>
      </c>
      <c r="E47" s="65">
        <v>8.2710000000000008</v>
      </c>
      <c r="F47" s="83">
        <v>13.76</v>
      </c>
      <c r="G47" s="47">
        <v>10.547000000000001</v>
      </c>
      <c r="H47" s="83">
        <v>11.103</v>
      </c>
      <c r="I47" s="26">
        <v>102.873</v>
      </c>
      <c r="J47" s="58">
        <v>603</v>
      </c>
      <c r="K47" s="59">
        <f t="shared" si="9"/>
        <v>85</v>
      </c>
      <c r="L47" s="19">
        <f t="shared" si="1"/>
        <v>-5.0000000000007816</v>
      </c>
      <c r="M47" s="19">
        <f t="shared" si="1"/>
        <v>0.99999999999944578</v>
      </c>
      <c r="N47" s="19">
        <f t="shared" si="1"/>
        <v>-7.9999999999991189</v>
      </c>
      <c r="O47" s="19">
        <f t="shared" si="10"/>
        <v>-1.9999999999988916</v>
      </c>
      <c r="P47" s="19">
        <f t="shared" si="11"/>
        <v>-2.9999999999983373</v>
      </c>
      <c r="Q47" s="19">
        <f t="shared" si="8"/>
        <v>-3.0000000000001137</v>
      </c>
      <c r="R47" s="19">
        <f t="shared" si="1"/>
        <v>-1.9999999999953388</v>
      </c>
      <c r="S47" s="27">
        <f t="shared" si="5"/>
        <v>0</v>
      </c>
      <c r="T47" s="28">
        <f t="shared" si="5"/>
        <v>0.99999999999944578</v>
      </c>
      <c r="U47" s="28">
        <f t="shared" si="5"/>
        <v>0</v>
      </c>
      <c r="V47" s="28">
        <f t="shared" si="5"/>
        <v>0</v>
      </c>
      <c r="W47" s="28">
        <f t="shared" si="5"/>
        <v>-0.99999999999944578</v>
      </c>
      <c r="X47" s="29">
        <f t="shared" si="5"/>
        <v>0</v>
      </c>
      <c r="Y47" s="24" t="s">
        <v>49</v>
      </c>
    </row>
    <row r="48" spans="2:25" ht="15" customHeight="1" x14ac:dyDescent="0.2">
      <c r="B48" s="31">
        <v>41821</v>
      </c>
      <c r="C48" s="64">
        <v>13.135999999999999</v>
      </c>
      <c r="D48" s="26">
        <v>8.1690000000000005</v>
      </c>
      <c r="E48" s="65">
        <v>8.2710000000000008</v>
      </c>
      <c r="F48" s="47">
        <v>13.759</v>
      </c>
      <c r="G48" s="47">
        <v>10.547000000000001</v>
      </c>
      <c r="H48" s="47">
        <v>11.103</v>
      </c>
      <c r="I48" s="26">
        <v>102.872</v>
      </c>
      <c r="J48" s="58">
        <v>671</v>
      </c>
      <c r="K48" s="59">
        <f t="shared" si="9"/>
        <v>153</v>
      </c>
      <c r="L48" s="19">
        <f t="shared" si="1"/>
        <v>-5.0000000000007816</v>
      </c>
      <c r="M48" s="19">
        <f t="shared" si="1"/>
        <v>0</v>
      </c>
      <c r="N48" s="19">
        <f t="shared" si="1"/>
        <v>-7.9999999999991189</v>
      </c>
      <c r="O48" s="19">
        <f t="shared" si="10"/>
        <v>-2.9999999999983373</v>
      </c>
      <c r="P48" s="19">
        <f t="shared" si="11"/>
        <v>-2.9999999999983373</v>
      </c>
      <c r="Q48" s="19">
        <f t="shared" si="8"/>
        <v>-3.0000000000001137</v>
      </c>
      <c r="R48" s="19">
        <f t="shared" si="1"/>
        <v>-3.0000000000001137</v>
      </c>
      <c r="S48" s="27">
        <f t="shared" si="5"/>
        <v>0</v>
      </c>
      <c r="T48" s="28">
        <f t="shared" si="5"/>
        <v>-0.14285714285706369</v>
      </c>
      <c r="U48" s="28">
        <f t="shared" si="5"/>
        <v>0</v>
      </c>
      <c r="V48" s="28">
        <f t="shared" si="5"/>
        <v>-0.14285714285706369</v>
      </c>
      <c r="W48" s="28">
        <f t="shared" si="5"/>
        <v>0</v>
      </c>
      <c r="X48" s="29">
        <f t="shared" si="5"/>
        <v>0</v>
      </c>
      <c r="Y48" s="24"/>
    </row>
    <row r="49" spans="2:25" ht="15" customHeight="1" x14ac:dyDescent="0.2">
      <c r="B49" s="31">
        <v>41828</v>
      </c>
      <c r="C49" s="64">
        <v>13.134</v>
      </c>
      <c r="D49" s="26">
        <v>8.1690000000000005</v>
      </c>
      <c r="E49" s="65">
        <v>8.2710000000000008</v>
      </c>
      <c r="F49" s="47">
        <v>13.76</v>
      </c>
      <c r="G49" s="47">
        <v>10.547000000000001</v>
      </c>
      <c r="H49" s="47">
        <v>11.103</v>
      </c>
      <c r="I49" s="26">
        <v>102.873</v>
      </c>
      <c r="J49" s="58">
        <v>775</v>
      </c>
      <c r="K49" s="59">
        <f t="shared" si="9"/>
        <v>257</v>
      </c>
      <c r="L49" s="19">
        <f t="shared" si="1"/>
        <v>-6.9999999999996732</v>
      </c>
      <c r="M49" s="19">
        <f t="shared" si="1"/>
        <v>0</v>
      </c>
      <c r="N49" s="19">
        <f t="shared" si="1"/>
        <v>-7.9999999999991189</v>
      </c>
      <c r="O49" s="19">
        <f t="shared" si="10"/>
        <v>-1.9999999999988916</v>
      </c>
      <c r="P49" s="19">
        <f t="shared" si="11"/>
        <v>-2.9999999999983373</v>
      </c>
      <c r="Q49" s="19">
        <f t="shared" si="8"/>
        <v>-3.0000000000001137</v>
      </c>
      <c r="R49" s="19">
        <f t="shared" si="1"/>
        <v>-1.9999999999953388</v>
      </c>
      <c r="S49" s="27">
        <f t="shared" ref="S49:X64" si="12">IF(C49="","",((C49-C48)*1000)/($B49-$B48))</f>
        <v>-0.28571428571412738</v>
      </c>
      <c r="T49" s="28">
        <f t="shared" si="12"/>
        <v>0</v>
      </c>
      <c r="U49" s="28">
        <f t="shared" si="12"/>
        <v>0</v>
      </c>
      <c r="V49" s="28">
        <f t="shared" si="12"/>
        <v>0.14285714285706369</v>
      </c>
      <c r="W49" s="28">
        <f t="shared" si="12"/>
        <v>0</v>
      </c>
      <c r="X49" s="29">
        <f t="shared" si="12"/>
        <v>0</v>
      </c>
      <c r="Y49" s="24"/>
    </row>
    <row r="50" spans="2:25" ht="15" customHeight="1" x14ac:dyDescent="0.2">
      <c r="B50" s="31">
        <v>41835</v>
      </c>
      <c r="C50" s="64">
        <v>13.135</v>
      </c>
      <c r="D50" s="26">
        <v>8.1690000000000005</v>
      </c>
      <c r="E50" s="65">
        <v>8.2710000000000008</v>
      </c>
      <c r="F50" s="47">
        <v>13.759</v>
      </c>
      <c r="G50" s="47">
        <v>10.545999999999999</v>
      </c>
      <c r="H50" s="47">
        <v>11.103</v>
      </c>
      <c r="I50" s="26">
        <v>102.872</v>
      </c>
      <c r="J50" s="58">
        <v>857</v>
      </c>
      <c r="K50" s="59">
        <f t="shared" si="9"/>
        <v>339</v>
      </c>
      <c r="L50" s="19">
        <f t="shared" si="1"/>
        <v>-6.0000000000002274</v>
      </c>
      <c r="M50" s="19">
        <f t="shared" si="1"/>
        <v>0</v>
      </c>
      <c r="N50" s="19">
        <f t="shared" si="1"/>
        <v>-7.9999999999991189</v>
      </c>
      <c r="O50" s="19">
        <f t="shared" si="10"/>
        <v>-2.9999999999983373</v>
      </c>
      <c r="P50" s="19">
        <f t="shared" si="11"/>
        <v>-3.9999999999995595</v>
      </c>
      <c r="Q50" s="19">
        <f t="shared" si="8"/>
        <v>-3.0000000000001137</v>
      </c>
      <c r="R50" s="19">
        <f t="shared" si="1"/>
        <v>-3.0000000000001137</v>
      </c>
      <c r="S50" s="27">
        <f t="shared" si="12"/>
        <v>0.14285714285706369</v>
      </c>
      <c r="T50" s="28">
        <f t="shared" si="12"/>
        <v>0</v>
      </c>
      <c r="U50" s="28">
        <f t="shared" si="12"/>
        <v>0</v>
      </c>
      <c r="V50" s="28">
        <f t="shared" si="12"/>
        <v>-0.14285714285706369</v>
      </c>
      <c r="W50" s="28">
        <f t="shared" si="12"/>
        <v>-0.14285714285731746</v>
      </c>
      <c r="X50" s="29">
        <f t="shared" si="12"/>
        <v>0</v>
      </c>
      <c r="Y50" s="24"/>
    </row>
    <row r="51" spans="2:25" ht="15" customHeight="1" x14ac:dyDescent="0.2">
      <c r="B51" s="31">
        <v>41836</v>
      </c>
      <c r="C51" s="64">
        <v>13.135</v>
      </c>
      <c r="D51" s="26">
        <v>8.1690000000000005</v>
      </c>
      <c r="E51" s="65">
        <v>8.2710000000000008</v>
      </c>
      <c r="F51" s="47">
        <v>13.759</v>
      </c>
      <c r="G51" s="47">
        <v>10.545999999999999</v>
      </c>
      <c r="H51" s="47">
        <v>11.103</v>
      </c>
      <c r="I51" s="26">
        <v>102.872</v>
      </c>
      <c r="J51" s="58">
        <v>857</v>
      </c>
      <c r="K51" s="59">
        <f t="shared" si="9"/>
        <v>339</v>
      </c>
      <c r="L51" s="19">
        <f t="shared" si="1"/>
        <v>-6.0000000000002274</v>
      </c>
      <c r="M51" s="19">
        <f t="shared" si="1"/>
        <v>0</v>
      </c>
      <c r="N51" s="19">
        <f t="shared" si="1"/>
        <v>-7.9999999999991189</v>
      </c>
      <c r="O51" s="19">
        <f t="shared" si="10"/>
        <v>-2.9999999999983373</v>
      </c>
      <c r="P51" s="19">
        <f t="shared" si="11"/>
        <v>-3.9999999999995595</v>
      </c>
      <c r="Q51" s="19">
        <f t="shared" si="8"/>
        <v>-3.0000000000001137</v>
      </c>
      <c r="R51" s="19">
        <f t="shared" si="1"/>
        <v>-3.0000000000001137</v>
      </c>
      <c r="S51" s="27">
        <f t="shared" si="12"/>
        <v>0</v>
      </c>
      <c r="T51" s="28">
        <f t="shared" si="12"/>
        <v>0</v>
      </c>
      <c r="U51" s="28">
        <f t="shared" si="12"/>
        <v>0</v>
      </c>
      <c r="V51" s="28">
        <f t="shared" si="12"/>
        <v>0</v>
      </c>
      <c r="W51" s="28">
        <f t="shared" si="12"/>
        <v>0</v>
      </c>
      <c r="X51" s="29">
        <f t="shared" si="12"/>
        <v>0</v>
      </c>
      <c r="Y51" s="24"/>
    </row>
    <row r="52" spans="2:25" ht="15" customHeight="1" x14ac:dyDescent="0.2">
      <c r="B52" s="31">
        <v>41843</v>
      </c>
      <c r="C52" s="64"/>
      <c r="D52" s="26"/>
      <c r="E52" s="65"/>
      <c r="F52" s="47">
        <v>13.757999999999999</v>
      </c>
      <c r="G52" s="47">
        <v>10.545</v>
      </c>
      <c r="H52" s="47">
        <v>11.103</v>
      </c>
      <c r="I52" s="26">
        <v>102.872</v>
      </c>
      <c r="J52" s="58">
        <v>943</v>
      </c>
      <c r="K52" s="59">
        <f t="shared" si="9"/>
        <v>425</v>
      </c>
      <c r="L52" s="19" t="str">
        <f t="shared" si="1"/>
        <v/>
      </c>
      <c r="M52" s="19" t="str">
        <f t="shared" si="1"/>
        <v/>
      </c>
      <c r="N52" s="19" t="str">
        <f t="shared" si="1"/>
        <v/>
      </c>
      <c r="O52" s="19">
        <f t="shared" si="10"/>
        <v>-3.9999999999995595</v>
      </c>
      <c r="P52" s="19">
        <f t="shared" si="11"/>
        <v>-4.9999999999990052</v>
      </c>
      <c r="Q52" s="19">
        <f t="shared" si="8"/>
        <v>-3.0000000000001137</v>
      </c>
      <c r="R52" s="19">
        <f t="shared" si="1"/>
        <v>-3.0000000000001137</v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>
        <f t="shared" si="12"/>
        <v>-0.14285714285731746</v>
      </c>
      <c r="W52" s="28">
        <f t="shared" si="12"/>
        <v>-0.14285714285706369</v>
      </c>
      <c r="X52" s="29">
        <f t="shared" si="12"/>
        <v>0</v>
      </c>
      <c r="Y52" s="24"/>
    </row>
    <row r="53" spans="2:25" ht="15" customHeight="1" x14ac:dyDescent="0.2">
      <c r="B53" s="31">
        <v>41933</v>
      </c>
      <c r="C53" s="64"/>
      <c r="D53" s="26"/>
      <c r="E53" s="65"/>
      <c r="F53" s="75">
        <v>13.757999999999999</v>
      </c>
      <c r="G53" s="75">
        <v>10.545</v>
      </c>
      <c r="H53" s="75">
        <v>11.103</v>
      </c>
      <c r="I53" s="76">
        <v>102.871</v>
      </c>
      <c r="J53" s="58">
        <v>943</v>
      </c>
      <c r="K53" s="59">
        <f t="shared" si="9"/>
        <v>425</v>
      </c>
      <c r="L53" s="19" t="str">
        <f t="shared" si="1"/>
        <v/>
      </c>
      <c r="M53" s="19" t="str">
        <f t="shared" si="1"/>
        <v/>
      </c>
      <c r="N53" s="19" t="str">
        <f t="shared" si="1"/>
        <v/>
      </c>
      <c r="O53" s="19">
        <f t="shared" si="10"/>
        <v>-3.9999999999995595</v>
      </c>
      <c r="P53" s="19">
        <f t="shared" si="11"/>
        <v>-4.9999999999990052</v>
      </c>
      <c r="Q53" s="19">
        <f t="shared" si="8"/>
        <v>-3.0000000000001137</v>
      </c>
      <c r="R53" s="19">
        <f t="shared" si="1"/>
        <v>-4.0000000000048885</v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>
        <f t="shared" si="12"/>
        <v>0</v>
      </c>
      <c r="W53" s="28">
        <f t="shared" si="12"/>
        <v>0</v>
      </c>
      <c r="X53" s="29">
        <f t="shared" si="12"/>
        <v>0</v>
      </c>
      <c r="Y53" s="24"/>
    </row>
    <row r="54" spans="2:25" ht="15" customHeight="1" x14ac:dyDescent="0.2">
      <c r="B54" s="31">
        <v>42025</v>
      </c>
      <c r="C54" s="64"/>
      <c r="D54" s="26"/>
      <c r="E54" s="65"/>
      <c r="F54" s="75">
        <v>13.757999999999999</v>
      </c>
      <c r="G54" s="75">
        <v>10.545</v>
      </c>
      <c r="H54" s="75">
        <v>11.103</v>
      </c>
      <c r="I54" s="76">
        <v>102.871</v>
      </c>
      <c r="J54" s="58">
        <v>943</v>
      </c>
      <c r="K54" s="59">
        <f>IF(ISBLANK(J54),"",(J54-$J$8))</f>
        <v>425</v>
      </c>
      <c r="L54" s="19" t="str">
        <f t="shared" si="1"/>
        <v/>
      </c>
      <c r="M54" s="19" t="str">
        <f t="shared" si="1"/>
        <v/>
      </c>
      <c r="N54" s="19" t="str">
        <f t="shared" si="1"/>
        <v/>
      </c>
      <c r="O54" s="19">
        <f t="shared" si="10"/>
        <v>-3.9999999999995595</v>
      </c>
      <c r="P54" s="19">
        <f t="shared" si="11"/>
        <v>-4.9999999999990052</v>
      </c>
      <c r="Q54" s="19">
        <f t="shared" si="8"/>
        <v>-3.0000000000001137</v>
      </c>
      <c r="R54" s="19">
        <f t="shared" si="1"/>
        <v>-4.0000000000048885</v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>
        <f t="shared" si="12"/>
        <v>0</v>
      </c>
      <c r="W54" s="28">
        <f t="shared" si="12"/>
        <v>0</v>
      </c>
      <c r="X54" s="29">
        <f t="shared" si="12"/>
        <v>0</v>
      </c>
      <c r="Y54" s="24"/>
    </row>
    <row r="55" spans="2:25" ht="15" customHeight="1" x14ac:dyDescent="0.2">
      <c r="B55" s="31">
        <v>42109</v>
      </c>
      <c r="C55" s="25"/>
      <c r="D55" s="26"/>
      <c r="E55" s="26"/>
      <c r="F55" s="75">
        <v>13.757999999999999</v>
      </c>
      <c r="G55" s="47">
        <v>10.545999999999999</v>
      </c>
      <c r="H55" s="75">
        <v>11.103</v>
      </c>
      <c r="I55" s="26">
        <v>102.872</v>
      </c>
      <c r="J55" s="58">
        <v>943</v>
      </c>
      <c r="K55" s="18">
        <f>IF(ISBLANK(J55),"",(J55-$J$8))</f>
        <v>425</v>
      </c>
      <c r="L55" s="19" t="str">
        <f t="shared" si="1"/>
        <v/>
      </c>
      <c r="M55" s="19" t="str">
        <f t="shared" si="1"/>
        <v/>
      </c>
      <c r="N55" s="19" t="str">
        <f t="shared" si="1"/>
        <v/>
      </c>
      <c r="O55" s="19">
        <f t="shared" si="10"/>
        <v>-3.9999999999995595</v>
      </c>
      <c r="P55" s="19">
        <f t="shared" si="11"/>
        <v>-3.9999999999995595</v>
      </c>
      <c r="Q55" s="19">
        <f t="shared" si="8"/>
        <v>-3.0000000000001137</v>
      </c>
      <c r="R55" s="19">
        <f t="shared" si="1"/>
        <v>-3.0000000000001137</v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>
        <f t="shared" si="12"/>
        <v>0</v>
      </c>
      <c r="W55" s="28">
        <f t="shared" si="12"/>
        <v>1.1904761904755307E-2</v>
      </c>
      <c r="X55" s="29">
        <f t="shared" si="12"/>
        <v>0</v>
      </c>
      <c r="Y55" s="24"/>
    </row>
    <row r="56" spans="2:25" ht="15" customHeight="1" x14ac:dyDescent="0.2">
      <c r="B56" s="31">
        <v>42222</v>
      </c>
      <c r="C56" s="73"/>
      <c r="D56" s="71"/>
      <c r="E56" s="71"/>
      <c r="F56" s="75">
        <v>13.757999999999999</v>
      </c>
      <c r="G56" s="16">
        <v>10.545</v>
      </c>
      <c r="H56" s="75">
        <v>11.103</v>
      </c>
      <c r="I56" s="16">
        <v>102.871</v>
      </c>
      <c r="J56" s="32">
        <v>1278</v>
      </c>
      <c r="K56" s="18">
        <f t="shared" ref="K56:K81" si="13">IF(ISBLANK(J56),"",(J56-$J$8))</f>
        <v>760</v>
      </c>
      <c r="L56" s="19" t="str">
        <f t="shared" si="1"/>
        <v/>
      </c>
      <c r="M56" s="19" t="str">
        <f t="shared" si="1"/>
        <v/>
      </c>
      <c r="N56" s="19" t="str">
        <f t="shared" si="1"/>
        <v/>
      </c>
      <c r="O56" s="19">
        <f t="shared" si="10"/>
        <v>-3.9999999999995595</v>
      </c>
      <c r="P56" s="19">
        <f t="shared" si="11"/>
        <v>-4.9999999999990052</v>
      </c>
      <c r="Q56" s="19">
        <f t="shared" si="8"/>
        <v>-3.0000000000001137</v>
      </c>
      <c r="R56" s="19">
        <f t="shared" si="1"/>
        <v>-4.0000000000048885</v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>
        <f t="shared" si="12"/>
        <v>0</v>
      </c>
      <c r="W56" s="28">
        <f t="shared" si="12"/>
        <v>-8.8495575221189896E-3</v>
      </c>
      <c r="X56" s="29">
        <f t="shared" si="12"/>
        <v>0</v>
      </c>
      <c r="Y56" s="24"/>
    </row>
    <row r="57" spans="2:25" ht="15" customHeight="1" x14ac:dyDescent="0.2">
      <c r="B57" s="31">
        <v>42326</v>
      </c>
      <c r="C57" s="25"/>
      <c r="D57" s="26"/>
      <c r="E57" s="26"/>
      <c r="F57" s="75">
        <v>13.757999999999999</v>
      </c>
      <c r="G57" s="16">
        <v>10.545</v>
      </c>
      <c r="H57" s="75">
        <v>11.103</v>
      </c>
      <c r="I57" s="16">
        <v>102.871</v>
      </c>
      <c r="J57" s="32">
        <v>2248</v>
      </c>
      <c r="K57" s="18">
        <f t="shared" si="13"/>
        <v>1730</v>
      </c>
      <c r="L57" s="19" t="str">
        <f t="shared" si="1"/>
        <v/>
      </c>
      <c r="M57" s="19" t="str">
        <f t="shared" si="1"/>
        <v/>
      </c>
      <c r="N57" s="19" t="str">
        <f t="shared" si="1"/>
        <v/>
      </c>
      <c r="O57" s="19">
        <f t="shared" si="10"/>
        <v>-3.9999999999995595</v>
      </c>
      <c r="P57" s="19">
        <f t="shared" si="11"/>
        <v>-4.9999999999990052</v>
      </c>
      <c r="Q57" s="19">
        <f t="shared" si="8"/>
        <v>-3.0000000000001137</v>
      </c>
      <c r="R57" s="19">
        <f t="shared" si="1"/>
        <v>-4.0000000000048885</v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>
        <f t="shared" si="12"/>
        <v>0</v>
      </c>
      <c r="W57" s="28">
        <f t="shared" si="12"/>
        <v>0</v>
      </c>
      <c r="X57" s="29">
        <f t="shared" si="12"/>
        <v>0</v>
      </c>
      <c r="Y57" s="24"/>
    </row>
    <row r="58" spans="2:25" ht="15" customHeight="1" x14ac:dyDescent="0.2">
      <c r="B58" s="31">
        <v>42416</v>
      </c>
      <c r="C58" s="25"/>
      <c r="D58" s="26"/>
      <c r="E58" s="26"/>
      <c r="F58" s="75">
        <v>13.757999999999999</v>
      </c>
      <c r="G58" s="16">
        <v>10.545999999999999</v>
      </c>
      <c r="H58" s="75">
        <v>11.103</v>
      </c>
      <c r="I58" s="16">
        <v>102.871</v>
      </c>
      <c r="J58" s="58">
        <v>2519</v>
      </c>
      <c r="K58" s="18">
        <f t="shared" si="13"/>
        <v>2001</v>
      </c>
      <c r="L58" s="19" t="str">
        <f t="shared" si="1"/>
        <v/>
      </c>
      <c r="M58" s="19" t="str">
        <f t="shared" si="1"/>
        <v/>
      </c>
      <c r="N58" s="19" t="str">
        <f t="shared" si="1"/>
        <v/>
      </c>
      <c r="O58" s="19">
        <f t="shared" si="10"/>
        <v>-3.9999999999995595</v>
      </c>
      <c r="P58" s="19">
        <f t="shared" si="11"/>
        <v>-3.9999999999995595</v>
      </c>
      <c r="Q58" s="19">
        <f t="shared" si="8"/>
        <v>-3.0000000000001137</v>
      </c>
      <c r="R58" s="19">
        <f t="shared" si="1"/>
        <v>-4.0000000000048885</v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>
        <f t="shared" si="12"/>
        <v>0</v>
      </c>
      <c r="W58" s="28">
        <f t="shared" si="12"/>
        <v>1.1111111111104953E-2</v>
      </c>
      <c r="X58" s="29">
        <f t="shared" si="12"/>
        <v>0</v>
      </c>
      <c r="Y58" s="24"/>
    </row>
    <row r="59" spans="2:25" ht="15" customHeight="1" x14ac:dyDescent="0.2">
      <c r="B59" s="31">
        <v>42529</v>
      </c>
      <c r="C59" s="25"/>
      <c r="D59" s="26"/>
      <c r="E59" s="26"/>
      <c r="F59" s="75">
        <v>13.757999999999999</v>
      </c>
      <c r="G59" s="16">
        <v>10.545999999999999</v>
      </c>
      <c r="H59" s="75">
        <v>11.103</v>
      </c>
      <c r="I59" s="16">
        <v>102.871</v>
      </c>
      <c r="J59" s="58">
        <v>2603</v>
      </c>
      <c r="K59" s="18">
        <f t="shared" si="13"/>
        <v>2085</v>
      </c>
      <c r="L59" s="19" t="str">
        <f t="shared" si="1"/>
        <v/>
      </c>
      <c r="M59" s="19" t="str">
        <f t="shared" si="1"/>
        <v/>
      </c>
      <c r="N59" s="19" t="str">
        <f t="shared" si="1"/>
        <v/>
      </c>
      <c r="O59" s="19">
        <f t="shared" si="10"/>
        <v>-3.9999999999995595</v>
      </c>
      <c r="P59" s="19">
        <f t="shared" si="11"/>
        <v>-3.9999999999995595</v>
      </c>
      <c r="Q59" s="19">
        <f t="shared" si="8"/>
        <v>-3.0000000000001137</v>
      </c>
      <c r="R59" s="19">
        <f t="shared" si="1"/>
        <v>-4.0000000000048885</v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>
        <f t="shared" si="12"/>
        <v>0</v>
      </c>
      <c r="W59" s="28">
        <f t="shared" si="12"/>
        <v>0</v>
      </c>
      <c r="X59" s="29">
        <f t="shared" si="12"/>
        <v>0</v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3"/>
        <v/>
      </c>
      <c r="L60" s="19" t="str">
        <f t="shared" si="1"/>
        <v/>
      </c>
      <c r="M60" s="19" t="str">
        <f t="shared" si="1"/>
        <v/>
      </c>
      <c r="N60" s="19" t="str">
        <f t="shared" si="1"/>
        <v/>
      </c>
      <c r="O60" s="19" t="str">
        <f t="shared" si="10"/>
        <v/>
      </c>
      <c r="P60" s="19" t="str">
        <f t="shared" si="11"/>
        <v/>
      </c>
      <c r="Q60" s="19" t="str">
        <f t="shared" si="8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3"/>
        <v/>
      </c>
      <c r="L61" s="19" t="str">
        <f t="shared" si="1"/>
        <v/>
      </c>
      <c r="M61" s="19" t="str">
        <f t="shared" si="1"/>
        <v/>
      </c>
      <c r="N61" s="19" t="str">
        <f t="shared" si="1"/>
        <v/>
      </c>
      <c r="O61" s="19" t="str">
        <f t="shared" si="10"/>
        <v/>
      </c>
      <c r="P61" s="19" t="str">
        <f t="shared" si="11"/>
        <v/>
      </c>
      <c r="Q61" s="19" t="str">
        <f t="shared" si="8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3"/>
        <v/>
      </c>
      <c r="L62" s="19" t="str">
        <f t="shared" si="1"/>
        <v/>
      </c>
      <c r="M62" s="19" t="str">
        <f t="shared" si="1"/>
        <v/>
      </c>
      <c r="N62" s="19" t="str">
        <f t="shared" si="1"/>
        <v/>
      </c>
      <c r="O62" s="19" t="str">
        <f t="shared" si="10"/>
        <v/>
      </c>
      <c r="P62" s="19" t="str">
        <f t="shared" si="11"/>
        <v/>
      </c>
      <c r="Q62" s="19" t="str">
        <f t="shared" si="8"/>
        <v/>
      </c>
      <c r="R62" s="19" t="str">
        <f t="shared" ref="R62:R93" si="14">IF(ISBLANK(I62),"",(I62-I$16)*1000)</f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3"/>
        <v/>
      </c>
      <c r="L63" s="19" t="str">
        <f t="shared" ref="L63:L94" si="15">IF(ISBLANK(C63),"",(C63-C$16)*1000)</f>
        <v/>
      </c>
      <c r="M63" s="19" t="str">
        <f t="shared" ref="M63:M94" si="16">IF(ISBLANK(D63),"",(D63-D$16)*1000)</f>
        <v/>
      </c>
      <c r="N63" s="19" t="str">
        <f t="shared" ref="N63:N94" si="17">IF(ISBLANK(E63),"",(E63-E$16)*1000)</f>
        <v/>
      </c>
      <c r="O63" s="19" t="str">
        <f t="shared" si="10"/>
        <v/>
      </c>
      <c r="P63" s="19" t="str">
        <f t="shared" si="11"/>
        <v/>
      </c>
      <c r="Q63" s="19" t="str">
        <f t="shared" si="8"/>
        <v/>
      </c>
      <c r="R63" s="19" t="str">
        <f t="shared" si="14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3"/>
        <v/>
      </c>
      <c r="L64" s="19" t="str">
        <f t="shared" si="15"/>
        <v/>
      </c>
      <c r="M64" s="19" t="str">
        <f t="shared" si="16"/>
        <v/>
      </c>
      <c r="N64" s="19" t="str">
        <f t="shared" si="17"/>
        <v/>
      </c>
      <c r="O64" s="19" t="str">
        <f t="shared" si="10"/>
        <v/>
      </c>
      <c r="P64" s="19" t="str">
        <f t="shared" si="11"/>
        <v/>
      </c>
      <c r="Q64" s="19" t="str">
        <f t="shared" si="8"/>
        <v/>
      </c>
      <c r="R64" s="19" t="str">
        <f t="shared" si="14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3"/>
        <v/>
      </c>
      <c r="L65" s="19" t="str">
        <f t="shared" si="15"/>
        <v/>
      </c>
      <c r="M65" s="19" t="str">
        <f t="shared" si="16"/>
        <v/>
      </c>
      <c r="N65" s="19" t="str">
        <f t="shared" si="17"/>
        <v/>
      </c>
      <c r="O65" s="19" t="str">
        <f t="shared" si="10"/>
        <v/>
      </c>
      <c r="P65" s="19" t="str">
        <f t="shared" si="11"/>
        <v/>
      </c>
      <c r="Q65" s="19" t="str">
        <f t="shared" si="8"/>
        <v/>
      </c>
      <c r="R65" s="19" t="str">
        <f t="shared" si="14"/>
        <v/>
      </c>
      <c r="S65" s="27" t="str">
        <f t="shared" ref="S65:X80" si="18">IF(C65="","",((C65-C64)*1000)/($B65-$B64))</f>
        <v/>
      </c>
      <c r="T65" s="28" t="str">
        <f t="shared" si="18"/>
        <v/>
      </c>
      <c r="U65" s="28" t="str">
        <f t="shared" si="18"/>
        <v/>
      </c>
      <c r="V65" s="28" t="str">
        <f t="shared" si="18"/>
        <v/>
      </c>
      <c r="W65" s="28" t="str">
        <f t="shared" si="18"/>
        <v/>
      </c>
      <c r="X65" s="29" t="str">
        <f t="shared" si="18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3"/>
        <v/>
      </c>
      <c r="L66" s="19" t="str">
        <f t="shared" si="15"/>
        <v/>
      </c>
      <c r="M66" s="19" t="str">
        <f t="shared" si="16"/>
        <v/>
      </c>
      <c r="N66" s="19" t="str">
        <f t="shared" si="17"/>
        <v/>
      </c>
      <c r="O66" s="19" t="str">
        <f t="shared" si="10"/>
        <v/>
      </c>
      <c r="P66" s="19" t="str">
        <f t="shared" si="11"/>
        <v/>
      </c>
      <c r="Q66" s="19" t="str">
        <f t="shared" si="8"/>
        <v/>
      </c>
      <c r="R66" s="19" t="str">
        <f t="shared" si="14"/>
        <v/>
      </c>
      <c r="S66" s="27" t="str">
        <f t="shared" si="18"/>
        <v/>
      </c>
      <c r="T66" s="28" t="str">
        <f t="shared" si="18"/>
        <v/>
      </c>
      <c r="U66" s="28" t="str">
        <f t="shared" si="18"/>
        <v/>
      </c>
      <c r="V66" s="28" t="str">
        <f t="shared" si="18"/>
        <v/>
      </c>
      <c r="W66" s="28" t="str">
        <f t="shared" si="18"/>
        <v/>
      </c>
      <c r="X66" s="29" t="str">
        <f t="shared" si="18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3"/>
        <v/>
      </c>
      <c r="L67" s="19" t="str">
        <f t="shared" si="15"/>
        <v/>
      </c>
      <c r="M67" s="19" t="str">
        <f t="shared" si="16"/>
        <v/>
      </c>
      <c r="N67" s="19" t="str">
        <f t="shared" si="17"/>
        <v/>
      </c>
      <c r="O67" s="19" t="str">
        <f t="shared" si="10"/>
        <v/>
      </c>
      <c r="P67" s="19" t="str">
        <f t="shared" si="11"/>
        <v/>
      </c>
      <c r="Q67" s="19" t="str">
        <f t="shared" si="8"/>
        <v/>
      </c>
      <c r="R67" s="19" t="str">
        <f t="shared" si="14"/>
        <v/>
      </c>
      <c r="S67" s="27" t="str">
        <f t="shared" si="18"/>
        <v/>
      </c>
      <c r="T67" s="28" t="str">
        <f t="shared" si="18"/>
        <v/>
      </c>
      <c r="U67" s="28" t="str">
        <f t="shared" si="18"/>
        <v/>
      </c>
      <c r="V67" s="28" t="str">
        <f t="shared" si="18"/>
        <v/>
      </c>
      <c r="W67" s="28" t="str">
        <f t="shared" si="18"/>
        <v/>
      </c>
      <c r="X67" s="29" t="str">
        <f t="shared" si="18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3"/>
        <v/>
      </c>
      <c r="L68" s="19" t="str">
        <f t="shared" si="15"/>
        <v/>
      </c>
      <c r="M68" s="19" t="str">
        <f t="shared" si="16"/>
        <v/>
      </c>
      <c r="N68" s="19" t="str">
        <f t="shared" si="17"/>
        <v/>
      </c>
      <c r="O68" s="19" t="str">
        <f t="shared" si="10"/>
        <v/>
      </c>
      <c r="P68" s="19" t="str">
        <f t="shared" si="11"/>
        <v/>
      </c>
      <c r="Q68" s="19" t="str">
        <f t="shared" si="8"/>
        <v/>
      </c>
      <c r="R68" s="19" t="str">
        <f t="shared" si="14"/>
        <v/>
      </c>
      <c r="S68" s="27" t="str">
        <f t="shared" si="18"/>
        <v/>
      </c>
      <c r="T68" s="28" t="str">
        <f t="shared" si="18"/>
        <v/>
      </c>
      <c r="U68" s="28" t="str">
        <f t="shared" si="18"/>
        <v/>
      </c>
      <c r="V68" s="28" t="str">
        <f t="shared" si="18"/>
        <v/>
      </c>
      <c r="W68" s="28" t="str">
        <f t="shared" si="18"/>
        <v/>
      </c>
      <c r="X68" s="29" t="str">
        <f t="shared" si="18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3"/>
        <v/>
      </c>
      <c r="L69" s="19" t="str">
        <f t="shared" si="15"/>
        <v/>
      </c>
      <c r="M69" s="19" t="str">
        <f t="shared" si="16"/>
        <v/>
      </c>
      <c r="N69" s="19" t="str">
        <f t="shared" si="17"/>
        <v/>
      </c>
      <c r="O69" s="19" t="str">
        <f t="shared" si="10"/>
        <v/>
      </c>
      <c r="P69" s="19" t="str">
        <f t="shared" si="11"/>
        <v/>
      </c>
      <c r="Q69" s="19" t="str">
        <f t="shared" si="8"/>
        <v/>
      </c>
      <c r="R69" s="19" t="str">
        <f t="shared" si="14"/>
        <v/>
      </c>
      <c r="S69" s="27" t="str">
        <f t="shared" si="18"/>
        <v/>
      </c>
      <c r="T69" s="28" t="str">
        <f t="shared" si="18"/>
        <v/>
      </c>
      <c r="U69" s="28" t="str">
        <f t="shared" si="18"/>
        <v/>
      </c>
      <c r="V69" s="28" t="str">
        <f t="shared" si="18"/>
        <v/>
      </c>
      <c r="W69" s="28" t="str">
        <f t="shared" si="18"/>
        <v/>
      </c>
      <c r="X69" s="29" t="str">
        <f t="shared" si="18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3"/>
        <v/>
      </c>
      <c r="L70" s="19" t="str">
        <f t="shared" si="15"/>
        <v/>
      </c>
      <c r="M70" s="19" t="str">
        <f t="shared" si="16"/>
        <v/>
      </c>
      <c r="N70" s="19" t="str">
        <f t="shared" si="17"/>
        <v/>
      </c>
      <c r="O70" s="19" t="str">
        <f t="shared" si="10"/>
        <v/>
      </c>
      <c r="P70" s="19" t="str">
        <f t="shared" si="11"/>
        <v/>
      </c>
      <c r="Q70" s="19" t="str">
        <f t="shared" si="8"/>
        <v/>
      </c>
      <c r="R70" s="19" t="str">
        <f t="shared" si="14"/>
        <v/>
      </c>
      <c r="S70" s="27" t="str">
        <f t="shared" si="18"/>
        <v/>
      </c>
      <c r="T70" s="28" t="str">
        <f t="shared" si="18"/>
        <v/>
      </c>
      <c r="U70" s="28" t="str">
        <f t="shared" si="18"/>
        <v/>
      </c>
      <c r="V70" s="28" t="str">
        <f t="shared" si="18"/>
        <v/>
      </c>
      <c r="W70" s="28" t="str">
        <f t="shared" si="18"/>
        <v/>
      </c>
      <c r="X70" s="29" t="str">
        <f t="shared" si="18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3"/>
        <v/>
      </c>
      <c r="L71" s="19" t="str">
        <f t="shared" si="15"/>
        <v/>
      </c>
      <c r="M71" s="19" t="str">
        <f t="shared" si="16"/>
        <v/>
      </c>
      <c r="N71" s="19" t="str">
        <f t="shared" si="17"/>
        <v/>
      </c>
      <c r="O71" s="19" t="str">
        <f t="shared" si="10"/>
        <v/>
      </c>
      <c r="P71" s="19" t="str">
        <f t="shared" si="11"/>
        <v/>
      </c>
      <c r="Q71" s="19" t="str">
        <f t="shared" si="8"/>
        <v/>
      </c>
      <c r="R71" s="19" t="str">
        <f t="shared" si="14"/>
        <v/>
      </c>
      <c r="S71" s="27" t="str">
        <f t="shared" si="18"/>
        <v/>
      </c>
      <c r="T71" s="28" t="str">
        <f t="shared" si="18"/>
        <v/>
      </c>
      <c r="U71" s="28" t="str">
        <f t="shared" si="18"/>
        <v/>
      </c>
      <c r="V71" s="28" t="str">
        <f t="shared" si="18"/>
        <v/>
      </c>
      <c r="W71" s="28" t="str">
        <f t="shared" si="18"/>
        <v/>
      </c>
      <c r="X71" s="29" t="str">
        <f t="shared" si="18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3"/>
        <v/>
      </c>
      <c r="L72" s="19" t="str">
        <f t="shared" si="15"/>
        <v/>
      </c>
      <c r="M72" s="19" t="str">
        <f t="shared" si="16"/>
        <v/>
      </c>
      <c r="N72" s="19" t="str">
        <f t="shared" si="17"/>
        <v/>
      </c>
      <c r="O72" s="19" t="str">
        <f t="shared" si="10"/>
        <v/>
      </c>
      <c r="P72" s="19" t="str">
        <f t="shared" si="11"/>
        <v/>
      </c>
      <c r="Q72" s="19" t="str">
        <f t="shared" si="8"/>
        <v/>
      </c>
      <c r="R72" s="19" t="str">
        <f t="shared" si="14"/>
        <v/>
      </c>
      <c r="S72" s="27" t="str">
        <f t="shared" si="18"/>
        <v/>
      </c>
      <c r="T72" s="28" t="str">
        <f t="shared" si="18"/>
        <v/>
      </c>
      <c r="U72" s="28" t="str">
        <f t="shared" si="18"/>
        <v/>
      </c>
      <c r="V72" s="28" t="str">
        <f t="shared" si="18"/>
        <v/>
      </c>
      <c r="W72" s="28" t="str">
        <f t="shared" si="18"/>
        <v/>
      </c>
      <c r="X72" s="29" t="str">
        <f t="shared" si="18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3"/>
        <v/>
      </c>
      <c r="L73" s="19" t="str">
        <f t="shared" si="15"/>
        <v/>
      </c>
      <c r="M73" s="19" t="str">
        <f t="shared" si="16"/>
        <v/>
      </c>
      <c r="N73" s="19" t="str">
        <f t="shared" si="17"/>
        <v/>
      </c>
      <c r="O73" s="19" t="str">
        <f t="shared" si="10"/>
        <v/>
      </c>
      <c r="P73" s="19" t="str">
        <f t="shared" si="11"/>
        <v/>
      </c>
      <c r="Q73" s="19" t="str">
        <f t="shared" si="8"/>
        <v/>
      </c>
      <c r="R73" s="19" t="str">
        <f t="shared" si="14"/>
        <v/>
      </c>
      <c r="S73" s="27" t="str">
        <f t="shared" si="18"/>
        <v/>
      </c>
      <c r="T73" s="28" t="str">
        <f t="shared" si="18"/>
        <v/>
      </c>
      <c r="U73" s="28" t="str">
        <f t="shared" si="18"/>
        <v/>
      </c>
      <c r="V73" s="28" t="str">
        <f t="shared" si="18"/>
        <v/>
      </c>
      <c r="W73" s="28" t="str">
        <f t="shared" si="18"/>
        <v/>
      </c>
      <c r="X73" s="29" t="str">
        <f t="shared" si="18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3"/>
        <v/>
      </c>
      <c r="L74" s="19" t="str">
        <f t="shared" si="15"/>
        <v/>
      </c>
      <c r="M74" s="19" t="str">
        <f t="shared" si="16"/>
        <v/>
      </c>
      <c r="N74" s="19" t="str">
        <f t="shared" si="17"/>
        <v/>
      </c>
      <c r="O74" s="19" t="str">
        <f t="shared" si="10"/>
        <v/>
      </c>
      <c r="P74" s="19" t="str">
        <f t="shared" si="11"/>
        <v/>
      </c>
      <c r="Q74" s="19" t="str">
        <f t="shared" si="8"/>
        <v/>
      </c>
      <c r="R74" s="19" t="str">
        <f t="shared" si="14"/>
        <v/>
      </c>
      <c r="S74" s="27" t="str">
        <f t="shared" si="18"/>
        <v/>
      </c>
      <c r="T74" s="28" t="str">
        <f t="shared" si="18"/>
        <v/>
      </c>
      <c r="U74" s="28" t="str">
        <f t="shared" si="18"/>
        <v/>
      </c>
      <c r="V74" s="28" t="str">
        <f t="shared" si="18"/>
        <v/>
      </c>
      <c r="W74" s="28" t="str">
        <f t="shared" si="18"/>
        <v/>
      </c>
      <c r="X74" s="29" t="str">
        <f t="shared" si="18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3"/>
        <v/>
      </c>
      <c r="L75" s="19" t="str">
        <f t="shared" si="15"/>
        <v/>
      </c>
      <c r="M75" s="19" t="str">
        <f t="shared" si="16"/>
        <v/>
      </c>
      <c r="N75" s="19" t="str">
        <f t="shared" si="17"/>
        <v/>
      </c>
      <c r="O75" s="19" t="str">
        <f t="shared" si="10"/>
        <v/>
      </c>
      <c r="P75" s="19" t="str">
        <f t="shared" si="11"/>
        <v/>
      </c>
      <c r="Q75" s="19" t="str">
        <f t="shared" si="8"/>
        <v/>
      </c>
      <c r="R75" s="19" t="str">
        <f t="shared" si="14"/>
        <v/>
      </c>
      <c r="S75" s="27" t="str">
        <f t="shared" si="18"/>
        <v/>
      </c>
      <c r="T75" s="28" t="str">
        <f t="shared" si="18"/>
        <v/>
      </c>
      <c r="U75" s="28" t="str">
        <f t="shared" si="18"/>
        <v/>
      </c>
      <c r="V75" s="28" t="str">
        <f t="shared" si="18"/>
        <v/>
      </c>
      <c r="W75" s="28" t="str">
        <f t="shared" si="18"/>
        <v/>
      </c>
      <c r="X75" s="29" t="str">
        <f t="shared" si="18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3"/>
        <v/>
      </c>
      <c r="L76" s="19" t="str">
        <f t="shared" si="15"/>
        <v/>
      </c>
      <c r="M76" s="19" t="str">
        <f t="shared" si="16"/>
        <v/>
      </c>
      <c r="N76" s="19" t="str">
        <f t="shared" si="17"/>
        <v/>
      </c>
      <c r="O76" s="19" t="str">
        <f t="shared" si="10"/>
        <v/>
      </c>
      <c r="P76" s="19" t="str">
        <f t="shared" si="11"/>
        <v/>
      </c>
      <c r="Q76" s="19" t="str">
        <f t="shared" si="8"/>
        <v/>
      </c>
      <c r="R76" s="19" t="str">
        <f t="shared" si="14"/>
        <v/>
      </c>
      <c r="S76" s="27" t="str">
        <f t="shared" si="18"/>
        <v/>
      </c>
      <c r="T76" s="28" t="str">
        <f t="shared" si="18"/>
        <v/>
      </c>
      <c r="U76" s="28" t="str">
        <f t="shared" si="18"/>
        <v/>
      </c>
      <c r="V76" s="28" t="str">
        <f t="shared" si="18"/>
        <v/>
      </c>
      <c r="W76" s="28" t="str">
        <f t="shared" si="18"/>
        <v/>
      </c>
      <c r="X76" s="29" t="str">
        <f t="shared" si="18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3"/>
        <v/>
      </c>
      <c r="L77" s="19" t="str">
        <f t="shared" si="15"/>
        <v/>
      </c>
      <c r="M77" s="19" t="str">
        <f t="shared" si="16"/>
        <v/>
      </c>
      <c r="N77" s="19" t="str">
        <f t="shared" si="17"/>
        <v/>
      </c>
      <c r="O77" s="19" t="str">
        <f t="shared" si="10"/>
        <v/>
      </c>
      <c r="P77" s="19" t="str">
        <f t="shared" si="11"/>
        <v/>
      </c>
      <c r="Q77" s="19" t="str">
        <f t="shared" si="8"/>
        <v/>
      </c>
      <c r="R77" s="19" t="str">
        <f t="shared" si="14"/>
        <v/>
      </c>
      <c r="S77" s="27" t="str">
        <f t="shared" si="18"/>
        <v/>
      </c>
      <c r="T77" s="28" t="str">
        <f t="shared" si="18"/>
        <v/>
      </c>
      <c r="U77" s="28" t="str">
        <f t="shared" si="18"/>
        <v/>
      </c>
      <c r="V77" s="28" t="str">
        <f t="shared" si="18"/>
        <v/>
      </c>
      <c r="W77" s="28" t="str">
        <f t="shared" si="18"/>
        <v/>
      </c>
      <c r="X77" s="29" t="str">
        <f t="shared" si="18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3"/>
        <v/>
      </c>
      <c r="L78" s="19" t="str">
        <f t="shared" si="15"/>
        <v/>
      </c>
      <c r="M78" s="19" t="str">
        <f t="shared" si="16"/>
        <v/>
      </c>
      <c r="N78" s="19" t="str">
        <f t="shared" si="17"/>
        <v/>
      </c>
      <c r="O78" s="19" t="str">
        <f t="shared" si="10"/>
        <v/>
      </c>
      <c r="P78" s="19" t="str">
        <f t="shared" si="11"/>
        <v/>
      </c>
      <c r="Q78" s="19" t="str">
        <f t="shared" si="8"/>
        <v/>
      </c>
      <c r="R78" s="19" t="str">
        <f t="shared" si="14"/>
        <v/>
      </c>
      <c r="S78" s="27" t="str">
        <f t="shared" si="18"/>
        <v/>
      </c>
      <c r="T78" s="28" t="str">
        <f t="shared" si="18"/>
        <v/>
      </c>
      <c r="U78" s="28" t="str">
        <f t="shared" si="18"/>
        <v/>
      </c>
      <c r="V78" s="28" t="str">
        <f t="shared" si="18"/>
        <v/>
      </c>
      <c r="W78" s="28" t="str">
        <f t="shared" si="18"/>
        <v/>
      </c>
      <c r="X78" s="29" t="str">
        <f t="shared" si="18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3"/>
        <v/>
      </c>
      <c r="L79" s="19" t="str">
        <f t="shared" si="15"/>
        <v/>
      </c>
      <c r="M79" s="19" t="str">
        <f t="shared" si="16"/>
        <v/>
      </c>
      <c r="N79" s="19" t="str">
        <f t="shared" si="17"/>
        <v/>
      </c>
      <c r="O79" s="19" t="str">
        <f t="shared" si="10"/>
        <v/>
      </c>
      <c r="P79" s="19" t="str">
        <f t="shared" si="11"/>
        <v/>
      </c>
      <c r="Q79" s="19" t="str">
        <f t="shared" si="8"/>
        <v/>
      </c>
      <c r="R79" s="19" t="str">
        <f t="shared" si="14"/>
        <v/>
      </c>
      <c r="S79" s="27" t="str">
        <f t="shared" si="18"/>
        <v/>
      </c>
      <c r="T79" s="28" t="str">
        <f t="shared" si="18"/>
        <v/>
      </c>
      <c r="U79" s="28" t="str">
        <f t="shared" si="18"/>
        <v/>
      </c>
      <c r="V79" s="28" t="str">
        <f t="shared" si="18"/>
        <v/>
      </c>
      <c r="W79" s="28" t="str">
        <f t="shared" si="18"/>
        <v/>
      </c>
      <c r="X79" s="29" t="str">
        <f t="shared" si="18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3"/>
        <v/>
      </c>
      <c r="L80" s="19" t="str">
        <f t="shared" si="15"/>
        <v/>
      </c>
      <c r="M80" s="19" t="str">
        <f t="shared" si="16"/>
        <v/>
      </c>
      <c r="N80" s="19" t="str">
        <f t="shared" si="17"/>
        <v/>
      </c>
      <c r="O80" s="19" t="str">
        <f t="shared" si="10"/>
        <v/>
      </c>
      <c r="P80" s="19" t="str">
        <f t="shared" si="11"/>
        <v/>
      </c>
      <c r="Q80" s="19" t="str">
        <f t="shared" si="8"/>
        <v/>
      </c>
      <c r="R80" s="19" t="str">
        <f t="shared" si="14"/>
        <v/>
      </c>
      <c r="S80" s="27" t="str">
        <f t="shared" si="18"/>
        <v/>
      </c>
      <c r="T80" s="28" t="str">
        <f t="shared" si="18"/>
        <v/>
      </c>
      <c r="U80" s="28" t="str">
        <f t="shared" si="18"/>
        <v/>
      </c>
      <c r="V80" s="28" t="str">
        <f t="shared" si="18"/>
        <v/>
      </c>
      <c r="W80" s="28" t="str">
        <f t="shared" si="18"/>
        <v/>
      </c>
      <c r="X80" s="29" t="str">
        <f t="shared" si="18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3"/>
        <v/>
      </c>
      <c r="L81" s="19" t="str">
        <f t="shared" si="15"/>
        <v/>
      </c>
      <c r="M81" s="19" t="str">
        <f t="shared" si="16"/>
        <v/>
      </c>
      <c r="N81" s="19" t="str">
        <f t="shared" si="17"/>
        <v/>
      </c>
      <c r="O81" s="19" t="str">
        <f t="shared" si="10"/>
        <v/>
      </c>
      <c r="P81" s="19" t="str">
        <f t="shared" si="11"/>
        <v/>
      </c>
      <c r="Q81" s="19" t="str">
        <f t="shared" si="8"/>
        <v/>
      </c>
      <c r="R81" s="19" t="str">
        <f t="shared" si="14"/>
        <v/>
      </c>
      <c r="S81" s="27" t="str">
        <f t="shared" ref="S81:X96" si="19">IF(C81="","",((C81-C80)*1000)/($B81-$B80))</f>
        <v/>
      </c>
      <c r="T81" s="28" t="str">
        <f t="shared" si="19"/>
        <v/>
      </c>
      <c r="U81" s="28" t="str">
        <f t="shared" si="19"/>
        <v/>
      </c>
      <c r="V81" s="28" t="str">
        <f t="shared" si="19"/>
        <v/>
      </c>
      <c r="W81" s="28" t="str">
        <f t="shared" si="19"/>
        <v/>
      </c>
      <c r="X81" s="29" t="str">
        <f t="shared" si="1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ref="K82:K145" si="20">IF(ISBLANK(J82),"",(J82-$J$8))</f>
        <v/>
      </c>
      <c r="L82" s="19" t="str">
        <f t="shared" si="15"/>
        <v/>
      </c>
      <c r="M82" s="19" t="str">
        <f t="shared" si="16"/>
        <v/>
      </c>
      <c r="N82" s="19" t="str">
        <f t="shared" si="17"/>
        <v/>
      </c>
      <c r="O82" s="19" t="str">
        <f t="shared" si="10"/>
        <v/>
      </c>
      <c r="P82" s="19" t="str">
        <f t="shared" si="11"/>
        <v/>
      </c>
      <c r="Q82" s="19" t="str">
        <f t="shared" si="8"/>
        <v/>
      </c>
      <c r="R82" s="19" t="str">
        <f t="shared" si="14"/>
        <v/>
      </c>
      <c r="S82" s="27" t="str">
        <f t="shared" si="19"/>
        <v/>
      </c>
      <c r="T82" s="28" t="str">
        <f t="shared" si="19"/>
        <v/>
      </c>
      <c r="U82" s="28" t="str">
        <f t="shared" si="19"/>
        <v/>
      </c>
      <c r="V82" s="28" t="str">
        <f t="shared" si="19"/>
        <v/>
      </c>
      <c r="W82" s="28" t="str">
        <f t="shared" si="19"/>
        <v/>
      </c>
      <c r="X82" s="29" t="str">
        <f t="shared" si="1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20"/>
        <v/>
      </c>
      <c r="L83" s="19" t="str">
        <f t="shared" si="15"/>
        <v/>
      </c>
      <c r="M83" s="19" t="str">
        <f t="shared" si="16"/>
        <v/>
      </c>
      <c r="N83" s="19" t="str">
        <f t="shared" si="17"/>
        <v/>
      </c>
      <c r="O83" s="19" t="str">
        <f t="shared" si="10"/>
        <v/>
      </c>
      <c r="P83" s="19" t="str">
        <f t="shared" si="11"/>
        <v/>
      </c>
      <c r="Q83" s="19" t="str">
        <f t="shared" si="8"/>
        <v/>
      </c>
      <c r="R83" s="19" t="str">
        <f t="shared" si="14"/>
        <v/>
      </c>
      <c r="S83" s="27" t="str">
        <f t="shared" si="19"/>
        <v/>
      </c>
      <c r="T83" s="28" t="str">
        <f t="shared" si="19"/>
        <v/>
      </c>
      <c r="U83" s="28" t="str">
        <f t="shared" si="19"/>
        <v/>
      </c>
      <c r="V83" s="28" t="str">
        <f t="shared" si="19"/>
        <v/>
      </c>
      <c r="W83" s="28" t="str">
        <f t="shared" si="19"/>
        <v/>
      </c>
      <c r="X83" s="29" t="str">
        <f t="shared" si="1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20"/>
        <v/>
      </c>
      <c r="L84" s="19" t="str">
        <f t="shared" si="15"/>
        <v/>
      </c>
      <c r="M84" s="19" t="str">
        <f t="shared" si="16"/>
        <v/>
      </c>
      <c r="N84" s="19" t="str">
        <f t="shared" si="17"/>
        <v/>
      </c>
      <c r="O84" s="19" t="str">
        <f t="shared" si="10"/>
        <v/>
      </c>
      <c r="P84" s="19" t="str">
        <f t="shared" si="11"/>
        <v/>
      </c>
      <c r="Q84" s="19" t="str">
        <f t="shared" si="8"/>
        <v/>
      </c>
      <c r="R84" s="19" t="str">
        <f t="shared" si="14"/>
        <v/>
      </c>
      <c r="S84" s="27" t="str">
        <f t="shared" si="19"/>
        <v/>
      </c>
      <c r="T84" s="28" t="str">
        <f t="shared" si="19"/>
        <v/>
      </c>
      <c r="U84" s="28" t="str">
        <f t="shared" si="19"/>
        <v/>
      </c>
      <c r="V84" s="28" t="str">
        <f t="shared" si="19"/>
        <v/>
      </c>
      <c r="W84" s="28" t="str">
        <f t="shared" si="19"/>
        <v/>
      </c>
      <c r="X84" s="29" t="str">
        <f t="shared" si="1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20"/>
        <v/>
      </c>
      <c r="L85" s="19" t="str">
        <f t="shared" si="15"/>
        <v/>
      </c>
      <c r="M85" s="19" t="str">
        <f t="shared" si="16"/>
        <v/>
      </c>
      <c r="N85" s="19" t="str">
        <f t="shared" si="17"/>
        <v/>
      </c>
      <c r="O85" s="19" t="str">
        <f t="shared" si="10"/>
        <v/>
      </c>
      <c r="P85" s="19" t="str">
        <f t="shared" si="11"/>
        <v/>
      </c>
      <c r="Q85" s="19" t="str">
        <f t="shared" si="8"/>
        <v/>
      </c>
      <c r="R85" s="19" t="str">
        <f t="shared" si="14"/>
        <v/>
      </c>
      <c r="S85" s="27" t="str">
        <f t="shared" si="19"/>
        <v/>
      </c>
      <c r="T85" s="28" t="str">
        <f t="shared" si="19"/>
        <v/>
      </c>
      <c r="U85" s="28" t="str">
        <f t="shared" si="19"/>
        <v/>
      </c>
      <c r="V85" s="28" t="str">
        <f t="shared" si="19"/>
        <v/>
      </c>
      <c r="W85" s="28" t="str">
        <f t="shared" si="19"/>
        <v/>
      </c>
      <c r="X85" s="29" t="str">
        <f t="shared" si="1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20"/>
        <v/>
      </c>
      <c r="L86" s="19" t="str">
        <f t="shared" si="15"/>
        <v/>
      </c>
      <c r="M86" s="19" t="str">
        <f t="shared" si="16"/>
        <v/>
      </c>
      <c r="N86" s="19" t="str">
        <f t="shared" si="17"/>
        <v/>
      </c>
      <c r="O86" s="19" t="str">
        <f t="shared" si="10"/>
        <v/>
      </c>
      <c r="P86" s="19" t="str">
        <f t="shared" si="11"/>
        <v/>
      </c>
      <c r="Q86" s="19" t="str">
        <f t="shared" si="8"/>
        <v/>
      </c>
      <c r="R86" s="19" t="str">
        <f t="shared" si="14"/>
        <v/>
      </c>
      <c r="S86" s="27" t="str">
        <f t="shared" si="19"/>
        <v/>
      </c>
      <c r="T86" s="28" t="str">
        <f t="shared" si="19"/>
        <v/>
      </c>
      <c r="U86" s="28" t="str">
        <f t="shared" si="19"/>
        <v/>
      </c>
      <c r="V86" s="28" t="str">
        <f t="shared" si="19"/>
        <v/>
      </c>
      <c r="W86" s="28" t="str">
        <f t="shared" si="19"/>
        <v/>
      </c>
      <c r="X86" s="29" t="str">
        <f t="shared" si="1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20"/>
        <v/>
      </c>
      <c r="L87" s="19" t="str">
        <f t="shared" si="15"/>
        <v/>
      </c>
      <c r="M87" s="19" t="str">
        <f t="shared" si="16"/>
        <v/>
      </c>
      <c r="N87" s="19" t="str">
        <f t="shared" si="17"/>
        <v/>
      </c>
      <c r="O87" s="19" t="str">
        <f t="shared" si="10"/>
        <v/>
      </c>
      <c r="P87" s="19" t="str">
        <f t="shared" si="11"/>
        <v/>
      </c>
      <c r="Q87" s="19" t="str">
        <f t="shared" si="8"/>
        <v/>
      </c>
      <c r="R87" s="19" t="str">
        <f t="shared" si="14"/>
        <v/>
      </c>
      <c r="S87" s="27" t="str">
        <f t="shared" si="19"/>
        <v/>
      </c>
      <c r="T87" s="28" t="str">
        <f t="shared" si="19"/>
        <v/>
      </c>
      <c r="U87" s="28" t="str">
        <f t="shared" si="19"/>
        <v/>
      </c>
      <c r="V87" s="28" t="str">
        <f t="shared" si="19"/>
        <v/>
      </c>
      <c r="W87" s="28" t="str">
        <f t="shared" si="19"/>
        <v/>
      </c>
      <c r="X87" s="29" t="str">
        <f t="shared" si="1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20"/>
        <v/>
      </c>
      <c r="L88" s="19" t="str">
        <f t="shared" si="15"/>
        <v/>
      </c>
      <c r="M88" s="19" t="str">
        <f t="shared" si="16"/>
        <v/>
      </c>
      <c r="N88" s="19" t="str">
        <f t="shared" si="17"/>
        <v/>
      </c>
      <c r="O88" s="19" t="str">
        <f t="shared" si="10"/>
        <v/>
      </c>
      <c r="P88" s="19" t="str">
        <f t="shared" si="11"/>
        <v/>
      </c>
      <c r="Q88" s="19" t="str">
        <f t="shared" si="8"/>
        <v/>
      </c>
      <c r="R88" s="19" t="str">
        <f t="shared" si="14"/>
        <v/>
      </c>
      <c r="S88" s="27" t="str">
        <f t="shared" si="19"/>
        <v/>
      </c>
      <c r="T88" s="28" t="str">
        <f t="shared" si="19"/>
        <v/>
      </c>
      <c r="U88" s="28" t="str">
        <f t="shared" si="19"/>
        <v/>
      </c>
      <c r="V88" s="28" t="str">
        <f t="shared" si="19"/>
        <v/>
      </c>
      <c r="W88" s="28" t="str">
        <f t="shared" si="19"/>
        <v/>
      </c>
      <c r="X88" s="29" t="str">
        <f t="shared" si="1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20"/>
        <v/>
      </c>
      <c r="L89" s="19" t="str">
        <f t="shared" si="15"/>
        <v/>
      </c>
      <c r="M89" s="19" t="str">
        <f t="shared" si="16"/>
        <v/>
      </c>
      <c r="N89" s="19" t="str">
        <f t="shared" si="17"/>
        <v/>
      </c>
      <c r="O89" s="19" t="str">
        <f t="shared" si="10"/>
        <v/>
      </c>
      <c r="P89" s="19" t="str">
        <f t="shared" si="11"/>
        <v/>
      </c>
      <c r="Q89" s="19" t="str">
        <f t="shared" si="8"/>
        <v/>
      </c>
      <c r="R89" s="19" t="str">
        <f t="shared" si="14"/>
        <v/>
      </c>
      <c r="S89" s="27" t="str">
        <f t="shared" si="19"/>
        <v/>
      </c>
      <c r="T89" s="28" t="str">
        <f t="shared" si="19"/>
        <v/>
      </c>
      <c r="U89" s="28" t="str">
        <f t="shared" si="19"/>
        <v/>
      </c>
      <c r="V89" s="28" t="str">
        <f t="shared" si="19"/>
        <v/>
      </c>
      <c r="W89" s="28" t="str">
        <f t="shared" si="19"/>
        <v/>
      </c>
      <c r="X89" s="29" t="str">
        <f t="shared" si="1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20"/>
        <v/>
      </c>
      <c r="L90" s="19" t="str">
        <f t="shared" si="15"/>
        <v/>
      </c>
      <c r="M90" s="19" t="str">
        <f t="shared" si="16"/>
        <v/>
      </c>
      <c r="N90" s="19" t="str">
        <f t="shared" si="17"/>
        <v/>
      </c>
      <c r="O90" s="19" t="str">
        <f t="shared" si="10"/>
        <v/>
      </c>
      <c r="P90" s="19" t="str">
        <f t="shared" si="11"/>
        <v/>
      </c>
      <c r="Q90" s="19" t="str">
        <f t="shared" si="8"/>
        <v/>
      </c>
      <c r="R90" s="19" t="str">
        <f t="shared" si="14"/>
        <v/>
      </c>
      <c r="S90" s="27" t="str">
        <f t="shared" si="19"/>
        <v/>
      </c>
      <c r="T90" s="28" t="str">
        <f t="shared" si="19"/>
        <v/>
      </c>
      <c r="U90" s="28" t="str">
        <f t="shared" si="19"/>
        <v/>
      </c>
      <c r="V90" s="28" t="str">
        <f t="shared" si="19"/>
        <v/>
      </c>
      <c r="W90" s="28" t="str">
        <f t="shared" si="19"/>
        <v/>
      </c>
      <c r="X90" s="29" t="str">
        <f t="shared" si="1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20"/>
        <v/>
      </c>
      <c r="L91" s="19" t="str">
        <f t="shared" si="15"/>
        <v/>
      </c>
      <c r="M91" s="19" t="str">
        <f t="shared" si="16"/>
        <v/>
      </c>
      <c r="N91" s="19" t="str">
        <f t="shared" si="17"/>
        <v/>
      </c>
      <c r="O91" s="19" t="str">
        <f t="shared" si="10"/>
        <v/>
      </c>
      <c r="P91" s="19" t="str">
        <f t="shared" si="11"/>
        <v/>
      </c>
      <c r="Q91" s="19" t="str">
        <f t="shared" si="8"/>
        <v/>
      </c>
      <c r="R91" s="19" t="str">
        <f t="shared" si="14"/>
        <v/>
      </c>
      <c r="S91" s="27" t="str">
        <f t="shared" si="19"/>
        <v/>
      </c>
      <c r="T91" s="28" t="str">
        <f t="shared" si="19"/>
        <v/>
      </c>
      <c r="U91" s="28" t="str">
        <f t="shared" si="19"/>
        <v/>
      </c>
      <c r="V91" s="28" t="str">
        <f t="shared" si="19"/>
        <v/>
      </c>
      <c r="W91" s="28" t="str">
        <f t="shared" si="19"/>
        <v/>
      </c>
      <c r="X91" s="29" t="str">
        <f t="shared" si="1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20"/>
        <v/>
      </c>
      <c r="L92" s="19" t="str">
        <f t="shared" si="15"/>
        <v/>
      </c>
      <c r="M92" s="19" t="str">
        <f t="shared" si="16"/>
        <v/>
      </c>
      <c r="N92" s="19" t="str">
        <f t="shared" si="17"/>
        <v/>
      </c>
      <c r="O92" s="19" t="str">
        <f t="shared" si="10"/>
        <v/>
      </c>
      <c r="P92" s="19" t="str">
        <f t="shared" si="11"/>
        <v/>
      </c>
      <c r="Q92" s="19" t="str">
        <f t="shared" si="8"/>
        <v/>
      </c>
      <c r="R92" s="19" t="str">
        <f t="shared" si="14"/>
        <v/>
      </c>
      <c r="S92" s="27" t="str">
        <f t="shared" si="19"/>
        <v/>
      </c>
      <c r="T92" s="28" t="str">
        <f t="shared" si="19"/>
        <v/>
      </c>
      <c r="U92" s="28" t="str">
        <f t="shared" si="19"/>
        <v/>
      </c>
      <c r="V92" s="28" t="str">
        <f t="shared" si="19"/>
        <v/>
      </c>
      <c r="W92" s="28" t="str">
        <f t="shared" si="19"/>
        <v/>
      </c>
      <c r="X92" s="29" t="str">
        <f t="shared" si="1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20"/>
        <v/>
      </c>
      <c r="L93" s="19" t="str">
        <f t="shared" si="15"/>
        <v/>
      </c>
      <c r="M93" s="19" t="str">
        <f t="shared" si="16"/>
        <v/>
      </c>
      <c r="N93" s="19" t="str">
        <f t="shared" si="17"/>
        <v/>
      </c>
      <c r="O93" s="19" t="str">
        <f t="shared" si="10"/>
        <v/>
      </c>
      <c r="P93" s="19" t="str">
        <f t="shared" si="11"/>
        <v/>
      </c>
      <c r="Q93" s="19" t="str">
        <f t="shared" si="8"/>
        <v/>
      </c>
      <c r="R93" s="19" t="str">
        <f t="shared" si="14"/>
        <v/>
      </c>
      <c r="S93" s="27" t="str">
        <f t="shared" si="19"/>
        <v/>
      </c>
      <c r="T93" s="28" t="str">
        <f t="shared" si="19"/>
        <v/>
      </c>
      <c r="U93" s="28" t="str">
        <f t="shared" si="19"/>
        <v/>
      </c>
      <c r="V93" s="28" t="str">
        <f t="shared" si="19"/>
        <v/>
      </c>
      <c r="W93" s="28" t="str">
        <f t="shared" si="19"/>
        <v/>
      </c>
      <c r="X93" s="29" t="str">
        <f t="shared" si="1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20"/>
        <v/>
      </c>
      <c r="L94" s="19" t="str">
        <f t="shared" si="15"/>
        <v/>
      </c>
      <c r="M94" s="19" t="str">
        <f t="shared" si="16"/>
        <v/>
      </c>
      <c r="N94" s="19" t="str">
        <f t="shared" si="17"/>
        <v/>
      </c>
      <c r="O94" s="19" t="str">
        <f t="shared" si="10"/>
        <v/>
      </c>
      <c r="P94" s="19" t="str">
        <f t="shared" si="11"/>
        <v/>
      </c>
      <c r="Q94" s="19" t="str">
        <f t="shared" si="8"/>
        <v/>
      </c>
      <c r="R94" s="19" t="str">
        <f t="shared" ref="R94:R116" si="21">IF(ISBLANK(I94),"",(I94-I$16)*1000)</f>
        <v/>
      </c>
      <c r="S94" s="27" t="str">
        <f t="shared" si="19"/>
        <v/>
      </c>
      <c r="T94" s="28" t="str">
        <f t="shared" si="19"/>
        <v/>
      </c>
      <c r="U94" s="28" t="str">
        <f t="shared" si="19"/>
        <v/>
      </c>
      <c r="V94" s="28" t="str">
        <f t="shared" si="19"/>
        <v/>
      </c>
      <c r="W94" s="28" t="str">
        <f t="shared" si="19"/>
        <v/>
      </c>
      <c r="X94" s="29" t="str">
        <f t="shared" si="1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20"/>
        <v/>
      </c>
      <c r="L95" s="19" t="str">
        <f t="shared" ref="L95:L116" si="22">IF(ISBLANK(C95),"",(C95-C$16)*1000)</f>
        <v/>
      </c>
      <c r="M95" s="19" t="str">
        <f t="shared" ref="M95:M116" si="23">IF(ISBLANK(D95),"",(D95-D$16)*1000)</f>
        <v/>
      </c>
      <c r="N95" s="19" t="str">
        <f t="shared" ref="N95:N116" si="24">IF(ISBLANK(E95),"",(E95-E$16)*1000)</f>
        <v/>
      </c>
      <c r="O95" s="19" t="str">
        <f t="shared" si="10"/>
        <v/>
      </c>
      <c r="P95" s="19" t="str">
        <f t="shared" si="11"/>
        <v/>
      </c>
      <c r="Q95" s="19" t="str">
        <f t="shared" si="8"/>
        <v/>
      </c>
      <c r="R95" s="19" t="str">
        <f t="shared" si="21"/>
        <v/>
      </c>
      <c r="S95" s="27" t="str">
        <f t="shared" si="19"/>
        <v/>
      </c>
      <c r="T95" s="28" t="str">
        <f t="shared" si="19"/>
        <v/>
      </c>
      <c r="U95" s="28" t="str">
        <f t="shared" si="19"/>
        <v/>
      </c>
      <c r="V95" s="28" t="str">
        <f t="shared" si="19"/>
        <v/>
      </c>
      <c r="W95" s="28" t="str">
        <f t="shared" si="19"/>
        <v/>
      </c>
      <c r="X95" s="29" t="str">
        <f t="shared" si="1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20"/>
        <v/>
      </c>
      <c r="L96" s="19" t="str">
        <f t="shared" si="22"/>
        <v/>
      </c>
      <c r="M96" s="19" t="str">
        <f t="shared" si="23"/>
        <v/>
      </c>
      <c r="N96" s="19" t="str">
        <f t="shared" si="24"/>
        <v/>
      </c>
      <c r="O96" s="19" t="str">
        <f t="shared" si="10"/>
        <v/>
      </c>
      <c r="P96" s="19" t="str">
        <f t="shared" si="11"/>
        <v/>
      </c>
      <c r="Q96" s="19" t="str">
        <f t="shared" si="8"/>
        <v/>
      </c>
      <c r="R96" s="19" t="str">
        <f t="shared" si="21"/>
        <v/>
      </c>
      <c r="S96" s="27" t="str">
        <f t="shared" si="19"/>
        <v/>
      </c>
      <c r="T96" s="28" t="str">
        <f t="shared" si="19"/>
        <v/>
      </c>
      <c r="U96" s="28" t="str">
        <f t="shared" si="19"/>
        <v/>
      </c>
      <c r="V96" s="28" t="str">
        <f t="shared" si="19"/>
        <v/>
      </c>
      <c r="W96" s="28" t="str">
        <f t="shared" si="19"/>
        <v/>
      </c>
      <c r="X96" s="29" t="str">
        <f t="shared" si="1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20"/>
        <v/>
      </c>
      <c r="L97" s="19" t="str">
        <f t="shared" si="22"/>
        <v/>
      </c>
      <c r="M97" s="19" t="str">
        <f t="shared" si="23"/>
        <v/>
      </c>
      <c r="N97" s="19" t="str">
        <f t="shared" si="24"/>
        <v/>
      </c>
      <c r="O97" s="19" t="str">
        <f t="shared" si="10"/>
        <v/>
      </c>
      <c r="P97" s="19" t="str">
        <f t="shared" si="11"/>
        <v/>
      </c>
      <c r="Q97" s="19" t="str">
        <f t="shared" si="8"/>
        <v/>
      </c>
      <c r="R97" s="19" t="str">
        <f t="shared" si="21"/>
        <v/>
      </c>
      <c r="S97" s="27" t="str">
        <f t="shared" ref="S97:X112" si="25">IF(C97="","",((C97-C96)*1000)/($B97-$B96))</f>
        <v/>
      </c>
      <c r="T97" s="28" t="str">
        <f t="shared" si="25"/>
        <v/>
      </c>
      <c r="U97" s="28" t="str">
        <f t="shared" si="25"/>
        <v/>
      </c>
      <c r="V97" s="28" t="str">
        <f t="shared" si="25"/>
        <v/>
      </c>
      <c r="W97" s="28" t="str">
        <f t="shared" si="25"/>
        <v/>
      </c>
      <c r="X97" s="29" t="str">
        <f t="shared" si="25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20"/>
        <v/>
      </c>
      <c r="L98" s="19" t="str">
        <f t="shared" si="22"/>
        <v/>
      </c>
      <c r="M98" s="19" t="str">
        <f t="shared" si="23"/>
        <v/>
      </c>
      <c r="N98" s="19" t="str">
        <f t="shared" si="24"/>
        <v/>
      </c>
      <c r="O98" s="19" t="str">
        <f t="shared" si="10"/>
        <v/>
      </c>
      <c r="P98" s="19" t="str">
        <f t="shared" si="11"/>
        <v/>
      </c>
      <c r="Q98" s="19" t="str">
        <f t="shared" ref="Q98:Q153" si="26">IF(ISBLANK(H98),"",((H98-H$33)*1000)+N$32)</f>
        <v/>
      </c>
      <c r="R98" s="19" t="str">
        <f t="shared" si="21"/>
        <v/>
      </c>
      <c r="S98" s="27" t="str">
        <f t="shared" si="25"/>
        <v/>
      </c>
      <c r="T98" s="28" t="str">
        <f t="shared" si="25"/>
        <v/>
      </c>
      <c r="U98" s="28" t="str">
        <f t="shared" si="25"/>
        <v/>
      </c>
      <c r="V98" s="28" t="str">
        <f t="shared" si="25"/>
        <v/>
      </c>
      <c r="W98" s="28" t="str">
        <f t="shared" si="25"/>
        <v/>
      </c>
      <c r="X98" s="29" t="str">
        <f t="shared" si="25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20"/>
        <v/>
      </c>
      <c r="L99" s="19" t="str">
        <f t="shared" si="22"/>
        <v/>
      </c>
      <c r="M99" s="19" t="str">
        <f t="shared" si="23"/>
        <v/>
      </c>
      <c r="N99" s="19" t="str">
        <f t="shared" si="24"/>
        <v/>
      </c>
      <c r="O99" s="19" t="str">
        <f t="shared" si="10"/>
        <v/>
      </c>
      <c r="P99" s="19" t="str">
        <f t="shared" si="11"/>
        <v/>
      </c>
      <c r="Q99" s="19" t="str">
        <f t="shared" si="26"/>
        <v/>
      </c>
      <c r="R99" s="19" t="str">
        <f t="shared" si="21"/>
        <v/>
      </c>
      <c r="S99" s="27" t="str">
        <f t="shared" si="25"/>
        <v/>
      </c>
      <c r="T99" s="28" t="str">
        <f t="shared" si="25"/>
        <v/>
      </c>
      <c r="U99" s="28" t="str">
        <f t="shared" si="25"/>
        <v/>
      </c>
      <c r="V99" s="28" t="str">
        <f t="shared" si="25"/>
        <v/>
      </c>
      <c r="W99" s="28" t="str">
        <f t="shared" si="25"/>
        <v/>
      </c>
      <c r="X99" s="29" t="str">
        <f t="shared" si="25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20"/>
        <v/>
      </c>
      <c r="L100" s="19" t="str">
        <f t="shared" si="22"/>
        <v/>
      </c>
      <c r="M100" s="19" t="str">
        <f t="shared" si="23"/>
        <v/>
      </c>
      <c r="N100" s="19" t="str">
        <f t="shared" si="24"/>
        <v/>
      </c>
      <c r="O100" s="19" t="str">
        <f t="shared" si="10"/>
        <v/>
      </c>
      <c r="P100" s="19" t="str">
        <f t="shared" si="11"/>
        <v/>
      </c>
      <c r="Q100" s="19" t="str">
        <f t="shared" si="26"/>
        <v/>
      </c>
      <c r="R100" s="19" t="str">
        <f t="shared" si="21"/>
        <v/>
      </c>
      <c r="S100" s="27" t="str">
        <f t="shared" si="25"/>
        <v/>
      </c>
      <c r="T100" s="28" t="str">
        <f t="shared" si="25"/>
        <v/>
      </c>
      <c r="U100" s="28" t="str">
        <f t="shared" si="25"/>
        <v/>
      </c>
      <c r="V100" s="28" t="str">
        <f t="shared" si="25"/>
        <v/>
      </c>
      <c r="W100" s="28" t="str">
        <f t="shared" si="25"/>
        <v/>
      </c>
      <c r="X100" s="29" t="str">
        <f t="shared" si="25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20"/>
        <v/>
      </c>
      <c r="L101" s="19" t="str">
        <f t="shared" si="22"/>
        <v/>
      </c>
      <c r="M101" s="19" t="str">
        <f t="shared" si="23"/>
        <v/>
      </c>
      <c r="N101" s="19" t="str">
        <f t="shared" si="24"/>
        <v/>
      </c>
      <c r="O101" s="19" t="str">
        <f t="shared" si="10"/>
        <v/>
      </c>
      <c r="P101" s="19" t="str">
        <f t="shared" si="11"/>
        <v/>
      </c>
      <c r="Q101" s="19" t="str">
        <f t="shared" si="26"/>
        <v/>
      </c>
      <c r="R101" s="19" t="str">
        <f t="shared" si="21"/>
        <v/>
      </c>
      <c r="S101" s="27" t="str">
        <f t="shared" si="25"/>
        <v/>
      </c>
      <c r="T101" s="28" t="str">
        <f t="shared" si="25"/>
        <v/>
      </c>
      <c r="U101" s="28" t="str">
        <f t="shared" si="25"/>
        <v/>
      </c>
      <c r="V101" s="28" t="str">
        <f t="shared" si="25"/>
        <v/>
      </c>
      <c r="W101" s="28" t="str">
        <f t="shared" si="25"/>
        <v/>
      </c>
      <c r="X101" s="29" t="str">
        <f t="shared" si="25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20"/>
        <v/>
      </c>
      <c r="L102" s="19" t="str">
        <f t="shared" si="22"/>
        <v/>
      </c>
      <c r="M102" s="19" t="str">
        <f t="shared" si="23"/>
        <v/>
      </c>
      <c r="N102" s="19" t="str">
        <f t="shared" si="24"/>
        <v/>
      </c>
      <c r="O102" s="19" t="str">
        <f t="shared" si="10"/>
        <v/>
      </c>
      <c r="P102" s="19" t="str">
        <f t="shared" si="11"/>
        <v/>
      </c>
      <c r="Q102" s="19" t="str">
        <f t="shared" si="26"/>
        <v/>
      </c>
      <c r="R102" s="19" t="str">
        <f t="shared" si="21"/>
        <v/>
      </c>
      <c r="S102" s="27" t="str">
        <f t="shared" si="25"/>
        <v/>
      </c>
      <c r="T102" s="28" t="str">
        <f t="shared" si="25"/>
        <v/>
      </c>
      <c r="U102" s="28" t="str">
        <f t="shared" si="25"/>
        <v/>
      </c>
      <c r="V102" s="28" t="str">
        <f t="shared" si="25"/>
        <v/>
      </c>
      <c r="W102" s="28" t="str">
        <f t="shared" si="25"/>
        <v/>
      </c>
      <c r="X102" s="29" t="str">
        <f t="shared" si="25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20"/>
        <v/>
      </c>
      <c r="L103" s="19" t="str">
        <f t="shared" si="22"/>
        <v/>
      </c>
      <c r="M103" s="19" t="str">
        <f t="shared" si="23"/>
        <v/>
      </c>
      <c r="N103" s="19" t="str">
        <f t="shared" si="24"/>
        <v/>
      </c>
      <c r="O103" s="19" t="str">
        <f t="shared" si="10"/>
        <v/>
      </c>
      <c r="P103" s="19" t="str">
        <f t="shared" si="11"/>
        <v/>
      </c>
      <c r="Q103" s="19" t="str">
        <f t="shared" si="26"/>
        <v/>
      </c>
      <c r="R103" s="19" t="str">
        <f t="shared" si="21"/>
        <v/>
      </c>
      <c r="S103" s="27" t="str">
        <f t="shared" si="25"/>
        <v/>
      </c>
      <c r="T103" s="28" t="str">
        <f t="shared" si="25"/>
        <v/>
      </c>
      <c r="U103" s="28" t="str">
        <f t="shared" si="25"/>
        <v/>
      </c>
      <c r="V103" s="28" t="str">
        <f t="shared" si="25"/>
        <v/>
      </c>
      <c r="W103" s="28" t="str">
        <f t="shared" si="25"/>
        <v/>
      </c>
      <c r="X103" s="29" t="str">
        <f t="shared" si="25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0"/>
        <v/>
      </c>
      <c r="L104" s="19" t="str">
        <f t="shared" si="22"/>
        <v/>
      </c>
      <c r="M104" s="19" t="str">
        <f t="shared" si="23"/>
        <v/>
      </c>
      <c r="N104" s="19" t="str">
        <f t="shared" si="24"/>
        <v/>
      </c>
      <c r="O104" s="19" t="str">
        <f t="shared" si="10"/>
        <v/>
      </c>
      <c r="P104" s="19" t="str">
        <f t="shared" si="11"/>
        <v/>
      </c>
      <c r="Q104" s="19" t="str">
        <f t="shared" si="26"/>
        <v/>
      </c>
      <c r="R104" s="19" t="str">
        <f t="shared" si="21"/>
        <v/>
      </c>
      <c r="S104" s="27" t="str">
        <f t="shared" si="25"/>
        <v/>
      </c>
      <c r="T104" s="28" t="str">
        <f t="shared" si="25"/>
        <v/>
      </c>
      <c r="U104" s="28" t="str">
        <f t="shared" si="25"/>
        <v/>
      </c>
      <c r="V104" s="28" t="str">
        <f t="shared" si="25"/>
        <v/>
      </c>
      <c r="W104" s="28" t="str">
        <f t="shared" si="25"/>
        <v/>
      </c>
      <c r="X104" s="29" t="str">
        <f t="shared" si="25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0"/>
        <v/>
      </c>
      <c r="L105" s="19" t="str">
        <f t="shared" si="22"/>
        <v/>
      </c>
      <c r="M105" s="19" t="str">
        <f t="shared" si="23"/>
        <v/>
      </c>
      <c r="N105" s="19" t="str">
        <f t="shared" si="24"/>
        <v/>
      </c>
      <c r="O105" s="19" t="str">
        <f t="shared" si="10"/>
        <v/>
      </c>
      <c r="P105" s="19" t="str">
        <f t="shared" si="11"/>
        <v/>
      </c>
      <c r="Q105" s="19" t="str">
        <f t="shared" si="26"/>
        <v/>
      </c>
      <c r="R105" s="19" t="str">
        <f t="shared" si="21"/>
        <v/>
      </c>
      <c r="S105" s="27" t="str">
        <f t="shared" si="25"/>
        <v/>
      </c>
      <c r="T105" s="28" t="str">
        <f t="shared" si="25"/>
        <v/>
      </c>
      <c r="U105" s="28" t="str">
        <f t="shared" si="25"/>
        <v/>
      </c>
      <c r="V105" s="28" t="str">
        <f t="shared" si="25"/>
        <v/>
      </c>
      <c r="W105" s="28" t="str">
        <f t="shared" si="25"/>
        <v/>
      </c>
      <c r="X105" s="29" t="str">
        <f t="shared" si="25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0"/>
        <v/>
      </c>
      <c r="L106" s="19" t="str">
        <f t="shared" si="22"/>
        <v/>
      </c>
      <c r="M106" s="19" t="str">
        <f t="shared" si="23"/>
        <v/>
      </c>
      <c r="N106" s="19" t="str">
        <f t="shared" si="24"/>
        <v/>
      </c>
      <c r="O106" s="19" t="str">
        <f t="shared" ref="O106:O153" si="27">IF(ISBLANK(F106),"",((F106-F$41)*1000)+O$40)</f>
        <v/>
      </c>
      <c r="P106" s="19" t="str">
        <f t="shared" ref="P106:P153" si="28">IF(ISBLANK(G106),"",((G106-G$41)*1000)+P$40)</f>
        <v/>
      </c>
      <c r="Q106" s="19" t="str">
        <f t="shared" si="26"/>
        <v/>
      </c>
      <c r="R106" s="19" t="str">
        <f t="shared" si="21"/>
        <v/>
      </c>
      <c r="S106" s="27" t="str">
        <f t="shared" si="25"/>
        <v/>
      </c>
      <c r="T106" s="28" t="str">
        <f t="shared" si="25"/>
        <v/>
      </c>
      <c r="U106" s="28" t="str">
        <f t="shared" si="25"/>
        <v/>
      </c>
      <c r="V106" s="28" t="str">
        <f t="shared" si="25"/>
        <v/>
      </c>
      <c r="W106" s="28" t="str">
        <f t="shared" si="25"/>
        <v/>
      </c>
      <c r="X106" s="29" t="str">
        <f t="shared" si="25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0"/>
        <v/>
      </c>
      <c r="L107" s="19" t="str">
        <f t="shared" si="22"/>
        <v/>
      </c>
      <c r="M107" s="19" t="str">
        <f t="shared" si="23"/>
        <v/>
      </c>
      <c r="N107" s="19" t="str">
        <f t="shared" si="24"/>
        <v/>
      </c>
      <c r="O107" s="19" t="str">
        <f t="shared" si="27"/>
        <v/>
      </c>
      <c r="P107" s="19" t="str">
        <f t="shared" si="28"/>
        <v/>
      </c>
      <c r="Q107" s="19" t="str">
        <f t="shared" si="26"/>
        <v/>
      </c>
      <c r="R107" s="19" t="str">
        <f t="shared" si="21"/>
        <v/>
      </c>
      <c r="S107" s="27" t="str">
        <f t="shared" si="25"/>
        <v/>
      </c>
      <c r="T107" s="28" t="str">
        <f t="shared" si="25"/>
        <v/>
      </c>
      <c r="U107" s="28" t="str">
        <f t="shared" si="25"/>
        <v/>
      </c>
      <c r="V107" s="28" t="str">
        <f t="shared" si="25"/>
        <v/>
      </c>
      <c r="W107" s="28" t="str">
        <f t="shared" si="25"/>
        <v/>
      </c>
      <c r="X107" s="29" t="str">
        <f t="shared" si="25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0"/>
        <v/>
      </c>
      <c r="L108" s="19" t="str">
        <f t="shared" si="22"/>
        <v/>
      </c>
      <c r="M108" s="19" t="str">
        <f t="shared" si="23"/>
        <v/>
      </c>
      <c r="N108" s="19" t="str">
        <f t="shared" si="24"/>
        <v/>
      </c>
      <c r="O108" s="19" t="str">
        <f t="shared" si="27"/>
        <v/>
      </c>
      <c r="P108" s="19" t="str">
        <f t="shared" si="28"/>
        <v/>
      </c>
      <c r="Q108" s="19" t="str">
        <f t="shared" si="26"/>
        <v/>
      </c>
      <c r="R108" s="19" t="str">
        <f t="shared" si="21"/>
        <v/>
      </c>
      <c r="S108" s="27" t="str">
        <f t="shared" si="25"/>
        <v/>
      </c>
      <c r="T108" s="28" t="str">
        <f t="shared" si="25"/>
        <v/>
      </c>
      <c r="U108" s="28" t="str">
        <f t="shared" si="25"/>
        <v/>
      </c>
      <c r="V108" s="28" t="str">
        <f t="shared" si="25"/>
        <v/>
      </c>
      <c r="W108" s="28" t="str">
        <f t="shared" si="25"/>
        <v/>
      </c>
      <c r="X108" s="29" t="str">
        <f t="shared" si="25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0"/>
        <v/>
      </c>
      <c r="L109" s="19" t="str">
        <f t="shared" si="22"/>
        <v/>
      </c>
      <c r="M109" s="19" t="str">
        <f t="shared" si="23"/>
        <v/>
      </c>
      <c r="N109" s="19" t="str">
        <f t="shared" si="24"/>
        <v/>
      </c>
      <c r="O109" s="19" t="str">
        <f t="shared" si="27"/>
        <v/>
      </c>
      <c r="P109" s="19" t="str">
        <f t="shared" si="28"/>
        <v/>
      </c>
      <c r="Q109" s="19" t="str">
        <f t="shared" si="26"/>
        <v/>
      </c>
      <c r="R109" s="19" t="str">
        <f t="shared" si="21"/>
        <v/>
      </c>
      <c r="S109" s="27" t="str">
        <f t="shared" si="25"/>
        <v/>
      </c>
      <c r="T109" s="28" t="str">
        <f t="shared" si="25"/>
        <v/>
      </c>
      <c r="U109" s="28" t="str">
        <f t="shared" si="25"/>
        <v/>
      </c>
      <c r="V109" s="28" t="str">
        <f t="shared" si="25"/>
        <v/>
      </c>
      <c r="W109" s="28" t="str">
        <f t="shared" si="25"/>
        <v/>
      </c>
      <c r="X109" s="29" t="str">
        <f t="shared" si="25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0"/>
        <v/>
      </c>
      <c r="L110" s="19" t="str">
        <f t="shared" si="22"/>
        <v/>
      </c>
      <c r="M110" s="19" t="str">
        <f t="shared" si="23"/>
        <v/>
      </c>
      <c r="N110" s="19" t="str">
        <f t="shared" si="24"/>
        <v/>
      </c>
      <c r="O110" s="19" t="str">
        <f t="shared" si="27"/>
        <v/>
      </c>
      <c r="P110" s="19" t="str">
        <f t="shared" si="28"/>
        <v/>
      </c>
      <c r="Q110" s="19" t="str">
        <f t="shared" si="26"/>
        <v/>
      </c>
      <c r="R110" s="19" t="str">
        <f t="shared" si="21"/>
        <v/>
      </c>
      <c r="S110" s="27" t="str">
        <f t="shared" si="25"/>
        <v/>
      </c>
      <c r="T110" s="28" t="str">
        <f t="shared" si="25"/>
        <v/>
      </c>
      <c r="U110" s="28" t="str">
        <f t="shared" si="25"/>
        <v/>
      </c>
      <c r="V110" s="28" t="str">
        <f t="shared" si="25"/>
        <v/>
      </c>
      <c r="W110" s="28" t="str">
        <f t="shared" si="25"/>
        <v/>
      </c>
      <c r="X110" s="29" t="str">
        <f t="shared" si="25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0"/>
        <v/>
      </c>
      <c r="L111" s="19" t="str">
        <f t="shared" si="22"/>
        <v/>
      </c>
      <c r="M111" s="19" t="str">
        <f t="shared" si="23"/>
        <v/>
      </c>
      <c r="N111" s="19" t="str">
        <f t="shared" si="24"/>
        <v/>
      </c>
      <c r="O111" s="19" t="str">
        <f t="shared" si="27"/>
        <v/>
      </c>
      <c r="P111" s="19" t="str">
        <f t="shared" si="28"/>
        <v/>
      </c>
      <c r="Q111" s="19" t="str">
        <f t="shared" si="26"/>
        <v/>
      </c>
      <c r="R111" s="19" t="str">
        <f t="shared" si="21"/>
        <v/>
      </c>
      <c r="S111" s="27" t="str">
        <f t="shared" si="25"/>
        <v/>
      </c>
      <c r="T111" s="28" t="str">
        <f t="shared" si="25"/>
        <v/>
      </c>
      <c r="U111" s="28" t="str">
        <f t="shared" si="25"/>
        <v/>
      </c>
      <c r="V111" s="28" t="str">
        <f t="shared" si="25"/>
        <v/>
      </c>
      <c r="W111" s="28" t="str">
        <f t="shared" si="25"/>
        <v/>
      </c>
      <c r="X111" s="29" t="str">
        <f t="shared" si="25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0"/>
        <v/>
      </c>
      <c r="L112" s="19" t="str">
        <f t="shared" si="22"/>
        <v/>
      </c>
      <c r="M112" s="19" t="str">
        <f t="shared" si="23"/>
        <v/>
      </c>
      <c r="N112" s="19" t="str">
        <f t="shared" si="24"/>
        <v/>
      </c>
      <c r="O112" s="19" t="str">
        <f t="shared" si="27"/>
        <v/>
      </c>
      <c r="P112" s="19" t="str">
        <f t="shared" si="28"/>
        <v/>
      </c>
      <c r="Q112" s="19" t="str">
        <f t="shared" si="26"/>
        <v/>
      </c>
      <c r="R112" s="19" t="str">
        <f t="shared" si="21"/>
        <v/>
      </c>
      <c r="S112" s="27" t="str">
        <f t="shared" si="25"/>
        <v/>
      </c>
      <c r="T112" s="28" t="str">
        <f t="shared" si="25"/>
        <v/>
      </c>
      <c r="U112" s="28" t="str">
        <f t="shared" si="25"/>
        <v/>
      </c>
      <c r="V112" s="28" t="str">
        <f t="shared" si="25"/>
        <v/>
      </c>
      <c r="W112" s="28" t="str">
        <f t="shared" si="25"/>
        <v/>
      </c>
      <c r="X112" s="29" t="str">
        <f t="shared" si="25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0"/>
        <v/>
      </c>
      <c r="L113" s="19" t="str">
        <f t="shared" si="22"/>
        <v/>
      </c>
      <c r="M113" s="19" t="str">
        <f t="shared" si="23"/>
        <v/>
      </c>
      <c r="N113" s="19" t="str">
        <f t="shared" si="24"/>
        <v/>
      </c>
      <c r="O113" s="19" t="str">
        <f t="shared" si="27"/>
        <v/>
      </c>
      <c r="P113" s="19" t="str">
        <f t="shared" si="28"/>
        <v/>
      </c>
      <c r="Q113" s="19" t="str">
        <f t="shared" si="26"/>
        <v/>
      </c>
      <c r="R113" s="19" t="str">
        <f t="shared" si="21"/>
        <v/>
      </c>
      <c r="S113" s="27" t="str">
        <f t="shared" ref="S113:X128" si="29">IF(C113="","",((C113-C112)*1000)/($B113-$B112))</f>
        <v/>
      </c>
      <c r="T113" s="28" t="str">
        <f t="shared" si="29"/>
        <v/>
      </c>
      <c r="U113" s="28" t="str">
        <f t="shared" si="29"/>
        <v/>
      </c>
      <c r="V113" s="28" t="str">
        <f t="shared" si="29"/>
        <v/>
      </c>
      <c r="W113" s="28" t="str">
        <f t="shared" si="29"/>
        <v/>
      </c>
      <c r="X113" s="29" t="str">
        <f t="shared" si="29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0"/>
        <v/>
      </c>
      <c r="L114" s="19" t="str">
        <f t="shared" si="22"/>
        <v/>
      </c>
      <c r="M114" s="19" t="str">
        <f t="shared" si="23"/>
        <v/>
      </c>
      <c r="N114" s="19" t="str">
        <f t="shared" si="24"/>
        <v/>
      </c>
      <c r="O114" s="19" t="str">
        <f t="shared" si="27"/>
        <v/>
      </c>
      <c r="P114" s="19" t="str">
        <f t="shared" si="28"/>
        <v/>
      </c>
      <c r="Q114" s="19" t="str">
        <f t="shared" si="26"/>
        <v/>
      </c>
      <c r="R114" s="19" t="str">
        <f t="shared" si="21"/>
        <v/>
      </c>
      <c r="S114" s="27" t="str">
        <f t="shared" si="29"/>
        <v/>
      </c>
      <c r="T114" s="28" t="str">
        <f t="shared" si="29"/>
        <v/>
      </c>
      <c r="U114" s="28" t="str">
        <f t="shared" si="29"/>
        <v/>
      </c>
      <c r="V114" s="28" t="str">
        <f t="shared" si="29"/>
        <v/>
      </c>
      <c r="W114" s="28" t="str">
        <f t="shared" si="29"/>
        <v/>
      </c>
      <c r="X114" s="29" t="str">
        <f t="shared" si="29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0"/>
        <v/>
      </c>
      <c r="L115" s="19" t="str">
        <f t="shared" si="22"/>
        <v/>
      </c>
      <c r="M115" s="19" t="str">
        <f t="shared" si="23"/>
        <v/>
      </c>
      <c r="N115" s="19" t="str">
        <f t="shared" si="24"/>
        <v/>
      </c>
      <c r="O115" s="19" t="str">
        <f t="shared" si="27"/>
        <v/>
      </c>
      <c r="P115" s="19" t="str">
        <f t="shared" si="28"/>
        <v/>
      </c>
      <c r="Q115" s="19" t="str">
        <f t="shared" si="26"/>
        <v/>
      </c>
      <c r="R115" s="19" t="str">
        <f t="shared" si="21"/>
        <v/>
      </c>
      <c r="S115" s="27" t="str">
        <f t="shared" si="29"/>
        <v/>
      </c>
      <c r="T115" s="28" t="str">
        <f t="shared" si="29"/>
        <v/>
      </c>
      <c r="U115" s="28" t="str">
        <f t="shared" si="29"/>
        <v/>
      </c>
      <c r="V115" s="28" t="str">
        <f t="shared" si="29"/>
        <v/>
      </c>
      <c r="W115" s="28" t="str">
        <f t="shared" si="29"/>
        <v/>
      </c>
      <c r="X115" s="29" t="str">
        <f t="shared" si="29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0"/>
        <v/>
      </c>
      <c r="L116" s="19" t="str">
        <f t="shared" si="22"/>
        <v/>
      </c>
      <c r="M116" s="19" t="str">
        <f t="shared" si="23"/>
        <v/>
      </c>
      <c r="N116" s="19" t="str">
        <f t="shared" si="24"/>
        <v/>
      </c>
      <c r="O116" s="19" t="str">
        <f t="shared" si="27"/>
        <v/>
      </c>
      <c r="P116" s="19" t="str">
        <f t="shared" si="28"/>
        <v/>
      </c>
      <c r="Q116" s="19" t="str">
        <f t="shared" si="26"/>
        <v/>
      </c>
      <c r="R116" s="19" t="str">
        <f t="shared" si="21"/>
        <v/>
      </c>
      <c r="S116" s="27" t="str">
        <f t="shared" si="29"/>
        <v/>
      </c>
      <c r="T116" s="28" t="str">
        <f t="shared" si="29"/>
        <v/>
      </c>
      <c r="U116" s="28" t="str">
        <f t="shared" si="29"/>
        <v/>
      </c>
      <c r="V116" s="28" t="str">
        <f t="shared" si="29"/>
        <v/>
      </c>
      <c r="W116" s="28" t="str">
        <f t="shared" si="29"/>
        <v/>
      </c>
      <c r="X116" s="29" t="str">
        <f t="shared" si="29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0"/>
        <v/>
      </c>
      <c r="L117" s="19" t="str">
        <f>IF(ISBLANK(C117),"",(C117-C$16)*1000)</f>
        <v/>
      </c>
      <c r="M117" s="19" t="str">
        <f t="shared" ref="M117:R153" si="30">IF(ISBLANK(D117),"",(D117-D$16)*1000)</f>
        <v/>
      </c>
      <c r="N117" s="19" t="str">
        <f t="shared" si="30"/>
        <v/>
      </c>
      <c r="O117" s="19" t="str">
        <f t="shared" si="27"/>
        <v/>
      </c>
      <c r="P117" s="19" t="str">
        <f t="shared" si="28"/>
        <v/>
      </c>
      <c r="Q117" s="19" t="str">
        <f t="shared" si="26"/>
        <v/>
      </c>
      <c r="R117" s="19" t="str">
        <f t="shared" si="30"/>
        <v/>
      </c>
      <c r="S117" s="27" t="str">
        <f t="shared" si="29"/>
        <v/>
      </c>
      <c r="T117" s="28" t="str">
        <f t="shared" si="29"/>
        <v/>
      </c>
      <c r="U117" s="28" t="str">
        <f t="shared" si="29"/>
        <v/>
      </c>
      <c r="V117" s="28" t="str">
        <f t="shared" si="29"/>
        <v/>
      </c>
      <c r="W117" s="28" t="str">
        <f t="shared" si="29"/>
        <v/>
      </c>
      <c r="X117" s="29" t="str">
        <f t="shared" si="29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0"/>
        <v/>
      </c>
      <c r="L118" s="19" t="str">
        <f t="shared" ref="L118:L153" si="31">IF(ISBLANK(C118),"",(C118-C$16)*1000)</f>
        <v/>
      </c>
      <c r="M118" s="19" t="str">
        <f t="shared" si="30"/>
        <v/>
      </c>
      <c r="N118" s="19" t="str">
        <f t="shared" si="30"/>
        <v/>
      </c>
      <c r="O118" s="19" t="str">
        <f t="shared" si="27"/>
        <v/>
      </c>
      <c r="P118" s="19" t="str">
        <f t="shared" si="28"/>
        <v/>
      </c>
      <c r="Q118" s="19" t="str">
        <f t="shared" si="26"/>
        <v/>
      </c>
      <c r="R118" s="19" t="str">
        <f t="shared" si="30"/>
        <v/>
      </c>
      <c r="S118" s="27" t="str">
        <f t="shared" si="29"/>
        <v/>
      </c>
      <c r="T118" s="28" t="str">
        <f t="shared" si="29"/>
        <v/>
      </c>
      <c r="U118" s="28" t="str">
        <f t="shared" si="29"/>
        <v/>
      </c>
      <c r="V118" s="28" t="str">
        <f t="shared" si="29"/>
        <v/>
      </c>
      <c r="W118" s="28" t="str">
        <f t="shared" si="29"/>
        <v/>
      </c>
      <c r="X118" s="29" t="str">
        <f t="shared" si="29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0"/>
        <v/>
      </c>
      <c r="L119" s="19" t="str">
        <f t="shared" si="31"/>
        <v/>
      </c>
      <c r="M119" s="19" t="str">
        <f t="shared" si="30"/>
        <v/>
      </c>
      <c r="N119" s="19" t="str">
        <f t="shared" si="30"/>
        <v/>
      </c>
      <c r="O119" s="19" t="str">
        <f t="shared" si="27"/>
        <v/>
      </c>
      <c r="P119" s="19" t="str">
        <f t="shared" si="28"/>
        <v/>
      </c>
      <c r="Q119" s="19" t="str">
        <f t="shared" si="26"/>
        <v/>
      </c>
      <c r="R119" s="19" t="str">
        <f t="shared" si="30"/>
        <v/>
      </c>
      <c r="S119" s="27" t="str">
        <f t="shared" si="29"/>
        <v/>
      </c>
      <c r="T119" s="28" t="str">
        <f t="shared" si="29"/>
        <v/>
      </c>
      <c r="U119" s="28" t="str">
        <f t="shared" si="29"/>
        <v/>
      </c>
      <c r="V119" s="28" t="str">
        <f t="shared" si="29"/>
        <v/>
      </c>
      <c r="W119" s="28" t="str">
        <f t="shared" si="29"/>
        <v/>
      </c>
      <c r="X119" s="29" t="str">
        <f t="shared" si="29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0"/>
        <v/>
      </c>
      <c r="L120" s="19" t="str">
        <f t="shared" si="31"/>
        <v/>
      </c>
      <c r="M120" s="19" t="str">
        <f t="shared" si="30"/>
        <v/>
      </c>
      <c r="N120" s="19" t="str">
        <f t="shared" si="30"/>
        <v/>
      </c>
      <c r="O120" s="19" t="str">
        <f t="shared" si="27"/>
        <v/>
      </c>
      <c r="P120" s="19" t="str">
        <f t="shared" si="28"/>
        <v/>
      </c>
      <c r="Q120" s="19" t="str">
        <f t="shared" si="26"/>
        <v/>
      </c>
      <c r="R120" s="19" t="str">
        <f t="shared" si="30"/>
        <v/>
      </c>
      <c r="S120" s="27" t="str">
        <f t="shared" si="29"/>
        <v/>
      </c>
      <c r="T120" s="28" t="str">
        <f t="shared" si="29"/>
        <v/>
      </c>
      <c r="U120" s="28" t="str">
        <f t="shared" si="29"/>
        <v/>
      </c>
      <c r="V120" s="28" t="str">
        <f t="shared" si="29"/>
        <v/>
      </c>
      <c r="W120" s="28" t="str">
        <f t="shared" si="29"/>
        <v/>
      </c>
      <c r="X120" s="29" t="str">
        <f t="shared" si="29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0"/>
        <v/>
      </c>
      <c r="L121" s="19" t="str">
        <f t="shared" si="31"/>
        <v/>
      </c>
      <c r="M121" s="19" t="str">
        <f t="shared" si="30"/>
        <v/>
      </c>
      <c r="N121" s="19" t="str">
        <f t="shared" si="30"/>
        <v/>
      </c>
      <c r="O121" s="19" t="str">
        <f t="shared" si="27"/>
        <v/>
      </c>
      <c r="P121" s="19" t="str">
        <f t="shared" si="28"/>
        <v/>
      </c>
      <c r="Q121" s="19" t="str">
        <f t="shared" si="26"/>
        <v/>
      </c>
      <c r="R121" s="19" t="str">
        <f t="shared" si="30"/>
        <v/>
      </c>
      <c r="S121" s="27" t="str">
        <f t="shared" si="29"/>
        <v/>
      </c>
      <c r="T121" s="28" t="str">
        <f t="shared" si="29"/>
        <v/>
      </c>
      <c r="U121" s="28" t="str">
        <f t="shared" si="29"/>
        <v/>
      </c>
      <c r="V121" s="28" t="str">
        <f t="shared" si="29"/>
        <v/>
      </c>
      <c r="W121" s="28" t="str">
        <f t="shared" si="29"/>
        <v/>
      </c>
      <c r="X121" s="29" t="str">
        <f t="shared" si="29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0"/>
        <v/>
      </c>
      <c r="L122" s="19" t="str">
        <f t="shared" si="31"/>
        <v/>
      </c>
      <c r="M122" s="19" t="str">
        <f t="shared" si="30"/>
        <v/>
      </c>
      <c r="N122" s="19" t="str">
        <f t="shared" si="30"/>
        <v/>
      </c>
      <c r="O122" s="19" t="str">
        <f t="shared" si="27"/>
        <v/>
      </c>
      <c r="P122" s="19" t="str">
        <f t="shared" si="28"/>
        <v/>
      </c>
      <c r="Q122" s="19" t="str">
        <f t="shared" si="26"/>
        <v/>
      </c>
      <c r="R122" s="19" t="str">
        <f t="shared" si="30"/>
        <v/>
      </c>
      <c r="S122" s="27" t="str">
        <f t="shared" si="29"/>
        <v/>
      </c>
      <c r="T122" s="28" t="str">
        <f t="shared" si="29"/>
        <v/>
      </c>
      <c r="U122" s="28" t="str">
        <f t="shared" si="29"/>
        <v/>
      </c>
      <c r="V122" s="28" t="str">
        <f t="shared" si="29"/>
        <v/>
      </c>
      <c r="W122" s="28" t="str">
        <f t="shared" si="29"/>
        <v/>
      </c>
      <c r="X122" s="29" t="str">
        <f t="shared" si="29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0"/>
        <v/>
      </c>
      <c r="L123" s="19" t="str">
        <f t="shared" si="31"/>
        <v/>
      </c>
      <c r="M123" s="19" t="str">
        <f t="shared" si="30"/>
        <v/>
      </c>
      <c r="N123" s="19" t="str">
        <f t="shared" si="30"/>
        <v/>
      </c>
      <c r="O123" s="19" t="str">
        <f t="shared" si="27"/>
        <v/>
      </c>
      <c r="P123" s="19" t="str">
        <f t="shared" si="28"/>
        <v/>
      </c>
      <c r="Q123" s="19" t="str">
        <f t="shared" si="26"/>
        <v/>
      </c>
      <c r="R123" s="19" t="str">
        <f t="shared" si="30"/>
        <v/>
      </c>
      <c r="S123" s="27" t="str">
        <f t="shared" si="29"/>
        <v/>
      </c>
      <c r="T123" s="28" t="str">
        <f t="shared" si="29"/>
        <v/>
      </c>
      <c r="U123" s="28" t="str">
        <f t="shared" si="29"/>
        <v/>
      </c>
      <c r="V123" s="28" t="str">
        <f t="shared" si="29"/>
        <v/>
      </c>
      <c r="W123" s="28" t="str">
        <f t="shared" si="29"/>
        <v/>
      </c>
      <c r="X123" s="29" t="str">
        <f t="shared" si="29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0"/>
        <v/>
      </c>
      <c r="L124" s="19" t="str">
        <f t="shared" si="31"/>
        <v/>
      </c>
      <c r="M124" s="19" t="str">
        <f t="shared" si="30"/>
        <v/>
      </c>
      <c r="N124" s="19" t="str">
        <f t="shared" si="30"/>
        <v/>
      </c>
      <c r="O124" s="19" t="str">
        <f t="shared" si="27"/>
        <v/>
      </c>
      <c r="P124" s="19" t="str">
        <f t="shared" si="28"/>
        <v/>
      </c>
      <c r="Q124" s="19" t="str">
        <f t="shared" si="26"/>
        <v/>
      </c>
      <c r="R124" s="19" t="str">
        <f t="shared" si="30"/>
        <v/>
      </c>
      <c r="S124" s="27" t="str">
        <f t="shared" si="29"/>
        <v/>
      </c>
      <c r="T124" s="28" t="str">
        <f t="shared" si="29"/>
        <v/>
      </c>
      <c r="U124" s="28" t="str">
        <f t="shared" si="29"/>
        <v/>
      </c>
      <c r="V124" s="28" t="str">
        <f t="shared" si="29"/>
        <v/>
      </c>
      <c r="W124" s="28" t="str">
        <f t="shared" si="29"/>
        <v/>
      </c>
      <c r="X124" s="29" t="str">
        <f t="shared" si="29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0"/>
        <v/>
      </c>
      <c r="L125" s="19" t="str">
        <f t="shared" si="31"/>
        <v/>
      </c>
      <c r="M125" s="19" t="str">
        <f t="shared" si="30"/>
        <v/>
      </c>
      <c r="N125" s="19" t="str">
        <f t="shared" si="30"/>
        <v/>
      </c>
      <c r="O125" s="19" t="str">
        <f t="shared" si="27"/>
        <v/>
      </c>
      <c r="P125" s="19" t="str">
        <f t="shared" si="28"/>
        <v/>
      </c>
      <c r="Q125" s="19" t="str">
        <f t="shared" si="26"/>
        <v/>
      </c>
      <c r="R125" s="19" t="str">
        <f t="shared" si="30"/>
        <v/>
      </c>
      <c r="S125" s="27" t="str">
        <f t="shared" si="29"/>
        <v/>
      </c>
      <c r="T125" s="28" t="str">
        <f t="shared" si="29"/>
        <v/>
      </c>
      <c r="U125" s="28" t="str">
        <f t="shared" si="29"/>
        <v/>
      </c>
      <c r="V125" s="28" t="str">
        <f t="shared" si="29"/>
        <v/>
      </c>
      <c r="W125" s="28" t="str">
        <f t="shared" si="29"/>
        <v/>
      </c>
      <c r="X125" s="29" t="str">
        <f t="shared" si="29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0"/>
        <v/>
      </c>
      <c r="L126" s="19" t="str">
        <f t="shared" si="31"/>
        <v/>
      </c>
      <c r="M126" s="19" t="str">
        <f t="shared" si="30"/>
        <v/>
      </c>
      <c r="N126" s="19" t="str">
        <f t="shared" si="30"/>
        <v/>
      </c>
      <c r="O126" s="19" t="str">
        <f t="shared" si="27"/>
        <v/>
      </c>
      <c r="P126" s="19" t="str">
        <f t="shared" si="28"/>
        <v/>
      </c>
      <c r="Q126" s="19" t="str">
        <f t="shared" si="26"/>
        <v/>
      </c>
      <c r="R126" s="19" t="str">
        <f t="shared" si="30"/>
        <v/>
      </c>
      <c r="S126" s="27" t="str">
        <f t="shared" si="29"/>
        <v/>
      </c>
      <c r="T126" s="28" t="str">
        <f t="shared" si="29"/>
        <v/>
      </c>
      <c r="U126" s="28" t="str">
        <f t="shared" si="29"/>
        <v/>
      </c>
      <c r="V126" s="28" t="str">
        <f t="shared" si="29"/>
        <v/>
      </c>
      <c r="W126" s="28" t="str">
        <f t="shared" si="29"/>
        <v/>
      </c>
      <c r="X126" s="29" t="str">
        <f t="shared" si="29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0"/>
        <v/>
      </c>
      <c r="L127" s="19" t="str">
        <f t="shared" si="31"/>
        <v/>
      </c>
      <c r="M127" s="19" t="str">
        <f t="shared" si="30"/>
        <v/>
      </c>
      <c r="N127" s="19" t="str">
        <f t="shared" si="30"/>
        <v/>
      </c>
      <c r="O127" s="19" t="str">
        <f t="shared" si="27"/>
        <v/>
      </c>
      <c r="P127" s="19" t="str">
        <f t="shared" si="28"/>
        <v/>
      </c>
      <c r="Q127" s="19" t="str">
        <f t="shared" si="26"/>
        <v/>
      </c>
      <c r="R127" s="19" t="str">
        <f t="shared" si="30"/>
        <v/>
      </c>
      <c r="S127" s="27" t="str">
        <f t="shared" si="29"/>
        <v/>
      </c>
      <c r="T127" s="28" t="str">
        <f t="shared" si="29"/>
        <v/>
      </c>
      <c r="U127" s="28" t="str">
        <f t="shared" si="29"/>
        <v/>
      </c>
      <c r="V127" s="28" t="str">
        <f t="shared" si="29"/>
        <v/>
      </c>
      <c r="W127" s="28" t="str">
        <f t="shared" si="29"/>
        <v/>
      </c>
      <c r="X127" s="29" t="str">
        <f t="shared" si="29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0"/>
        <v/>
      </c>
      <c r="L128" s="19" t="str">
        <f t="shared" si="31"/>
        <v/>
      </c>
      <c r="M128" s="19" t="str">
        <f t="shared" si="30"/>
        <v/>
      </c>
      <c r="N128" s="19" t="str">
        <f t="shared" si="30"/>
        <v/>
      </c>
      <c r="O128" s="19" t="str">
        <f t="shared" si="27"/>
        <v/>
      </c>
      <c r="P128" s="19" t="str">
        <f t="shared" si="28"/>
        <v/>
      </c>
      <c r="Q128" s="19" t="str">
        <f t="shared" si="26"/>
        <v/>
      </c>
      <c r="R128" s="19" t="str">
        <f t="shared" si="30"/>
        <v/>
      </c>
      <c r="S128" s="27" t="str">
        <f t="shared" si="29"/>
        <v/>
      </c>
      <c r="T128" s="28" t="str">
        <f t="shared" si="29"/>
        <v/>
      </c>
      <c r="U128" s="28" t="str">
        <f t="shared" si="29"/>
        <v/>
      </c>
      <c r="V128" s="28" t="str">
        <f t="shared" si="29"/>
        <v/>
      </c>
      <c r="W128" s="28" t="str">
        <f t="shared" si="29"/>
        <v/>
      </c>
      <c r="X128" s="29" t="str">
        <f t="shared" si="29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0"/>
        <v/>
      </c>
      <c r="L129" s="19" t="str">
        <f t="shared" si="31"/>
        <v/>
      </c>
      <c r="M129" s="19" t="str">
        <f t="shared" si="30"/>
        <v/>
      </c>
      <c r="N129" s="19" t="str">
        <f t="shared" si="30"/>
        <v/>
      </c>
      <c r="O129" s="19" t="str">
        <f t="shared" si="27"/>
        <v/>
      </c>
      <c r="P129" s="19" t="str">
        <f t="shared" si="28"/>
        <v/>
      </c>
      <c r="Q129" s="19" t="str">
        <f t="shared" si="26"/>
        <v/>
      </c>
      <c r="R129" s="19" t="str">
        <f t="shared" si="30"/>
        <v/>
      </c>
      <c r="S129" s="27" t="str">
        <f t="shared" ref="S129:X144" si="32">IF(C129="","",((C129-C128)*1000)/($B129-$B128))</f>
        <v/>
      </c>
      <c r="T129" s="28" t="str">
        <f t="shared" si="32"/>
        <v/>
      </c>
      <c r="U129" s="28" t="str">
        <f t="shared" si="32"/>
        <v/>
      </c>
      <c r="V129" s="28" t="str">
        <f t="shared" si="32"/>
        <v/>
      </c>
      <c r="W129" s="28" t="str">
        <f t="shared" si="32"/>
        <v/>
      </c>
      <c r="X129" s="29" t="str">
        <f t="shared" si="3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0"/>
        <v/>
      </c>
      <c r="L130" s="19" t="str">
        <f t="shared" si="31"/>
        <v/>
      </c>
      <c r="M130" s="19" t="str">
        <f t="shared" si="30"/>
        <v/>
      </c>
      <c r="N130" s="19" t="str">
        <f t="shared" si="30"/>
        <v/>
      </c>
      <c r="O130" s="19" t="str">
        <f t="shared" si="27"/>
        <v/>
      </c>
      <c r="P130" s="19" t="str">
        <f t="shared" si="28"/>
        <v/>
      </c>
      <c r="Q130" s="19" t="str">
        <f t="shared" si="26"/>
        <v/>
      </c>
      <c r="R130" s="19" t="str">
        <f t="shared" si="30"/>
        <v/>
      </c>
      <c r="S130" s="27" t="str">
        <f t="shared" si="32"/>
        <v/>
      </c>
      <c r="T130" s="28" t="str">
        <f t="shared" si="32"/>
        <v/>
      </c>
      <c r="U130" s="28" t="str">
        <f t="shared" si="32"/>
        <v/>
      </c>
      <c r="V130" s="28" t="str">
        <f t="shared" si="32"/>
        <v/>
      </c>
      <c r="W130" s="28" t="str">
        <f t="shared" si="32"/>
        <v/>
      </c>
      <c r="X130" s="29" t="str">
        <f t="shared" si="3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0"/>
        <v/>
      </c>
      <c r="L131" s="19" t="str">
        <f t="shared" si="31"/>
        <v/>
      </c>
      <c r="M131" s="19" t="str">
        <f t="shared" si="30"/>
        <v/>
      </c>
      <c r="N131" s="19" t="str">
        <f t="shared" si="30"/>
        <v/>
      </c>
      <c r="O131" s="19" t="str">
        <f t="shared" si="27"/>
        <v/>
      </c>
      <c r="P131" s="19" t="str">
        <f t="shared" si="28"/>
        <v/>
      </c>
      <c r="Q131" s="19" t="str">
        <f t="shared" si="26"/>
        <v/>
      </c>
      <c r="R131" s="19" t="str">
        <f t="shared" si="30"/>
        <v/>
      </c>
      <c r="S131" s="27" t="str">
        <f t="shared" si="32"/>
        <v/>
      </c>
      <c r="T131" s="28" t="str">
        <f t="shared" si="32"/>
        <v/>
      </c>
      <c r="U131" s="28" t="str">
        <f t="shared" si="32"/>
        <v/>
      </c>
      <c r="V131" s="28" t="str">
        <f t="shared" si="32"/>
        <v/>
      </c>
      <c r="W131" s="28" t="str">
        <f t="shared" si="32"/>
        <v/>
      </c>
      <c r="X131" s="29" t="str">
        <f t="shared" si="3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0"/>
        <v/>
      </c>
      <c r="L132" s="19" t="str">
        <f t="shared" si="31"/>
        <v/>
      </c>
      <c r="M132" s="19" t="str">
        <f t="shared" si="30"/>
        <v/>
      </c>
      <c r="N132" s="19" t="str">
        <f t="shared" si="30"/>
        <v/>
      </c>
      <c r="O132" s="19" t="str">
        <f t="shared" si="27"/>
        <v/>
      </c>
      <c r="P132" s="19" t="str">
        <f t="shared" si="28"/>
        <v/>
      </c>
      <c r="Q132" s="19" t="str">
        <f t="shared" si="26"/>
        <v/>
      </c>
      <c r="R132" s="19" t="str">
        <f t="shared" si="30"/>
        <v/>
      </c>
      <c r="S132" s="27" t="str">
        <f t="shared" si="32"/>
        <v/>
      </c>
      <c r="T132" s="28" t="str">
        <f t="shared" si="32"/>
        <v/>
      </c>
      <c r="U132" s="28" t="str">
        <f t="shared" si="32"/>
        <v/>
      </c>
      <c r="V132" s="28" t="str">
        <f t="shared" si="32"/>
        <v/>
      </c>
      <c r="W132" s="28" t="str">
        <f t="shared" si="32"/>
        <v/>
      </c>
      <c r="X132" s="29" t="str">
        <f t="shared" si="3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0"/>
        <v/>
      </c>
      <c r="L133" s="19" t="str">
        <f t="shared" si="31"/>
        <v/>
      </c>
      <c r="M133" s="19" t="str">
        <f t="shared" si="30"/>
        <v/>
      </c>
      <c r="N133" s="19" t="str">
        <f t="shared" si="30"/>
        <v/>
      </c>
      <c r="O133" s="19" t="str">
        <f t="shared" si="27"/>
        <v/>
      </c>
      <c r="P133" s="19" t="str">
        <f t="shared" si="28"/>
        <v/>
      </c>
      <c r="Q133" s="19" t="str">
        <f t="shared" si="26"/>
        <v/>
      </c>
      <c r="R133" s="19" t="str">
        <f t="shared" si="30"/>
        <v/>
      </c>
      <c r="S133" s="27" t="str">
        <f t="shared" si="32"/>
        <v/>
      </c>
      <c r="T133" s="28" t="str">
        <f t="shared" si="32"/>
        <v/>
      </c>
      <c r="U133" s="28" t="str">
        <f t="shared" si="32"/>
        <v/>
      </c>
      <c r="V133" s="28" t="str">
        <f t="shared" si="32"/>
        <v/>
      </c>
      <c r="W133" s="28" t="str">
        <f t="shared" si="32"/>
        <v/>
      </c>
      <c r="X133" s="29" t="str">
        <f t="shared" si="3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0"/>
        <v/>
      </c>
      <c r="L134" s="19" t="str">
        <f t="shared" si="31"/>
        <v/>
      </c>
      <c r="M134" s="19" t="str">
        <f t="shared" si="30"/>
        <v/>
      </c>
      <c r="N134" s="19" t="str">
        <f t="shared" si="30"/>
        <v/>
      </c>
      <c r="O134" s="19" t="str">
        <f t="shared" si="27"/>
        <v/>
      </c>
      <c r="P134" s="19" t="str">
        <f t="shared" si="28"/>
        <v/>
      </c>
      <c r="Q134" s="19" t="str">
        <f t="shared" si="26"/>
        <v/>
      </c>
      <c r="R134" s="19" t="str">
        <f t="shared" si="30"/>
        <v/>
      </c>
      <c r="S134" s="27" t="str">
        <f t="shared" si="32"/>
        <v/>
      </c>
      <c r="T134" s="28" t="str">
        <f t="shared" si="32"/>
        <v/>
      </c>
      <c r="U134" s="28" t="str">
        <f t="shared" si="32"/>
        <v/>
      </c>
      <c r="V134" s="28" t="str">
        <f t="shared" si="32"/>
        <v/>
      </c>
      <c r="W134" s="28" t="str">
        <f t="shared" si="32"/>
        <v/>
      </c>
      <c r="X134" s="29" t="str">
        <f t="shared" si="3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0"/>
        <v/>
      </c>
      <c r="L135" s="19" t="str">
        <f t="shared" si="31"/>
        <v/>
      </c>
      <c r="M135" s="19" t="str">
        <f t="shared" si="30"/>
        <v/>
      </c>
      <c r="N135" s="19" t="str">
        <f t="shared" si="30"/>
        <v/>
      </c>
      <c r="O135" s="19" t="str">
        <f t="shared" si="27"/>
        <v/>
      </c>
      <c r="P135" s="19" t="str">
        <f t="shared" si="28"/>
        <v/>
      </c>
      <c r="Q135" s="19" t="str">
        <f t="shared" si="26"/>
        <v/>
      </c>
      <c r="R135" s="19" t="str">
        <f t="shared" si="30"/>
        <v/>
      </c>
      <c r="S135" s="27" t="str">
        <f t="shared" si="32"/>
        <v/>
      </c>
      <c r="T135" s="28" t="str">
        <f t="shared" si="32"/>
        <v/>
      </c>
      <c r="U135" s="28" t="str">
        <f t="shared" si="32"/>
        <v/>
      </c>
      <c r="V135" s="28" t="str">
        <f t="shared" si="32"/>
        <v/>
      </c>
      <c r="W135" s="28" t="str">
        <f t="shared" si="32"/>
        <v/>
      </c>
      <c r="X135" s="29" t="str">
        <f t="shared" si="3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0"/>
        <v/>
      </c>
      <c r="L136" s="19" t="str">
        <f t="shared" si="31"/>
        <v/>
      </c>
      <c r="M136" s="19" t="str">
        <f t="shared" si="30"/>
        <v/>
      </c>
      <c r="N136" s="19" t="str">
        <f t="shared" si="30"/>
        <v/>
      </c>
      <c r="O136" s="19" t="str">
        <f t="shared" si="27"/>
        <v/>
      </c>
      <c r="P136" s="19" t="str">
        <f t="shared" si="28"/>
        <v/>
      </c>
      <c r="Q136" s="19" t="str">
        <f t="shared" si="26"/>
        <v/>
      </c>
      <c r="R136" s="19" t="str">
        <f t="shared" si="30"/>
        <v/>
      </c>
      <c r="S136" s="27" t="str">
        <f t="shared" si="32"/>
        <v/>
      </c>
      <c r="T136" s="28" t="str">
        <f t="shared" si="32"/>
        <v/>
      </c>
      <c r="U136" s="28" t="str">
        <f t="shared" si="32"/>
        <v/>
      </c>
      <c r="V136" s="28" t="str">
        <f t="shared" si="32"/>
        <v/>
      </c>
      <c r="W136" s="28" t="str">
        <f t="shared" si="32"/>
        <v/>
      </c>
      <c r="X136" s="29" t="str">
        <f t="shared" si="3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0"/>
        <v/>
      </c>
      <c r="L137" s="19" t="str">
        <f t="shared" si="31"/>
        <v/>
      </c>
      <c r="M137" s="19" t="str">
        <f t="shared" si="30"/>
        <v/>
      </c>
      <c r="N137" s="19" t="str">
        <f t="shared" si="30"/>
        <v/>
      </c>
      <c r="O137" s="19" t="str">
        <f t="shared" si="27"/>
        <v/>
      </c>
      <c r="P137" s="19" t="str">
        <f t="shared" si="28"/>
        <v/>
      </c>
      <c r="Q137" s="19" t="str">
        <f t="shared" si="26"/>
        <v/>
      </c>
      <c r="R137" s="19" t="str">
        <f t="shared" si="30"/>
        <v/>
      </c>
      <c r="S137" s="27" t="str">
        <f t="shared" si="32"/>
        <v/>
      </c>
      <c r="T137" s="28" t="str">
        <f t="shared" si="32"/>
        <v/>
      </c>
      <c r="U137" s="28" t="str">
        <f t="shared" si="32"/>
        <v/>
      </c>
      <c r="V137" s="28" t="str">
        <f t="shared" si="32"/>
        <v/>
      </c>
      <c r="W137" s="28" t="str">
        <f t="shared" si="32"/>
        <v/>
      </c>
      <c r="X137" s="29" t="str">
        <f t="shared" si="3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0"/>
        <v/>
      </c>
      <c r="L138" s="19" t="str">
        <f t="shared" si="31"/>
        <v/>
      </c>
      <c r="M138" s="19" t="str">
        <f t="shared" si="30"/>
        <v/>
      </c>
      <c r="N138" s="19" t="str">
        <f t="shared" si="30"/>
        <v/>
      </c>
      <c r="O138" s="19" t="str">
        <f t="shared" si="27"/>
        <v/>
      </c>
      <c r="P138" s="19" t="str">
        <f t="shared" si="28"/>
        <v/>
      </c>
      <c r="Q138" s="19" t="str">
        <f t="shared" si="26"/>
        <v/>
      </c>
      <c r="R138" s="19" t="str">
        <f t="shared" si="30"/>
        <v/>
      </c>
      <c r="S138" s="27" t="str">
        <f t="shared" si="32"/>
        <v/>
      </c>
      <c r="T138" s="28" t="str">
        <f t="shared" si="32"/>
        <v/>
      </c>
      <c r="U138" s="28" t="str">
        <f t="shared" si="32"/>
        <v/>
      </c>
      <c r="V138" s="28" t="str">
        <f t="shared" si="32"/>
        <v/>
      </c>
      <c r="W138" s="28" t="str">
        <f t="shared" si="32"/>
        <v/>
      </c>
      <c r="X138" s="29" t="str">
        <f t="shared" si="3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0"/>
        <v/>
      </c>
      <c r="L139" s="19" t="str">
        <f t="shared" si="31"/>
        <v/>
      </c>
      <c r="M139" s="19" t="str">
        <f t="shared" si="30"/>
        <v/>
      </c>
      <c r="N139" s="19" t="str">
        <f t="shared" si="30"/>
        <v/>
      </c>
      <c r="O139" s="19" t="str">
        <f t="shared" si="27"/>
        <v/>
      </c>
      <c r="P139" s="19" t="str">
        <f t="shared" si="28"/>
        <v/>
      </c>
      <c r="Q139" s="19" t="str">
        <f t="shared" si="26"/>
        <v/>
      </c>
      <c r="R139" s="19" t="str">
        <f t="shared" si="30"/>
        <v/>
      </c>
      <c r="S139" s="27" t="str">
        <f t="shared" si="32"/>
        <v/>
      </c>
      <c r="T139" s="28" t="str">
        <f t="shared" si="32"/>
        <v/>
      </c>
      <c r="U139" s="28" t="str">
        <f t="shared" si="32"/>
        <v/>
      </c>
      <c r="V139" s="28" t="str">
        <f t="shared" si="32"/>
        <v/>
      </c>
      <c r="W139" s="28" t="str">
        <f t="shared" si="32"/>
        <v/>
      </c>
      <c r="X139" s="29" t="str">
        <f t="shared" si="3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0"/>
        <v/>
      </c>
      <c r="L140" s="19" t="str">
        <f t="shared" si="31"/>
        <v/>
      </c>
      <c r="M140" s="19" t="str">
        <f t="shared" si="30"/>
        <v/>
      </c>
      <c r="N140" s="19" t="str">
        <f t="shared" si="30"/>
        <v/>
      </c>
      <c r="O140" s="19" t="str">
        <f t="shared" si="27"/>
        <v/>
      </c>
      <c r="P140" s="19" t="str">
        <f t="shared" si="28"/>
        <v/>
      </c>
      <c r="Q140" s="19" t="str">
        <f t="shared" si="26"/>
        <v/>
      </c>
      <c r="R140" s="19" t="str">
        <f t="shared" si="30"/>
        <v/>
      </c>
      <c r="S140" s="27" t="str">
        <f t="shared" si="32"/>
        <v/>
      </c>
      <c r="T140" s="28" t="str">
        <f t="shared" si="32"/>
        <v/>
      </c>
      <c r="U140" s="28" t="str">
        <f t="shared" si="32"/>
        <v/>
      </c>
      <c r="V140" s="28" t="str">
        <f t="shared" si="32"/>
        <v/>
      </c>
      <c r="W140" s="28" t="str">
        <f t="shared" si="32"/>
        <v/>
      </c>
      <c r="X140" s="29" t="str">
        <f t="shared" si="3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0"/>
        <v/>
      </c>
      <c r="L141" s="19" t="str">
        <f t="shared" si="31"/>
        <v/>
      </c>
      <c r="M141" s="19" t="str">
        <f t="shared" si="30"/>
        <v/>
      </c>
      <c r="N141" s="19" t="str">
        <f t="shared" si="30"/>
        <v/>
      </c>
      <c r="O141" s="19" t="str">
        <f t="shared" si="27"/>
        <v/>
      </c>
      <c r="P141" s="19" t="str">
        <f t="shared" si="28"/>
        <v/>
      </c>
      <c r="Q141" s="19" t="str">
        <f t="shared" si="26"/>
        <v/>
      </c>
      <c r="R141" s="19" t="str">
        <f t="shared" si="30"/>
        <v/>
      </c>
      <c r="S141" s="27" t="str">
        <f t="shared" si="32"/>
        <v/>
      </c>
      <c r="T141" s="28" t="str">
        <f t="shared" si="32"/>
        <v/>
      </c>
      <c r="U141" s="28" t="str">
        <f t="shared" si="32"/>
        <v/>
      </c>
      <c r="V141" s="28" t="str">
        <f t="shared" si="32"/>
        <v/>
      </c>
      <c r="W141" s="28" t="str">
        <f t="shared" si="32"/>
        <v/>
      </c>
      <c r="X141" s="29" t="str">
        <f t="shared" si="3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0"/>
        <v/>
      </c>
      <c r="L142" s="19" t="str">
        <f t="shared" si="31"/>
        <v/>
      </c>
      <c r="M142" s="19" t="str">
        <f t="shared" si="30"/>
        <v/>
      </c>
      <c r="N142" s="19" t="str">
        <f t="shared" si="30"/>
        <v/>
      </c>
      <c r="O142" s="19" t="str">
        <f t="shared" si="27"/>
        <v/>
      </c>
      <c r="P142" s="19" t="str">
        <f t="shared" si="28"/>
        <v/>
      </c>
      <c r="Q142" s="19" t="str">
        <f t="shared" si="26"/>
        <v/>
      </c>
      <c r="R142" s="19" t="str">
        <f t="shared" si="30"/>
        <v/>
      </c>
      <c r="S142" s="27" t="str">
        <f t="shared" si="32"/>
        <v/>
      </c>
      <c r="T142" s="28" t="str">
        <f t="shared" si="32"/>
        <v/>
      </c>
      <c r="U142" s="28" t="str">
        <f t="shared" si="32"/>
        <v/>
      </c>
      <c r="V142" s="28" t="str">
        <f t="shared" si="32"/>
        <v/>
      </c>
      <c r="W142" s="28" t="str">
        <f t="shared" si="32"/>
        <v/>
      </c>
      <c r="X142" s="29" t="str">
        <f t="shared" si="3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0"/>
        <v/>
      </c>
      <c r="L143" s="19" t="str">
        <f t="shared" si="31"/>
        <v/>
      </c>
      <c r="M143" s="19" t="str">
        <f t="shared" si="30"/>
        <v/>
      </c>
      <c r="N143" s="19" t="str">
        <f t="shared" si="30"/>
        <v/>
      </c>
      <c r="O143" s="19" t="str">
        <f t="shared" si="27"/>
        <v/>
      </c>
      <c r="P143" s="19" t="str">
        <f t="shared" si="28"/>
        <v/>
      </c>
      <c r="Q143" s="19" t="str">
        <f t="shared" si="26"/>
        <v/>
      </c>
      <c r="R143" s="19" t="str">
        <f t="shared" si="30"/>
        <v/>
      </c>
      <c r="S143" s="27" t="str">
        <f t="shared" si="32"/>
        <v/>
      </c>
      <c r="T143" s="28" t="str">
        <f t="shared" si="32"/>
        <v/>
      </c>
      <c r="U143" s="28" t="str">
        <f t="shared" si="32"/>
        <v/>
      </c>
      <c r="V143" s="28" t="str">
        <f t="shared" si="32"/>
        <v/>
      </c>
      <c r="W143" s="28" t="str">
        <f t="shared" si="32"/>
        <v/>
      </c>
      <c r="X143" s="29" t="str">
        <f t="shared" si="3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0"/>
        <v/>
      </c>
      <c r="L144" s="19" t="str">
        <f t="shared" si="31"/>
        <v/>
      </c>
      <c r="M144" s="19" t="str">
        <f t="shared" si="30"/>
        <v/>
      </c>
      <c r="N144" s="19" t="str">
        <f t="shared" si="30"/>
        <v/>
      </c>
      <c r="O144" s="19" t="str">
        <f t="shared" si="27"/>
        <v/>
      </c>
      <c r="P144" s="19" t="str">
        <f t="shared" si="28"/>
        <v/>
      </c>
      <c r="Q144" s="19" t="str">
        <f t="shared" si="26"/>
        <v/>
      </c>
      <c r="R144" s="19" t="str">
        <f t="shared" si="30"/>
        <v/>
      </c>
      <c r="S144" s="27" t="str">
        <f t="shared" si="32"/>
        <v/>
      </c>
      <c r="T144" s="28" t="str">
        <f t="shared" si="32"/>
        <v/>
      </c>
      <c r="U144" s="28" t="str">
        <f t="shared" si="32"/>
        <v/>
      </c>
      <c r="V144" s="28" t="str">
        <f t="shared" si="32"/>
        <v/>
      </c>
      <c r="W144" s="28" t="str">
        <f t="shared" si="32"/>
        <v/>
      </c>
      <c r="X144" s="29" t="str">
        <f t="shared" si="3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0"/>
        <v/>
      </c>
      <c r="L145" s="19" t="str">
        <f t="shared" si="31"/>
        <v/>
      </c>
      <c r="M145" s="19" t="str">
        <f t="shared" si="30"/>
        <v/>
      </c>
      <c r="N145" s="19" t="str">
        <f t="shared" si="30"/>
        <v/>
      </c>
      <c r="O145" s="19" t="str">
        <f t="shared" si="27"/>
        <v/>
      </c>
      <c r="P145" s="19" t="str">
        <f t="shared" si="28"/>
        <v/>
      </c>
      <c r="Q145" s="19" t="str">
        <f t="shared" si="26"/>
        <v/>
      </c>
      <c r="R145" s="19" t="str">
        <f t="shared" si="30"/>
        <v/>
      </c>
      <c r="S145" s="27" t="str">
        <f t="shared" ref="S145:X153" si="33">IF(C145="","",((C145-C144)*1000)/($B145-$B144))</f>
        <v/>
      </c>
      <c r="T145" s="28" t="str">
        <f t="shared" si="33"/>
        <v/>
      </c>
      <c r="U145" s="28" t="str">
        <f t="shared" si="33"/>
        <v/>
      </c>
      <c r="V145" s="28" t="str">
        <f t="shared" si="33"/>
        <v/>
      </c>
      <c r="W145" s="28" t="str">
        <f t="shared" si="33"/>
        <v/>
      </c>
      <c r="X145" s="29" t="str">
        <f t="shared" si="33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ref="K146:K153" si="34">IF(ISBLANK(J146),"",(J146-$J$8))</f>
        <v/>
      </c>
      <c r="L146" s="19" t="str">
        <f t="shared" si="31"/>
        <v/>
      </c>
      <c r="M146" s="19" t="str">
        <f t="shared" si="30"/>
        <v/>
      </c>
      <c r="N146" s="19" t="str">
        <f t="shared" si="30"/>
        <v/>
      </c>
      <c r="O146" s="19" t="str">
        <f t="shared" si="27"/>
        <v/>
      </c>
      <c r="P146" s="19" t="str">
        <f t="shared" si="28"/>
        <v/>
      </c>
      <c r="Q146" s="19" t="str">
        <f t="shared" si="26"/>
        <v/>
      </c>
      <c r="R146" s="19" t="str">
        <f t="shared" si="30"/>
        <v/>
      </c>
      <c r="S146" s="27" t="str">
        <f t="shared" si="33"/>
        <v/>
      </c>
      <c r="T146" s="28" t="str">
        <f t="shared" si="33"/>
        <v/>
      </c>
      <c r="U146" s="28" t="str">
        <f t="shared" si="33"/>
        <v/>
      </c>
      <c r="V146" s="28" t="str">
        <f t="shared" si="33"/>
        <v/>
      </c>
      <c r="W146" s="28" t="str">
        <f t="shared" si="33"/>
        <v/>
      </c>
      <c r="X146" s="29" t="str">
        <f t="shared" si="33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4"/>
        <v/>
      </c>
      <c r="L147" s="19" t="str">
        <f t="shared" si="31"/>
        <v/>
      </c>
      <c r="M147" s="19" t="str">
        <f t="shared" si="30"/>
        <v/>
      </c>
      <c r="N147" s="19" t="str">
        <f t="shared" si="30"/>
        <v/>
      </c>
      <c r="O147" s="19" t="str">
        <f t="shared" si="27"/>
        <v/>
      </c>
      <c r="P147" s="19" t="str">
        <f t="shared" si="28"/>
        <v/>
      </c>
      <c r="Q147" s="19" t="str">
        <f t="shared" si="26"/>
        <v/>
      </c>
      <c r="R147" s="19" t="str">
        <f t="shared" si="30"/>
        <v/>
      </c>
      <c r="S147" s="27" t="str">
        <f t="shared" si="33"/>
        <v/>
      </c>
      <c r="T147" s="28" t="str">
        <f t="shared" si="33"/>
        <v/>
      </c>
      <c r="U147" s="28" t="str">
        <f t="shared" si="33"/>
        <v/>
      </c>
      <c r="V147" s="28" t="str">
        <f t="shared" si="33"/>
        <v/>
      </c>
      <c r="W147" s="28" t="str">
        <f t="shared" si="33"/>
        <v/>
      </c>
      <c r="X147" s="29" t="str">
        <f t="shared" si="33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4"/>
        <v/>
      </c>
      <c r="L148" s="19" t="str">
        <f t="shared" si="31"/>
        <v/>
      </c>
      <c r="M148" s="19" t="str">
        <f t="shared" si="30"/>
        <v/>
      </c>
      <c r="N148" s="19" t="str">
        <f t="shared" si="30"/>
        <v/>
      </c>
      <c r="O148" s="19" t="str">
        <f t="shared" si="27"/>
        <v/>
      </c>
      <c r="P148" s="19" t="str">
        <f t="shared" si="28"/>
        <v/>
      </c>
      <c r="Q148" s="19" t="str">
        <f t="shared" si="26"/>
        <v/>
      </c>
      <c r="R148" s="19" t="str">
        <f t="shared" si="30"/>
        <v/>
      </c>
      <c r="S148" s="27" t="str">
        <f t="shared" si="33"/>
        <v/>
      </c>
      <c r="T148" s="28" t="str">
        <f t="shared" si="33"/>
        <v/>
      </c>
      <c r="U148" s="28" t="str">
        <f t="shared" si="33"/>
        <v/>
      </c>
      <c r="V148" s="28" t="str">
        <f t="shared" si="33"/>
        <v/>
      </c>
      <c r="W148" s="28" t="str">
        <f t="shared" si="33"/>
        <v/>
      </c>
      <c r="X148" s="29" t="str">
        <f t="shared" si="33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4"/>
        <v/>
      </c>
      <c r="L149" s="19" t="str">
        <f t="shared" si="31"/>
        <v/>
      </c>
      <c r="M149" s="19" t="str">
        <f t="shared" si="30"/>
        <v/>
      </c>
      <c r="N149" s="19" t="str">
        <f t="shared" si="30"/>
        <v/>
      </c>
      <c r="O149" s="19" t="str">
        <f t="shared" si="27"/>
        <v/>
      </c>
      <c r="P149" s="19" t="str">
        <f t="shared" si="28"/>
        <v/>
      </c>
      <c r="Q149" s="19" t="str">
        <f t="shared" si="26"/>
        <v/>
      </c>
      <c r="R149" s="19" t="str">
        <f t="shared" si="30"/>
        <v/>
      </c>
      <c r="S149" s="27" t="str">
        <f t="shared" si="33"/>
        <v/>
      </c>
      <c r="T149" s="28" t="str">
        <f t="shared" si="33"/>
        <v/>
      </c>
      <c r="U149" s="28" t="str">
        <f t="shared" si="33"/>
        <v/>
      </c>
      <c r="V149" s="28" t="str">
        <f t="shared" si="33"/>
        <v/>
      </c>
      <c r="W149" s="28" t="str">
        <f t="shared" si="33"/>
        <v/>
      </c>
      <c r="X149" s="29" t="str">
        <f t="shared" si="33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4"/>
        <v/>
      </c>
      <c r="L150" s="19" t="str">
        <f t="shared" si="31"/>
        <v/>
      </c>
      <c r="M150" s="19" t="str">
        <f t="shared" si="30"/>
        <v/>
      </c>
      <c r="N150" s="19" t="str">
        <f t="shared" si="30"/>
        <v/>
      </c>
      <c r="O150" s="19" t="str">
        <f t="shared" si="27"/>
        <v/>
      </c>
      <c r="P150" s="19" t="str">
        <f t="shared" si="28"/>
        <v/>
      </c>
      <c r="Q150" s="19" t="str">
        <f t="shared" si="26"/>
        <v/>
      </c>
      <c r="R150" s="19" t="str">
        <f t="shared" si="30"/>
        <v/>
      </c>
      <c r="S150" s="27" t="str">
        <f t="shared" si="33"/>
        <v/>
      </c>
      <c r="T150" s="28" t="str">
        <f t="shared" si="33"/>
        <v/>
      </c>
      <c r="U150" s="28" t="str">
        <f t="shared" si="33"/>
        <v/>
      </c>
      <c r="V150" s="28" t="str">
        <f t="shared" si="33"/>
        <v/>
      </c>
      <c r="W150" s="28" t="str">
        <f t="shared" si="33"/>
        <v/>
      </c>
      <c r="X150" s="29" t="str">
        <f t="shared" si="33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4"/>
        <v/>
      </c>
      <c r="L151" s="19" t="str">
        <f t="shared" si="31"/>
        <v/>
      </c>
      <c r="M151" s="19" t="str">
        <f t="shared" si="30"/>
        <v/>
      </c>
      <c r="N151" s="19" t="str">
        <f t="shared" si="30"/>
        <v/>
      </c>
      <c r="O151" s="19" t="str">
        <f t="shared" si="27"/>
        <v/>
      </c>
      <c r="P151" s="19" t="str">
        <f t="shared" si="28"/>
        <v/>
      </c>
      <c r="Q151" s="19" t="str">
        <f t="shared" si="26"/>
        <v/>
      </c>
      <c r="R151" s="19" t="str">
        <f t="shared" si="30"/>
        <v/>
      </c>
      <c r="S151" s="27" t="str">
        <f t="shared" si="33"/>
        <v/>
      </c>
      <c r="T151" s="28" t="str">
        <f t="shared" si="33"/>
        <v/>
      </c>
      <c r="U151" s="28" t="str">
        <f t="shared" si="33"/>
        <v/>
      </c>
      <c r="V151" s="28" t="str">
        <f t="shared" si="33"/>
        <v/>
      </c>
      <c r="W151" s="28" t="str">
        <f t="shared" si="33"/>
        <v/>
      </c>
      <c r="X151" s="29" t="str">
        <f t="shared" si="33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4"/>
        <v/>
      </c>
      <c r="L152" s="19" t="str">
        <f t="shared" si="31"/>
        <v/>
      </c>
      <c r="M152" s="19" t="str">
        <f t="shared" si="30"/>
        <v/>
      </c>
      <c r="N152" s="19" t="str">
        <f t="shared" si="30"/>
        <v/>
      </c>
      <c r="O152" s="19" t="str">
        <f t="shared" si="27"/>
        <v/>
      </c>
      <c r="P152" s="19" t="str">
        <f t="shared" si="28"/>
        <v/>
      </c>
      <c r="Q152" s="19" t="str">
        <f t="shared" si="26"/>
        <v/>
      </c>
      <c r="R152" s="19" t="str">
        <f t="shared" si="30"/>
        <v/>
      </c>
      <c r="S152" s="27" t="str">
        <f t="shared" si="33"/>
        <v/>
      </c>
      <c r="T152" s="28" t="str">
        <f t="shared" si="33"/>
        <v/>
      </c>
      <c r="U152" s="28" t="str">
        <f t="shared" si="33"/>
        <v/>
      </c>
      <c r="V152" s="28" t="str">
        <f t="shared" si="33"/>
        <v/>
      </c>
      <c r="W152" s="28" t="str">
        <f t="shared" si="33"/>
        <v/>
      </c>
      <c r="X152" s="29" t="str">
        <f t="shared" si="33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4"/>
        <v/>
      </c>
      <c r="L153" s="19" t="str">
        <f t="shared" si="31"/>
        <v/>
      </c>
      <c r="M153" s="19" t="str">
        <f t="shared" si="30"/>
        <v/>
      </c>
      <c r="N153" s="19" t="str">
        <f t="shared" si="30"/>
        <v/>
      </c>
      <c r="O153" s="19" t="str">
        <f t="shared" si="27"/>
        <v/>
      </c>
      <c r="P153" s="19" t="str">
        <f t="shared" si="28"/>
        <v/>
      </c>
      <c r="Q153" s="19" t="str">
        <f t="shared" si="26"/>
        <v/>
      </c>
      <c r="R153" s="19" t="str">
        <f t="shared" si="30"/>
        <v/>
      </c>
      <c r="S153" s="27" t="str">
        <f t="shared" si="33"/>
        <v/>
      </c>
      <c r="T153" s="28" t="str">
        <f t="shared" si="33"/>
        <v/>
      </c>
      <c r="U153" s="28" t="str">
        <f t="shared" si="33"/>
        <v/>
      </c>
      <c r="V153" s="28" t="str">
        <f t="shared" si="33"/>
        <v/>
      </c>
      <c r="W153" s="28" t="str">
        <f t="shared" si="33"/>
        <v/>
      </c>
      <c r="X153" s="29" t="str">
        <f t="shared" si="33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R5:V5"/>
    <mergeCell ref="E7:I7"/>
    <mergeCell ref="J7:Q7"/>
    <mergeCell ref="AA9:AI9"/>
    <mergeCell ref="R7:V7"/>
    <mergeCell ref="W7:Y7"/>
    <mergeCell ref="E6:I6"/>
    <mergeCell ref="J6:Q6"/>
    <mergeCell ref="R6:V6"/>
    <mergeCell ref="W6:Y6"/>
    <mergeCell ref="R8:V8"/>
    <mergeCell ref="J14:K14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B5:D8"/>
    <mergeCell ref="E5:I5"/>
    <mergeCell ref="W5:Y5"/>
    <mergeCell ref="J5:Q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4">
    <tabColor theme="3" tint="0.79998168889431442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44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TZ-22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/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41701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41704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300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558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50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41705</v>
      </c>
      <c r="C16" s="14">
        <v>12.433999999999999</v>
      </c>
      <c r="D16" s="15">
        <v>7.4660000000000002</v>
      </c>
      <c r="E16" s="15">
        <v>7.5419999999999998</v>
      </c>
      <c r="F16" s="60"/>
      <c r="G16" s="60"/>
      <c r="H16" s="60"/>
      <c r="I16" s="61">
        <v>102.524</v>
      </c>
      <c r="J16" s="62">
        <v>568.5</v>
      </c>
      <c r="K16" s="63">
        <f t="shared" ref="K16:K31" si="0">IF(ISBLANK(J16),"",(J16-$J$8))</f>
        <v>10.5</v>
      </c>
      <c r="L16" s="19">
        <f>IF(ISBLANK(C16),"",(C16-C$16)*1000)</f>
        <v>0</v>
      </c>
      <c r="M16" s="19">
        <f>IF(ISBLANK(D16),"",(D16-D$16)*1000)</f>
        <v>0</v>
      </c>
      <c r="N16" s="19">
        <f>IF(ISBLANK(E16),"",(E16-E$16)*1000)</f>
        <v>0</v>
      </c>
      <c r="O16" s="20"/>
      <c r="P16" s="20"/>
      <c r="Q16" s="20"/>
      <c r="R16" s="21">
        <f t="shared" ref="O16:R32" si="1">IF(ISBLANK(I16),"",(I16-I$16)*1000)</f>
        <v>0</v>
      </c>
      <c r="S16" s="22"/>
      <c r="T16" s="22"/>
      <c r="U16" s="22"/>
      <c r="V16" s="22"/>
      <c r="W16" s="22"/>
      <c r="X16" s="23"/>
      <c r="Y16" s="24" t="s">
        <v>51</v>
      </c>
    </row>
    <row r="17" spans="2:25" ht="15" customHeight="1" x14ac:dyDescent="0.2">
      <c r="B17" s="31">
        <v>41708</v>
      </c>
      <c r="C17" s="26">
        <v>12.433999999999999</v>
      </c>
      <c r="D17" s="26">
        <v>7.4640000000000004</v>
      </c>
      <c r="E17" s="26">
        <v>7.5419999999999998</v>
      </c>
      <c r="F17" s="47"/>
      <c r="G17" s="47"/>
      <c r="H17" s="47"/>
      <c r="I17" s="57">
        <v>102.52200000000001</v>
      </c>
      <c r="J17" s="58">
        <v>576</v>
      </c>
      <c r="K17" s="59">
        <f t="shared" si="0"/>
        <v>18</v>
      </c>
      <c r="L17" s="19">
        <f t="shared" ref="L17:Q62" si="2">IF(ISBLANK(C17),"",(C17-C$16)*1000)</f>
        <v>0</v>
      </c>
      <c r="M17" s="19">
        <f t="shared" si="2"/>
        <v>-1.9999999999997797</v>
      </c>
      <c r="N17" s="19">
        <f t="shared" si="2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1"/>
        <v>-1.9999999999953388</v>
      </c>
      <c r="S17" s="27">
        <f t="shared" ref="S17:X32" si="3">IF(C17="","",((C17-C16)*1000)/($B17-$B16))</f>
        <v>0</v>
      </c>
      <c r="T17" s="28">
        <f t="shared" si="3"/>
        <v>-0.66666666666659324</v>
      </c>
      <c r="U17" s="28">
        <f t="shared" si="3"/>
        <v>0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30"/>
    </row>
    <row r="18" spans="2:25" ht="15" customHeight="1" x14ac:dyDescent="0.2">
      <c r="B18" s="31">
        <v>41709</v>
      </c>
      <c r="C18" s="26">
        <v>12.433</v>
      </c>
      <c r="D18" s="26">
        <v>7.4640000000000004</v>
      </c>
      <c r="E18" s="26">
        <v>7.5419999999999998</v>
      </c>
      <c r="F18" s="47"/>
      <c r="G18" s="47"/>
      <c r="H18" s="47"/>
      <c r="I18" s="57">
        <v>102.52200000000001</v>
      </c>
      <c r="J18" s="58">
        <v>584</v>
      </c>
      <c r="K18" s="59">
        <f t="shared" si="0"/>
        <v>26</v>
      </c>
      <c r="L18" s="19">
        <f t="shared" si="2"/>
        <v>-0.99999999999944578</v>
      </c>
      <c r="M18" s="19">
        <f t="shared" si="2"/>
        <v>-1.9999999999997797</v>
      </c>
      <c r="N18" s="19">
        <f t="shared" si="2"/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-1.9999999999953388</v>
      </c>
      <c r="S18" s="27">
        <f t="shared" si="3"/>
        <v>-0.99999999999944578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41710</v>
      </c>
      <c r="C19" s="26">
        <v>12.433999999999999</v>
      </c>
      <c r="D19" s="26">
        <v>7.4640000000000004</v>
      </c>
      <c r="E19" s="26">
        <v>7.5410000000000004</v>
      </c>
      <c r="F19" s="47"/>
      <c r="G19" s="47"/>
      <c r="H19" s="47"/>
      <c r="I19" s="57">
        <v>102.521</v>
      </c>
      <c r="J19" s="58">
        <v>587.5</v>
      </c>
      <c r="K19" s="59">
        <f t="shared" si="0"/>
        <v>29.5</v>
      </c>
      <c r="L19" s="19">
        <f t="shared" si="2"/>
        <v>0</v>
      </c>
      <c r="M19" s="19">
        <f t="shared" si="2"/>
        <v>-1.9999999999997797</v>
      </c>
      <c r="N19" s="19">
        <f t="shared" si="2"/>
        <v>-0.99999999999944578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-3.0000000000001137</v>
      </c>
      <c r="S19" s="27">
        <f t="shared" si="3"/>
        <v>0.99999999999944578</v>
      </c>
      <c r="T19" s="28">
        <f t="shared" si="3"/>
        <v>0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41711</v>
      </c>
      <c r="C20" s="26">
        <v>12.433999999999999</v>
      </c>
      <c r="D20" s="26">
        <v>7.4640000000000004</v>
      </c>
      <c r="E20" s="26">
        <v>7.5410000000000004</v>
      </c>
      <c r="F20" s="47"/>
      <c r="G20" s="47"/>
      <c r="H20" s="47"/>
      <c r="I20" s="57">
        <v>102.521</v>
      </c>
      <c r="J20" s="58">
        <v>596</v>
      </c>
      <c r="K20" s="59">
        <f t="shared" si="0"/>
        <v>38</v>
      </c>
      <c r="L20" s="19">
        <f t="shared" si="2"/>
        <v>0</v>
      </c>
      <c r="M20" s="19">
        <f t="shared" si="2"/>
        <v>-1.9999999999997797</v>
      </c>
      <c r="N20" s="19">
        <f t="shared" si="2"/>
        <v>-0.99999999999944578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41712</v>
      </c>
      <c r="C21" s="26">
        <v>12.433</v>
      </c>
      <c r="D21" s="26">
        <v>7.4640000000000004</v>
      </c>
      <c r="E21" s="26">
        <v>7.5419999999999998</v>
      </c>
      <c r="F21" s="47"/>
      <c r="G21" s="47"/>
      <c r="H21" s="47"/>
      <c r="I21" s="57">
        <v>102.52</v>
      </c>
      <c r="J21" s="58">
        <v>600.5</v>
      </c>
      <c r="K21" s="59">
        <f t="shared" si="0"/>
        <v>42.5</v>
      </c>
      <c r="L21" s="19">
        <f t="shared" si="2"/>
        <v>-0.99999999999944578</v>
      </c>
      <c r="M21" s="19">
        <f t="shared" si="2"/>
        <v>-1.9999999999997797</v>
      </c>
      <c r="N21" s="19">
        <f t="shared" si="2"/>
        <v>0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-4.0000000000048885</v>
      </c>
      <c r="S21" s="27">
        <f t="shared" si="3"/>
        <v>-0.99999999999944578</v>
      </c>
      <c r="T21" s="28">
        <f t="shared" si="3"/>
        <v>0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41715</v>
      </c>
      <c r="C22" s="26">
        <v>12.433999999999999</v>
      </c>
      <c r="D22" s="26">
        <v>7.4640000000000004</v>
      </c>
      <c r="E22" s="26">
        <v>7.5410000000000004</v>
      </c>
      <c r="F22" s="47"/>
      <c r="G22" s="47"/>
      <c r="H22" s="47"/>
      <c r="I22" s="57">
        <v>102.52</v>
      </c>
      <c r="J22" s="58">
        <v>609.5</v>
      </c>
      <c r="K22" s="59">
        <f t="shared" si="0"/>
        <v>51.5</v>
      </c>
      <c r="L22" s="19">
        <f t="shared" si="2"/>
        <v>0</v>
      </c>
      <c r="M22" s="19">
        <f t="shared" si="2"/>
        <v>-1.9999999999997797</v>
      </c>
      <c r="N22" s="19">
        <f t="shared" si="2"/>
        <v>-0.99999999999944578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0.33333333333314857</v>
      </c>
      <c r="T22" s="28">
        <f t="shared" si="3"/>
        <v>0</v>
      </c>
      <c r="U22" s="28">
        <f t="shared" si="3"/>
        <v>-0.33333333333314857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41723</v>
      </c>
      <c r="C23" s="26">
        <v>12.433999999999999</v>
      </c>
      <c r="D23" s="26">
        <v>7.4640000000000004</v>
      </c>
      <c r="E23" s="26">
        <v>7.5419999999999998</v>
      </c>
      <c r="F23" s="47"/>
      <c r="G23" s="47"/>
      <c r="H23" s="47"/>
      <c r="I23" s="57">
        <v>102.52</v>
      </c>
      <c r="J23" s="58">
        <v>609.5</v>
      </c>
      <c r="K23" s="59">
        <f t="shared" si="0"/>
        <v>51.5</v>
      </c>
      <c r="L23" s="19">
        <f t="shared" si="2"/>
        <v>0</v>
      </c>
      <c r="M23" s="19">
        <f t="shared" si="2"/>
        <v>-1.9999999999997797</v>
      </c>
      <c r="N23" s="19">
        <f t="shared" si="2"/>
        <v>0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-4.0000000000048885</v>
      </c>
      <c r="S23" s="27">
        <f t="shared" si="3"/>
        <v>0</v>
      </c>
      <c r="T23" s="28">
        <f t="shared" si="3"/>
        <v>0</v>
      </c>
      <c r="U23" s="28">
        <f t="shared" si="3"/>
        <v>0.12499999999993072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 t="s">
        <v>23</v>
      </c>
    </row>
    <row r="24" spans="2:25" ht="15" customHeight="1" x14ac:dyDescent="0.2">
      <c r="B24" s="31">
        <v>41724</v>
      </c>
      <c r="C24" s="26">
        <v>12.433999999999999</v>
      </c>
      <c r="D24" s="26">
        <v>7.4640000000000004</v>
      </c>
      <c r="E24" s="26">
        <v>7.5410000000000004</v>
      </c>
      <c r="F24" s="47"/>
      <c r="G24" s="47"/>
      <c r="H24" s="47"/>
      <c r="I24" s="67">
        <v>102.51900000000001</v>
      </c>
      <c r="J24" s="58">
        <v>609.5</v>
      </c>
      <c r="K24" s="59">
        <f t="shared" si="0"/>
        <v>51.5</v>
      </c>
      <c r="L24" s="19">
        <f t="shared" si="2"/>
        <v>0</v>
      </c>
      <c r="M24" s="19">
        <f t="shared" si="2"/>
        <v>-1.9999999999997797</v>
      </c>
      <c r="N24" s="19">
        <f t="shared" si="2"/>
        <v>-0.99999999999944578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-4.9999999999954525</v>
      </c>
      <c r="S24" s="27">
        <f t="shared" si="3"/>
        <v>0</v>
      </c>
      <c r="T24" s="28">
        <f t="shared" si="3"/>
        <v>0</v>
      </c>
      <c r="U24" s="28">
        <f t="shared" si="3"/>
        <v>-0.99999999999944578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41744</v>
      </c>
      <c r="C25" s="26">
        <v>12.433999999999999</v>
      </c>
      <c r="D25" s="26">
        <v>7.4630000000000001</v>
      </c>
      <c r="E25" s="26">
        <v>7.5410000000000004</v>
      </c>
      <c r="F25" s="47"/>
      <c r="G25" s="47"/>
      <c r="H25" s="47"/>
      <c r="I25" s="67">
        <v>102.509</v>
      </c>
      <c r="J25" s="58">
        <v>609.5</v>
      </c>
      <c r="K25" s="59">
        <f t="shared" si="0"/>
        <v>51.5</v>
      </c>
      <c r="L25" s="19">
        <f t="shared" si="2"/>
        <v>0</v>
      </c>
      <c r="M25" s="19">
        <f t="shared" si="2"/>
        <v>-3.0000000000001137</v>
      </c>
      <c r="N25" s="19">
        <f t="shared" si="2"/>
        <v>-0.99999999999944578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>IF(ISBLANK(I25),"",(I25-I$16)*1000+10)</f>
        <v>-5.0000000000005684</v>
      </c>
      <c r="S25" s="27">
        <f t="shared" si="3"/>
        <v>0</v>
      </c>
      <c r="T25" s="28">
        <f t="shared" si="3"/>
        <v>-5.0000000000016698E-2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41752</v>
      </c>
      <c r="C26" s="26">
        <v>12.433999999999999</v>
      </c>
      <c r="D26" s="26">
        <v>7.4640000000000004</v>
      </c>
      <c r="E26" s="26">
        <v>7.5410000000000004</v>
      </c>
      <c r="F26" s="47"/>
      <c r="G26" s="47"/>
      <c r="H26" s="47"/>
      <c r="I26" s="57">
        <v>102.51</v>
      </c>
      <c r="J26" s="58">
        <v>609.5</v>
      </c>
      <c r="K26" s="59">
        <f t="shared" si="0"/>
        <v>51.5</v>
      </c>
      <c r="L26" s="19">
        <f t="shared" si="2"/>
        <v>0</v>
      </c>
      <c r="M26" s="19">
        <f t="shared" si="2"/>
        <v>-1.9999999999997797</v>
      </c>
      <c r="N26" s="19">
        <f t="shared" si="2"/>
        <v>-0.99999999999944578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ref="R26:R89" si="4">IF(ISBLANK(I26),"",(I26-I$16)*1000+10)</f>
        <v>-3.9999999999957936</v>
      </c>
      <c r="S26" s="27">
        <f t="shared" si="3"/>
        <v>0</v>
      </c>
      <c r="T26" s="28">
        <f t="shared" si="3"/>
        <v>0.12500000000004174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 t="s">
        <v>35</v>
      </c>
    </row>
    <row r="27" spans="2:25" ht="15" customHeight="1" x14ac:dyDescent="0.2">
      <c r="B27" s="31">
        <v>41753</v>
      </c>
      <c r="C27" s="26">
        <v>12.433999999999999</v>
      </c>
      <c r="D27" s="26">
        <v>7.4640000000000004</v>
      </c>
      <c r="E27" s="26">
        <v>7.5410000000000004</v>
      </c>
      <c r="F27" s="47"/>
      <c r="G27" s="47"/>
      <c r="H27" s="47"/>
      <c r="I27" s="57">
        <v>102.509</v>
      </c>
      <c r="J27" s="58">
        <v>609.5</v>
      </c>
      <c r="K27" s="59">
        <f t="shared" si="0"/>
        <v>51.5</v>
      </c>
      <c r="L27" s="19">
        <f t="shared" si="2"/>
        <v>0</v>
      </c>
      <c r="M27" s="19">
        <f t="shared" si="2"/>
        <v>-1.9999999999997797</v>
      </c>
      <c r="N27" s="19">
        <f t="shared" si="2"/>
        <v>-0.99999999999944578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4"/>
        <v>-5.0000000000005684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41754</v>
      </c>
      <c r="C28" s="26">
        <v>12.433999999999999</v>
      </c>
      <c r="D28" s="26">
        <v>7.4640000000000004</v>
      </c>
      <c r="E28" s="26">
        <v>7.5419999999999998</v>
      </c>
      <c r="F28" s="47"/>
      <c r="G28" s="47"/>
      <c r="H28" s="47"/>
      <c r="I28" s="57">
        <v>102.509</v>
      </c>
      <c r="J28" s="58">
        <v>609.5</v>
      </c>
      <c r="K28" s="59">
        <f t="shared" si="0"/>
        <v>51.5</v>
      </c>
      <c r="L28" s="19">
        <f t="shared" si="2"/>
        <v>0</v>
      </c>
      <c r="M28" s="19">
        <f t="shared" si="2"/>
        <v>-1.9999999999997797</v>
      </c>
      <c r="N28" s="19">
        <f t="shared" si="2"/>
        <v>0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4"/>
        <v>-5.0000000000005684</v>
      </c>
      <c r="S28" s="27">
        <f t="shared" si="3"/>
        <v>0</v>
      </c>
      <c r="T28" s="28">
        <f t="shared" si="3"/>
        <v>0</v>
      </c>
      <c r="U28" s="28">
        <f t="shared" si="3"/>
        <v>0.99999999999944578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41757</v>
      </c>
      <c r="C29" s="26">
        <v>12.433999999999999</v>
      </c>
      <c r="D29" s="26">
        <v>7.4630000000000001</v>
      </c>
      <c r="E29" s="26">
        <v>7.5410000000000004</v>
      </c>
      <c r="F29" s="47"/>
      <c r="G29" s="47"/>
      <c r="H29" s="47"/>
      <c r="I29" s="57">
        <v>102.509</v>
      </c>
      <c r="J29" s="58">
        <v>613.5</v>
      </c>
      <c r="K29" s="59">
        <f t="shared" si="0"/>
        <v>55.5</v>
      </c>
      <c r="L29" s="19">
        <f t="shared" si="2"/>
        <v>0</v>
      </c>
      <c r="M29" s="19">
        <f t="shared" si="2"/>
        <v>-3.0000000000001137</v>
      </c>
      <c r="N29" s="19">
        <f t="shared" si="2"/>
        <v>-0.99999999999944578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4"/>
        <v>-5.0000000000005684</v>
      </c>
      <c r="S29" s="27">
        <f t="shared" si="3"/>
        <v>0</v>
      </c>
      <c r="T29" s="28">
        <f t="shared" si="3"/>
        <v>-0.33333333333344467</v>
      </c>
      <c r="U29" s="28">
        <f t="shared" si="3"/>
        <v>-0.33333333333314857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41758</v>
      </c>
      <c r="C30" s="26">
        <v>12.433999999999999</v>
      </c>
      <c r="D30" s="26">
        <v>7.4640000000000004</v>
      </c>
      <c r="E30" s="26">
        <v>7.5410000000000004</v>
      </c>
      <c r="F30" s="47"/>
      <c r="G30" s="47"/>
      <c r="H30" s="47"/>
      <c r="I30" s="57">
        <v>102.509</v>
      </c>
      <c r="J30" s="58">
        <v>616.5</v>
      </c>
      <c r="K30" s="59">
        <f t="shared" si="0"/>
        <v>58.5</v>
      </c>
      <c r="L30" s="19">
        <f t="shared" si="2"/>
        <v>0</v>
      </c>
      <c r="M30" s="19">
        <f t="shared" si="2"/>
        <v>-1.9999999999997797</v>
      </c>
      <c r="N30" s="19">
        <f t="shared" si="2"/>
        <v>-0.99999999999944578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4"/>
        <v>-5.0000000000005684</v>
      </c>
      <c r="S30" s="27">
        <f t="shared" si="3"/>
        <v>0</v>
      </c>
      <c r="T30" s="28">
        <f t="shared" si="3"/>
        <v>1.000000000000334</v>
      </c>
      <c r="U30" s="28">
        <f t="shared" si="3"/>
        <v>0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41759</v>
      </c>
      <c r="C31" s="26">
        <v>12.433999999999999</v>
      </c>
      <c r="D31" s="26">
        <v>7.4640000000000004</v>
      </c>
      <c r="E31" s="26">
        <v>7.5410000000000004</v>
      </c>
      <c r="F31" s="47"/>
      <c r="G31" s="47"/>
      <c r="H31" s="47"/>
      <c r="I31" s="57">
        <v>102.508</v>
      </c>
      <c r="J31" s="58">
        <v>623</v>
      </c>
      <c r="K31" s="59">
        <f t="shared" si="0"/>
        <v>65</v>
      </c>
      <c r="L31" s="19">
        <f t="shared" si="2"/>
        <v>0</v>
      </c>
      <c r="M31" s="19">
        <f t="shared" si="2"/>
        <v>-1.9999999999997797</v>
      </c>
      <c r="N31" s="19">
        <f t="shared" si="2"/>
        <v>-0.99999999999944578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4"/>
        <v>-6.0000000000053433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41764</v>
      </c>
      <c r="C32" s="26">
        <v>12.435</v>
      </c>
      <c r="D32" s="26">
        <v>7.4640000000000004</v>
      </c>
      <c r="E32" s="26">
        <v>7.5410000000000004</v>
      </c>
      <c r="F32" s="47"/>
      <c r="G32" s="47"/>
      <c r="H32" s="47"/>
      <c r="I32" s="57">
        <v>102.508</v>
      </c>
      <c r="J32" s="58">
        <v>659</v>
      </c>
      <c r="K32" s="59">
        <f t="shared" ref="K32:K49" si="5">IF(ISBLANK(J32),"",(J32-$J$8))</f>
        <v>101</v>
      </c>
      <c r="L32" s="19">
        <f t="shared" si="2"/>
        <v>1.0000000000012221</v>
      </c>
      <c r="M32" s="19">
        <f t="shared" si="2"/>
        <v>-1.9999999999997797</v>
      </c>
      <c r="N32" s="19">
        <f t="shared" si="2"/>
        <v>-0.99999999999944578</v>
      </c>
      <c r="O32" s="19" t="str">
        <f t="shared" si="1"/>
        <v/>
      </c>
      <c r="P32" s="19" t="str">
        <f t="shared" si="1"/>
        <v/>
      </c>
      <c r="Q32" s="19" t="str">
        <f t="shared" si="1"/>
        <v/>
      </c>
      <c r="R32" s="19">
        <f t="shared" si="4"/>
        <v>-6.0000000000053433</v>
      </c>
      <c r="S32" s="27">
        <f t="shared" si="3"/>
        <v>0.20000000000024443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41765</v>
      </c>
      <c r="C33" s="26">
        <v>12.433999999999999</v>
      </c>
      <c r="D33" s="26">
        <v>7.4640000000000004</v>
      </c>
      <c r="E33" s="26">
        <v>7.5410000000000004</v>
      </c>
      <c r="F33" s="47"/>
      <c r="G33" s="47"/>
      <c r="H33" s="47"/>
      <c r="I33" s="57">
        <v>102.508</v>
      </c>
      <c r="J33" s="58">
        <v>668</v>
      </c>
      <c r="K33" s="59">
        <f t="shared" si="5"/>
        <v>110</v>
      </c>
      <c r="L33" s="19">
        <f t="shared" si="2"/>
        <v>0</v>
      </c>
      <c r="M33" s="19">
        <f t="shared" si="2"/>
        <v>-1.9999999999997797</v>
      </c>
      <c r="N33" s="19">
        <f t="shared" si="2"/>
        <v>-0.99999999999944578</v>
      </c>
      <c r="O33" s="19" t="str">
        <f t="shared" si="2"/>
        <v/>
      </c>
      <c r="P33" s="19" t="str">
        <f t="shared" si="2"/>
        <v/>
      </c>
      <c r="Q33" s="19" t="str">
        <f t="shared" si="2"/>
        <v/>
      </c>
      <c r="R33" s="19">
        <f t="shared" si="4"/>
        <v>-6.0000000000053433</v>
      </c>
      <c r="S33" s="27">
        <f t="shared" ref="S33:X48" si="6">IF(C33="","",((C33-C32)*1000)/($B33-$B32))</f>
        <v>-1.0000000000012221</v>
      </c>
      <c r="T33" s="28">
        <f t="shared" si="6"/>
        <v>0</v>
      </c>
      <c r="U33" s="28">
        <f t="shared" si="6"/>
        <v>0</v>
      </c>
      <c r="V33" s="28" t="str">
        <f t="shared" si="6"/>
        <v/>
      </c>
      <c r="W33" s="28" t="str">
        <f t="shared" si="6"/>
        <v/>
      </c>
      <c r="X33" s="29" t="str">
        <f t="shared" si="6"/>
        <v/>
      </c>
      <c r="Y33" s="24"/>
    </row>
    <row r="34" spans="2:25" ht="15" customHeight="1" x14ac:dyDescent="0.2">
      <c r="B34" s="31">
        <v>41766</v>
      </c>
      <c r="C34" s="26">
        <v>12.435</v>
      </c>
      <c r="D34" s="26">
        <v>7.4640000000000004</v>
      </c>
      <c r="E34" s="26">
        <v>7.5419999999999998</v>
      </c>
      <c r="F34" s="47"/>
      <c r="G34" s="47"/>
      <c r="H34" s="47"/>
      <c r="I34" s="57">
        <v>102.509</v>
      </c>
      <c r="J34" s="58">
        <v>677</v>
      </c>
      <c r="K34" s="59">
        <f t="shared" si="5"/>
        <v>119</v>
      </c>
      <c r="L34" s="19">
        <f t="shared" si="2"/>
        <v>1.0000000000012221</v>
      </c>
      <c r="M34" s="19">
        <f t="shared" si="2"/>
        <v>-1.9999999999997797</v>
      </c>
      <c r="N34" s="19">
        <f t="shared" si="2"/>
        <v>0</v>
      </c>
      <c r="O34" s="19" t="str">
        <f t="shared" si="2"/>
        <v/>
      </c>
      <c r="P34" s="19" t="str">
        <f t="shared" si="2"/>
        <v/>
      </c>
      <c r="Q34" s="19" t="str">
        <f t="shared" si="2"/>
        <v/>
      </c>
      <c r="R34" s="19">
        <f t="shared" si="4"/>
        <v>-5.0000000000005684</v>
      </c>
      <c r="S34" s="27">
        <f t="shared" si="6"/>
        <v>1.0000000000012221</v>
      </c>
      <c r="T34" s="28">
        <f t="shared" si="6"/>
        <v>0</v>
      </c>
      <c r="U34" s="28">
        <f t="shared" si="6"/>
        <v>0.99999999999944578</v>
      </c>
      <c r="V34" s="28" t="str">
        <f t="shared" si="6"/>
        <v/>
      </c>
      <c r="W34" s="28" t="str">
        <f t="shared" si="6"/>
        <v/>
      </c>
      <c r="X34" s="29" t="str">
        <f t="shared" si="6"/>
        <v/>
      </c>
      <c r="Y34" s="24"/>
    </row>
    <row r="35" spans="2:25" ht="15" customHeight="1" x14ac:dyDescent="0.2">
      <c r="B35" s="31">
        <v>41781</v>
      </c>
      <c r="C35" s="26">
        <v>12.435</v>
      </c>
      <c r="D35" s="26">
        <v>7.4640000000000004</v>
      </c>
      <c r="E35" s="26">
        <v>7.5419999999999998</v>
      </c>
      <c r="F35" s="47"/>
      <c r="G35" s="47"/>
      <c r="H35" s="47"/>
      <c r="I35" s="57">
        <v>102.51</v>
      </c>
      <c r="J35" s="58">
        <v>792</v>
      </c>
      <c r="K35" s="59">
        <f t="shared" si="5"/>
        <v>234</v>
      </c>
      <c r="L35" s="19">
        <f t="shared" si="2"/>
        <v>1.0000000000012221</v>
      </c>
      <c r="M35" s="19">
        <f t="shared" si="2"/>
        <v>-1.9999999999997797</v>
      </c>
      <c r="N35" s="19">
        <f t="shared" si="2"/>
        <v>0</v>
      </c>
      <c r="O35" s="19" t="str">
        <f t="shared" si="2"/>
        <v/>
      </c>
      <c r="P35" s="19" t="str">
        <f t="shared" si="2"/>
        <v/>
      </c>
      <c r="Q35" s="19" t="str">
        <f t="shared" si="2"/>
        <v/>
      </c>
      <c r="R35" s="19">
        <f t="shared" si="4"/>
        <v>-3.9999999999957936</v>
      </c>
      <c r="S35" s="27">
        <f t="shared" si="6"/>
        <v>0</v>
      </c>
      <c r="T35" s="28">
        <f t="shared" si="6"/>
        <v>0</v>
      </c>
      <c r="U35" s="28">
        <f t="shared" si="6"/>
        <v>0</v>
      </c>
      <c r="V35" s="28" t="str">
        <f t="shared" si="6"/>
        <v/>
      </c>
      <c r="W35" s="28" t="str">
        <f t="shared" si="6"/>
        <v/>
      </c>
      <c r="X35" s="29" t="str">
        <f t="shared" si="6"/>
        <v/>
      </c>
      <c r="Y35" s="24"/>
    </row>
    <row r="36" spans="2:25" ht="15" customHeight="1" x14ac:dyDescent="0.2">
      <c r="B36" s="31">
        <v>41806</v>
      </c>
      <c r="C36" s="26">
        <v>12.430999999999999</v>
      </c>
      <c r="D36" s="26">
        <v>7.4640000000000004</v>
      </c>
      <c r="E36" s="26">
        <v>7.54</v>
      </c>
      <c r="F36" s="47"/>
      <c r="G36" s="47"/>
      <c r="H36" s="47"/>
      <c r="I36" s="57">
        <v>102.51</v>
      </c>
      <c r="J36" s="58">
        <v>546</v>
      </c>
      <c r="K36" s="59">
        <f t="shared" si="5"/>
        <v>-12</v>
      </c>
      <c r="L36" s="19">
        <f t="shared" si="2"/>
        <v>-3.0000000000001137</v>
      </c>
      <c r="M36" s="19">
        <f t="shared" si="2"/>
        <v>-1.9999999999997797</v>
      </c>
      <c r="N36" s="19">
        <f t="shared" si="2"/>
        <v>-1.9999999999997797</v>
      </c>
      <c r="O36" s="19" t="str">
        <f t="shared" si="2"/>
        <v/>
      </c>
      <c r="P36" s="19" t="str">
        <f t="shared" si="2"/>
        <v/>
      </c>
      <c r="Q36" s="19" t="str">
        <f t="shared" si="2"/>
        <v/>
      </c>
      <c r="R36" s="19">
        <f t="shared" si="4"/>
        <v>-3.9999999999957936</v>
      </c>
      <c r="S36" s="27">
        <f t="shared" si="6"/>
        <v>-0.16000000000005343</v>
      </c>
      <c r="T36" s="28">
        <f t="shared" si="6"/>
        <v>0</v>
      </c>
      <c r="U36" s="28">
        <f t="shared" si="6"/>
        <v>-7.9999999999991189E-2</v>
      </c>
      <c r="V36" s="28" t="str">
        <f t="shared" si="6"/>
        <v/>
      </c>
      <c r="W36" s="28" t="str">
        <f t="shared" si="6"/>
        <v/>
      </c>
      <c r="X36" s="29" t="str">
        <f t="shared" si="6"/>
        <v/>
      </c>
      <c r="Y36" s="24" t="s">
        <v>44</v>
      </c>
    </row>
    <row r="37" spans="2:25" ht="15" customHeight="1" x14ac:dyDescent="0.2">
      <c r="B37" s="31">
        <v>41807</v>
      </c>
      <c r="C37" s="26">
        <v>12.432</v>
      </c>
      <c r="D37" s="26">
        <v>7.4630000000000001</v>
      </c>
      <c r="E37" s="26">
        <v>7.5410000000000004</v>
      </c>
      <c r="F37" s="47"/>
      <c r="G37" s="47"/>
      <c r="H37" s="47"/>
      <c r="I37" s="57">
        <v>102.509</v>
      </c>
      <c r="J37" s="58">
        <v>556</v>
      </c>
      <c r="K37" s="59">
        <f t="shared" si="5"/>
        <v>-2</v>
      </c>
      <c r="L37" s="19">
        <f t="shared" si="2"/>
        <v>-1.9999999999988916</v>
      </c>
      <c r="M37" s="19">
        <f t="shared" si="2"/>
        <v>-3.0000000000001137</v>
      </c>
      <c r="N37" s="19">
        <f t="shared" si="2"/>
        <v>-0.99999999999944578</v>
      </c>
      <c r="O37" s="19" t="str">
        <f t="shared" si="2"/>
        <v/>
      </c>
      <c r="P37" s="19" t="str">
        <f t="shared" si="2"/>
        <v/>
      </c>
      <c r="Q37" s="19" t="str">
        <f t="shared" si="2"/>
        <v/>
      </c>
      <c r="R37" s="19">
        <f t="shared" si="4"/>
        <v>-5.0000000000005684</v>
      </c>
      <c r="S37" s="27">
        <f t="shared" si="6"/>
        <v>1.0000000000012221</v>
      </c>
      <c r="T37" s="28">
        <f t="shared" si="6"/>
        <v>-1.000000000000334</v>
      </c>
      <c r="U37" s="28">
        <f t="shared" si="6"/>
        <v>1.000000000000334</v>
      </c>
      <c r="V37" s="28" t="str">
        <f t="shared" si="6"/>
        <v/>
      </c>
      <c r="W37" s="28" t="str">
        <f t="shared" si="6"/>
        <v/>
      </c>
      <c r="X37" s="29" t="str">
        <f t="shared" si="6"/>
        <v/>
      </c>
      <c r="Y37" s="24"/>
    </row>
    <row r="38" spans="2:25" ht="15" customHeight="1" x14ac:dyDescent="0.2">
      <c r="B38" s="31">
        <v>41808</v>
      </c>
      <c r="C38" s="26">
        <v>12.433</v>
      </c>
      <c r="D38" s="26">
        <v>7.4640000000000004</v>
      </c>
      <c r="E38" s="26">
        <v>7.5410000000000004</v>
      </c>
      <c r="F38" s="47"/>
      <c r="G38" s="47"/>
      <c r="H38" s="47"/>
      <c r="I38" s="57">
        <v>102.509</v>
      </c>
      <c r="J38" s="58">
        <v>552</v>
      </c>
      <c r="K38" s="59">
        <f t="shared" si="5"/>
        <v>-6</v>
      </c>
      <c r="L38" s="19">
        <f t="shared" si="2"/>
        <v>-0.99999999999944578</v>
      </c>
      <c r="M38" s="19">
        <f t="shared" si="2"/>
        <v>-1.9999999999997797</v>
      </c>
      <c r="N38" s="19">
        <f t="shared" si="2"/>
        <v>-0.99999999999944578</v>
      </c>
      <c r="O38" s="19" t="str">
        <f t="shared" si="2"/>
        <v/>
      </c>
      <c r="P38" s="19" t="str">
        <f t="shared" si="2"/>
        <v/>
      </c>
      <c r="Q38" s="19" t="str">
        <f t="shared" si="2"/>
        <v/>
      </c>
      <c r="R38" s="19">
        <f t="shared" si="4"/>
        <v>-5.0000000000005684</v>
      </c>
      <c r="S38" s="27">
        <f t="shared" si="6"/>
        <v>0.99999999999944578</v>
      </c>
      <c r="T38" s="28">
        <f t="shared" si="6"/>
        <v>1.000000000000334</v>
      </c>
      <c r="U38" s="28">
        <f t="shared" si="6"/>
        <v>0</v>
      </c>
      <c r="V38" s="28" t="str">
        <f t="shared" si="6"/>
        <v/>
      </c>
      <c r="W38" s="28" t="str">
        <f t="shared" si="6"/>
        <v/>
      </c>
      <c r="X38" s="29" t="str">
        <f t="shared" si="6"/>
        <v/>
      </c>
      <c r="Y38" s="24"/>
    </row>
    <row r="39" spans="2:25" ht="15" customHeight="1" x14ac:dyDescent="0.2">
      <c r="B39" s="31">
        <v>41809</v>
      </c>
      <c r="C39" s="26">
        <v>12.432</v>
      </c>
      <c r="D39" s="26">
        <v>7.4630000000000001</v>
      </c>
      <c r="E39" s="26">
        <v>7.5410000000000004</v>
      </c>
      <c r="F39" s="47"/>
      <c r="G39" s="47"/>
      <c r="H39" s="47"/>
      <c r="I39" s="57">
        <v>102.51</v>
      </c>
      <c r="J39" s="58">
        <v>559</v>
      </c>
      <c r="K39" s="59">
        <f t="shared" si="5"/>
        <v>1</v>
      </c>
      <c r="L39" s="19">
        <f t="shared" si="2"/>
        <v>-1.9999999999988916</v>
      </c>
      <c r="M39" s="19">
        <f t="shared" si="2"/>
        <v>-3.0000000000001137</v>
      </c>
      <c r="N39" s="19">
        <f t="shared" si="2"/>
        <v>-0.99999999999944578</v>
      </c>
      <c r="O39" s="19" t="str">
        <f t="shared" si="2"/>
        <v/>
      </c>
      <c r="P39" s="19" t="str">
        <f t="shared" si="2"/>
        <v/>
      </c>
      <c r="Q39" s="19" t="str">
        <f t="shared" si="2"/>
        <v/>
      </c>
      <c r="R39" s="19">
        <f t="shared" si="4"/>
        <v>-3.9999999999957936</v>
      </c>
      <c r="S39" s="27">
        <f t="shared" si="6"/>
        <v>-0.99999999999944578</v>
      </c>
      <c r="T39" s="28">
        <f t="shared" si="6"/>
        <v>-1.000000000000334</v>
      </c>
      <c r="U39" s="28">
        <f t="shared" si="6"/>
        <v>0</v>
      </c>
      <c r="V39" s="28" t="str">
        <f t="shared" si="6"/>
        <v/>
      </c>
      <c r="W39" s="28" t="str">
        <f t="shared" si="6"/>
        <v/>
      </c>
      <c r="X39" s="29" t="str">
        <f t="shared" si="6"/>
        <v/>
      </c>
      <c r="Y39" s="24"/>
    </row>
    <row r="40" spans="2:25" ht="15" customHeight="1" x14ac:dyDescent="0.2">
      <c r="B40" s="31">
        <v>41810</v>
      </c>
      <c r="C40" s="26">
        <v>12.433</v>
      </c>
      <c r="D40" s="26">
        <v>7.4630000000000001</v>
      </c>
      <c r="E40" s="26">
        <v>7.5419999999999998</v>
      </c>
      <c r="F40" s="47"/>
      <c r="G40" s="47"/>
      <c r="H40" s="47"/>
      <c r="I40" s="57">
        <v>102.509</v>
      </c>
      <c r="J40" s="58">
        <v>563</v>
      </c>
      <c r="K40" s="59">
        <f t="shared" si="5"/>
        <v>5</v>
      </c>
      <c r="L40" s="19">
        <f t="shared" si="2"/>
        <v>-0.99999999999944578</v>
      </c>
      <c r="M40" s="19">
        <f t="shared" si="2"/>
        <v>-3.0000000000001137</v>
      </c>
      <c r="N40" s="19">
        <f t="shared" si="2"/>
        <v>0</v>
      </c>
      <c r="O40" s="19" t="str">
        <f t="shared" si="2"/>
        <v/>
      </c>
      <c r="P40" s="19" t="str">
        <f t="shared" si="2"/>
        <v/>
      </c>
      <c r="Q40" s="19" t="str">
        <f t="shared" si="2"/>
        <v/>
      </c>
      <c r="R40" s="19">
        <f t="shared" si="4"/>
        <v>-5.0000000000005684</v>
      </c>
      <c r="S40" s="27">
        <f t="shared" si="6"/>
        <v>0.99999999999944578</v>
      </c>
      <c r="T40" s="28">
        <f t="shared" si="6"/>
        <v>0</v>
      </c>
      <c r="U40" s="28">
        <f t="shared" si="6"/>
        <v>0.99999999999944578</v>
      </c>
      <c r="V40" s="28" t="str">
        <f t="shared" si="6"/>
        <v/>
      </c>
      <c r="W40" s="28" t="str">
        <f t="shared" si="6"/>
        <v/>
      </c>
      <c r="X40" s="29" t="str">
        <f t="shared" si="6"/>
        <v/>
      </c>
      <c r="Y40" s="24"/>
    </row>
    <row r="41" spans="2:25" ht="15" customHeight="1" x14ac:dyDescent="0.2">
      <c r="B41" s="31">
        <v>41813</v>
      </c>
      <c r="C41" s="26">
        <v>12.433</v>
      </c>
      <c r="D41" s="26">
        <v>7.4630000000000001</v>
      </c>
      <c r="E41" s="26">
        <v>7.5419999999999998</v>
      </c>
      <c r="F41" s="47">
        <v>13.352</v>
      </c>
      <c r="G41" s="47">
        <v>10.074</v>
      </c>
      <c r="H41" s="47">
        <v>10.242000000000001</v>
      </c>
      <c r="I41" s="57">
        <v>102.509</v>
      </c>
      <c r="J41" s="58">
        <v>574</v>
      </c>
      <c r="K41" s="59">
        <f t="shared" si="5"/>
        <v>16</v>
      </c>
      <c r="L41" s="19">
        <f t="shared" si="2"/>
        <v>-0.99999999999944578</v>
      </c>
      <c r="M41" s="19">
        <f t="shared" si="2"/>
        <v>-3.0000000000001137</v>
      </c>
      <c r="N41" s="19">
        <f t="shared" si="2"/>
        <v>0</v>
      </c>
      <c r="O41" s="19">
        <f>IF(ISBLANK(F41),"",((F41-F$41)*1000)+L$41)</f>
        <v>-0.99999999999944578</v>
      </c>
      <c r="P41" s="19">
        <f>IF(ISBLANK(G41),"",((G41-G$41)*1000)+M$41)</f>
        <v>-3.0000000000001137</v>
      </c>
      <c r="Q41" s="19">
        <f>IF(ISBLANK(H41),"",((H41-H$41)*1000)+N$41)</f>
        <v>0</v>
      </c>
      <c r="R41" s="19">
        <f t="shared" si="4"/>
        <v>-5.0000000000005684</v>
      </c>
      <c r="S41" s="27">
        <f t="shared" si="6"/>
        <v>0</v>
      </c>
      <c r="T41" s="28">
        <f t="shared" si="6"/>
        <v>0</v>
      </c>
      <c r="U41" s="28">
        <f t="shared" si="6"/>
        <v>0</v>
      </c>
      <c r="V41" s="28"/>
      <c r="W41" s="28"/>
      <c r="X41" s="29"/>
      <c r="Y41" s="24"/>
    </row>
    <row r="42" spans="2:25" ht="15" customHeight="1" x14ac:dyDescent="0.2">
      <c r="B42" s="31">
        <v>41814</v>
      </c>
      <c r="C42" s="26">
        <v>12.432</v>
      </c>
      <c r="D42" s="26">
        <v>7.4630000000000001</v>
      </c>
      <c r="E42" s="26">
        <v>7.5419999999999998</v>
      </c>
      <c r="F42" s="47">
        <v>13.351000000000001</v>
      </c>
      <c r="G42" s="47">
        <v>10.074</v>
      </c>
      <c r="H42" s="47">
        <v>10.242000000000001</v>
      </c>
      <c r="I42" s="57">
        <v>102.509</v>
      </c>
      <c r="J42" s="58">
        <v>603</v>
      </c>
      <c r="K42" s="59">
        <f t="shared" si="5"/>
        <v>45</v>
      </c>
      <c r="L42" s="19">
        <f t="shared" si="2"/>
        <v>-1.9999999999988916</v>
      </c>
      <c r="M42" s="19">
        <f t="shared" si="2"/>
        <v>-3.0000000000001137</v>
      </c>
      <c r="N42" s="19">
        <f t="shared" si="2"/>
        <v>0</v>
      </c>
      <c r="O42" s="19">
        <f t="shared" ref="O42:O105" si="7">IF(ISBLANK(F42),"",((F42-F$41)*1000)+L$41)</f>
        <v>-1.9999999999988916</v>
      </c>
      <c r="P42" s="19">
        <f t="shared" ref="P42:P105" si="8">IF(ISBLANK(G42),"",((G42-G$41)*1000)+M$41)</f>
        <v>-3.0000000000001137</v>
      </c>
      <c r="Q42" s="19">
        <f t="shared" ref="Q42:Q105" si="9">IF(ISBLANK(H42),"",((H42-H$41)*1000)+N$41)</f>
        <v>0</v>
      </c>
      <c r="R42" s="19">
        <f t="shared" si="4"/>
        <v>-5.0000000000005684</v>
      </c>
      <c r="S42" s="27">
        <f t="shared" si="6"/>
        <v>-0.99999999999944578</v>
      </c>
      <c r="T42" s="28">
        <f t="shared" si="6"/>
        <v>0</v>
      </c>
      <c r="U42" s="28">
        <f t="shared" si="6"/>
        <v>0</v>
      </c>
      <c r="V42" s="28">
        <f t="shared" si="6"/>
        <v>-0.99999999999944578</v>
      </c>
      <c r="W42" s="28">
        <f t="shared" si="6"/>
        <v>0</v>
      </c>
      <c r="X42" s="29">
        <f t="shared" si="6"/>
        <v>0</v>
      </c>
      <c r="Y42" s="24"/>
    </row>
    <row r="43" spans="2:25" ht="15" customHeight="1" x14ac:dyDescent="0.2">
      <c r="B43" s="31">
        <v>41815</v>
      </c>
      <c r="C43" s="26">
        <v>12.433</v>
      </c>
      <c r="D43" s="26">
        <v>7.4630000000000001</v>
      </c>
      <c r="E43" s="26">
        <v>7.5419999999999998</v>
      </c>
      <c r="F43" s="47">
        <v>13.352</v>
      </c>
      <c r="G43" s="47">
        <v>10.073</v>
      </c>
      <c r="H43" s="47">
        <v>10.242000000000001</v>
      </c>
      <c r="I43" s="57">
        <v>102.509</v>
      </c>
      <c r="J43" s="58">
        <v>603</v>
      </c>
      <c r="K43" s="59">
        <f t="shared" si="5"/>
        <v>45</v>
      </c>
      <c r="L43" s="19">
        <f t="shared" si="2"/>
        <v>-0.99999999999944578</v>
      </c>
      <c r="M43" s="19">
        <f t="shared" si="2"/>
        <v>-3.0000000000001137</v>
      </c>
      <c r="N43" s="19">
        <f t="shared" si="2"/>
        <v>0</v>
      </c>
      <c r="O43" s="19">
        <f t="shared" si="7"/>
        <v>-0.99999999999944578</v>
      </c>
      <c r="P43" s="19">
        <f t="shared" si="8"/>
        <v>-3.9999999999995595</v>
      </c>
      <c r="Q43" s="19">
        <f t="shared" si="9"/>
        <v>0</v>
      </c>
      <c r="R43" s="19">
        <f t="shared" si="4"/>
        <v>-5.0000000000005684</v>
      </c>
      <c r="S43" s="27">
        <f t="shared" si="6"/>
        <v>0.99999999999944578</v>
      </c>
      <c r="T43" s="28">
        <f t="shared" si="6"/>
        <v>0</v>
      </c>
      <c r="U43" s="28">
        <f t="shared" si="6"/>
        <v>0</v>
      </c>
      <c r="V43" s="28">
        <f t="shared" si="6"/>
        <v>0.99999999999944578</v>
      </c>
      <c r="W43" s="28">
        <f t="shared" si="6"/>
        <v>-0.99999999999944578</v>
      </c>
      <c r="X43" s="29">
        <f t="shared" si="6"/>
        <v>0</v>
      </c>
      <c r="Y43" s="24"/>
    </row>
    <row r="44" spans="2:25" ht="15" customHeight="1" x14ac:dyDescent="0.2">
      <c r="B44" s="31">
        <v>41820</v>
      </c>
      <c r="C44" s="26">
        <v>12.433</v>
      </c>
      <c r="D44" s="26">
        <v>7.4630000000000001</v>
      </c>
      <c r="E44" s="26">
        <v>7.5419999999999998</v>
      </c>
      <c r="F44" s="47">
        <v>13.351000000000001</v>
      </c>
      <c r="G44" s="47">
        <v>10.074</v>
      </c>
      <c r="H44" s="47">
        <v>10.242000000000001</v>
      </c>
      <c r="I44" s="57">
        <v>102.509</v>
      </c>
      <c r="J44" s="58">
        <v>645</v>
      </c>
      <c r="K44" s="59">
        <f t="shared" si="5"/>
        <v>87</v>
      </c>
      <c r="L44" s="19">
        <f t="shared" si="2"/>
        <v>-0.99999999999944578</v>
      </c>
      <c r="M44" s="19">
        <f t="shared" si="2"/>
        <v>-3.0000000000001137</v>
      </c>
      <c r="N44" s="19">
        <f t="shared" si="2"/>
        <v>0</v>
      </c>
      <c r="O44" s="19">
        <f t="shared" si="7"/>
        <v>-1.9999999999988916</v>
      </c>
      <c r="P44" s="19">
        <f t="shared" si="8"/>
        <v>-3.0000000000001137</v>
      </c>
      <c r="Q44" s="19">
        <f t="shared" si="9"/>
        <v>0</v>
      </c>
      <c r="R44" s="19">
        <f t="shared" si="4"/>
        <v>-5.0000000000005684</v>
      </c>
      <c r="S44" s="27">
        <f t="shared" si="6"/>
        <v>0</v>
      </c>
      <c r="T44" s="28">
        <f t="shared" si="6"/>
        <v>0</v>
      </c>
      <c r="U44" s="28">
        <f t="shared" si="6"/>
        <v>0</v>
      </c>
      <c r="V44" s="28">
        <f t="shared" si="6"/>
        <v>-0.19999999999988916</v>
      </c>
      <c r="W44" s="28">
        <f t="shared" si="6"/>
        <v>0.19999999999988916</v>
      </c>
      <c r="X44" s="29">
        <f t="shared" si="6"/>
        <v>0</v>
      </c>
      <c r="Y44" s="24"/>
    </row>
    <row r="45" spans="2:25" ht="15" customHeight="1" x14ac:dyDescent="0.2">
      <c r="B45" s="31">
        <v>41821</v>
      </c>
      <c r="C45" s="26">
        <v>12.433</v>
      </c>
      <c r="D45" s="26">
        <v>7.4640000000000004</v>
      </c>
      <c r="E45" s="26">
        <v>7.5410000000000004</v>
      </c>
      <c r="F45" s="47">
        <v>13.352</v>
      </c>
      <c r="G45" s="47">
        <v>10.074</v>
      </c>
      <c r="H45" s="47">
        <v>10.243</v>
      </c>
      <c r="I45" s="57">
        <v>102.509</v>
      </c>
      <c r="J45" s="58">
        <v>671</v>
      </c>
      <c r="K45" s="59">
        <f t="shared" si="5"/>
        <v>113</v>
      </c>
      <c r="L45" s="19">
        <f t="shared" si="2"/>
        <v>-0.99999999999944578</v>
      </c>
      <c r="M45" s="19">
        <f t="shared" si="2"/>
        <v>-1.9999999999997797</v>
      </c>
      <c r="N45" s="19">
        <f t="shared" si="2"/>
        <v>-0.99999999999944578</v>
      </c>
      <c r="O45" s="19">
        <f t="shared" si="7"/>
        <v>-0.99999999999944578</v>
      </c>
      <c r="P45" s="19">
        <f t="shared" si="8"/>
        <v>-3.0000000000001137</v>
      </c>
      <c r="Q45" s="19">
        <f t="shared" si="9"/>
        <v>0.99999999999944578</v>
      </c>
      <c r="R45" s="19">
        <f t="shared" si="4"/>
        <v>-5.0000000000005684</v>
      </c>
      <c r="S45" s="27">
        <f t="shared" si="6"/>
        <v>0</v>
      </c>
      <c r="T45" s="28">
        <f t="shared" si="6"/>
        <v>1.000000000000334</v>
      </c>
      <c r="U45" s="28">
        <f t="shared" si="6"/>
        <v>-0.99999999999944578</v>
      </c>
      <c r="V45" s="28">
        <f t="shared" si="6"/>
        <v>0.99999999999944578</v>
      </c>
      <c r="W45" s="28">
        <f t="shared" si="6"/>
        <v>0</v>
      </c>
      <c r="X45" s="29">
        <f t="shared" si="6"/>
        <v>0.99999999999944578</v>
      </c>
      <c r="Y45" s="24"/>
    </row>
    <row r="46" spans="2:25" ht="15" customHeight="1" x14ac:dyDescent="0.2">
      <c r="B46" s="31">
        <v>41828</v>
      </c>
      <c r="C46" s="26">
        <v>12.433</v>
      </c>
      <c r="D46" s="26">
        <v>7.4630000000000001</v>
      </c>
      <c r="E46" s="26">
        <v>7.5419999999999998</v>
      </c>
      <c r="F46" s="47">
        <v>13.351000000000001</v>
      </c>
      <c r="G46" s="47">
        <v>10.074</v>
      </c>
      <c r="H46" s="47">
        <v>10.242000000000001</v>
      </c>
      <c r="I46" s="57">
        <v>102.51</v>
      </c>
      <c r="J46" s="58">
        <v>775</v>
      </c>
      <c r="K46" s="59">
        <f t="shared" si="5"/>
        <v>217</v>
      </c>
      <c r="L46" s="19">
        <f t="shared" si="2"/>
        <v>-0.99999999999944578</v>
      </c>
      <c r="M46" s="19">
        <f t="shared" si="2"/>
        <v>-3.0000000000001137</v>
      </c>
      <c r="N46" s="19">
        <f t="shared" si="2"/>
        <v>0</v>
      </c>
      <c r="O46" s="19">
        <f t="shared" si="7"/>
        <v>-1.9999999999988916</v>
      </c>
      <c r="P46" s="19">
        <f t="shared" si="8"/>
        <v>-3.0000000000001137</v>
      </c>
      <c r="Q46" s="19">
        <f t="shared" si="9"/>
        <v>0</v>
      </c>
      <c r="R46" s="19">
        <f t="shared" si="4"/>
        <v>-3.9999999999957936</v>
      </c>
      <c r="S46" s="27">
        <f t="shared" si="6"/>
        <v>0</v>
      </c>
      <c r="T46" s="28">
        <f t="shared" si="6"/>
        <v>-0.14285714285719056</v>
      </c>
      <c r="U46" s="28">
        <f t="shared" si="6"/>
        <v>0.14285714285706369</v>
      </c>
      <c r="V46" s="28">
        <f t="shared" si="6"/>
        <v>-0.14285714285706369</v>
      </c>
      <c r="W46" s="28">
        <f t="shared" si="6"/>
        <v>0</v>
      </c>
      <c r="X46" s="29">
        <f t="shared" si="6"/>
        <v>-0.14285714285706369</v>
      </c>
      <c r="Y46" s="24"/>
    </row>
    <row r="47" spans="2:25" ht="15" customHeight="1" x14ac:dyDescent="0.2">
      <c r="B47" s="31">
        <v>41835</v>
      </c>
      <c r="C47" s="26">
        <v>12.433</v>
      </c>
      <c r="D47" s="26">
        <v>7.4630000000000001</v>
      </c>
      <c r="E47" s="26">
        <v>7.5410000000000004</v>
      </c>
      <c r="F47" s="47">
        <v>13.351000000000001</v>
      </c>
      <c r="G47" s="47">
        <v>10.074</v>
      </c>
      <c r="H47" s="47">
        <v>10.242000000000001</v>
      </c>
      <c r="I47" s="57">
        <v>102.509</v>
      </c>
      <c r="J47" s="58">
        <v>857</v>
      </c>
      <c r="K47" s="59">
        <f t="shared" si="5"/>
        <v>299</v>
      </c>
      <c r="L47" s="19">
        <f t="shared" si="2"/>
        <v>-0.99999999999944578</v>
      </c>
      <c r="M47" s="19">
        <f t="shared" si="2"/>
        <v>-3.0000000000001137</v>
      </c>
      <c r="N47" s="19">
        <f t="shared" si="2"/>
        <v>-0.99999999999944578</v>
      </c>
      <c r="O47" s="19">
        <f t="shared" si="7"/>
        <v>-1.9999999999988916</v>
      </c>
      <c r="P47" s="19">
        <f t="shared" si="8"/>
        <v>-3.0000000000001137</v>
      </c>
      <c r="Q47" s="19">
        <f t="shared" si="9"/>
        <v>0</v>
      </c>
      <c r="R47" s="19">
        <f t="shared" si="4"/>
        <v>-5.0000000000005684</v>
      </c>
      <c r="S47" s="27">
        <f t="shared" si="6"/>
        <v>0</v>
      </c>
      <c r="T47" s="28">
        <f t="shared" si="6"/>
        <v>0</v>
      </c>
      <c r="U47" s="28">
        <f t="shared" si="6"/>
        <v>-0.14285714285706369</v>
      </c>
      <c r="V47" s="28">
        <f t="shared" si="6"/>
        <v>0</v>
      </c>
      <c r="W47" s="28">
        <f t="shared" si="6"/>
        <v>0</v>
      </c>
      <c r="X47" s="29">
        <f t="shared" si="6"/>
        <v>0</v>
      </c>
      <c r="Y47" s="24"/>
    </row>
    <row r="48" spans="2:25" ht="15" customHeight="1" x14ac:dyDescent="0.2">
      <c r="B48" s="31">
        <v>41879</v>
      </c>
      <c r="C48" s="26"/>
      <c r="D48" s="26"/>
      <c r="E48" s="26"/>
      <c r="F48" s="47">
        <v>13.351000000000001</v>
      </c>
      <c r="G48" s="47">
        <v>10.073</v>
      </c>
      <c r="H48" s="47">
        <v>10.242000000000001</v>
      </c>
      <c r="I48" s="57">
        <v>102.509</v>
      </c>
      <c r="J48" s="58">
        <v>943</v>
      </c>
      <c r="K48" s="59">
        <f t="shared" si="5"/>
        <v>385</v>
      </c>
      <c r="L48" s="19" t="str">
        <f t="shared" si="2"/>
        <v/>
      </c>
      <c r="M48" s="19" t="str">
        <f t="shared" si="2"/>
        <v/>
      </c>
      <c r="N48" s="19" t="str">
        <f t="shared" si="2"/>
        <v/>
      </c>
      <c r="O48" s="19">
        <f t="shared" si="7"/>
        <v>-1.9999999999988916</v>
      </c>
      <c r="P48" s="19">
        <f t="shared" si="8"/>
        <v>-3.9999999999995595</v>
      </c>
      <c r="Q48" s="19">
        <f t="shared" si="9"/>
        <v>0</v>
      </c>
      <c r="R48" s="19">
        <f t="shared" si="4"/>
        <v>-5.0000000000005684</v>
      </c>
      <c r="S48" s="27" t="str">
        <f t="shared" si="6"/>
        <v/>
      </c>
      <c r="T48" s="28" t="str">
        <f t="shared" si="6"/>
        <v/>
      </c>
      <c r="U48" s="28" t="str">
        <f t="shared" si="6"/>
        <v/>
      </c>
      <c r="V48" s="28">
        <f t="shared" si="6"/>
        <v>0</v>
      </c>
      <c r="W48" s="28">
        <f t="shared" si="6"/>
        <v>-2.272727272726013E-2</v>
      </c>
      <c r="X48" s="29">
        <f t="shared" si="6"/>
        <v>0</v>
      </c>
      <c r="Y48" s="24"/>
    </row>
    <row r="49" spans="2:25" ht="15" customHeight="1" x14ac:dyDescent="0.2">
      <c r="B49" s="31">
        <v>41913</v>
      </c>
      <c r="C49" s="26"/>
      <c r="D49" s="26"/>
      <c r="E49" s="26"/>
      <c r="F49" s="47">
        <v>13.352</v>
      </c>
      <c r="G49" s="47">
        <v>10.074</v>
      </c>
      <c r="H49" s="47">
        <v>10.243</v>
      </c>
      <c r="I49" s="57">
        <v>102.509</v>
      </c>
      <c r="J49" s="58">
        <v>943</v>
      </c>
      <c r="K49" s="59">
        <f t="shared" si="5"/>
        <v>385</v>
      </c>
      <c r="L49" s="19" t="str">
        <f t="shared" si="2"/>
        <v/>
      </c>
      <c r="M49" s="19" t="str">
        <f t="shared" si="2"/>
        <v/>
      </c>
      <c r="N49" s="19" t="str">
        <f t="shared" si="2"/>
        <v/>
      </c>
      <c r="O49" s="19">
        <f t="shared" si="7"/>
        <v>-0.99999999999944578</v>
      </c>
      <c r="P49" s="19">
        <f t="shared" si="8"/>
        <v>-3.0000000000001137</v>
      </c>
      <c r="Q49" s="19">
        <f t="shared" si="9"/>
        <v>0.99999999999944578</v>
      </c>
      <c r="R49" s="19">
        <f t="shared" si="4"/>
        <v>-5.0000000000005684</v>
      </c>
      <c r="S49" s="27" t="str">
        <f t="shared" ref="S49:X64" si="10">IF(C49="","",((C49-C48)*1000)/($B49-$B48))</f>
        <v/>
      </c>
      <c r="T49" s="28" t="str">
        <f t="shared" si="10"/>
        <v/>
      </c>
      <c r="U49" s="28" t="str">
        <f t="shared" si="10"/>
        <v/>
      </c>
      <c r="V49" s="28">
        <f t="shared" si="10"/>
        <v>2.9411764705866053E-2</v>
      </c>
      <c r="W49" s="28">
        <f t="shared" si="10"/>
        <v>2.9411764705866053E-2</v>
      </c>
      <c r="X49" s="29">
        <f t="shared" si="10"/>
        <v>2.9411764705866053E-2</v>
      </c>
      <c r="Y49" s="24"/>
    </row>
    <row r="50" spans="2:25" ht="15" customHeight="1" x14ac:dyDescent="0.2">
      <c r="B50" s="31">
        <v>42032</v>
      </c>
      <c r="C50" s="26"/>
      <c r="D50" s="26"/>
      <c r="E50" s="26"/>
      <c r="F50" s="47">
        <v>13.353</v>
      </c>
      <c r="G50" s="47">
        <v>10.074999999999999</v>
      </c>
      <c r="H50" s="47">
        <v>10.243</v>
      </c>
      <c r="I50" s="57">
        <v>102.509</v>
      </c>
      <c r="J50" s="58">
        <v>943</v>
      </c>
      <c r="K50" s="59">
        <f>IF(ISBLANK(J50),"",(J50-$J$8))</f>
        <v>385</v>
      </c>
      <c r="L50" s="19" t="str">
        <f t="shared" si="2"/>
        <v/>
      </c>
      <c r="M50" s="19" t="str">
        <f t="shared" si="2"/>
        <v/>
      </c>
      <c r="N50" s="19" t="str">
        <f t="shared" si="2"/>
        <v/>
      </c>
      <c r="O50" s="19">
        <f t="shared" si="7"/>
        <v>0</v>
      </c>
      <c r="P50" s="19">
        <f t="shared" si="8"/>
        <v>-2.0000000000006679</v>
      </c>
      <c r="Q50" s="19">
        <f t="shared" si="9"/>
        <v>0.99999999999944578</v>
      </c>
      <c r="R50" s="19">
        <f t="shared" si="4"/>
        <v>-5.0000000000005684</v>
      </c>
      <c r="S50" s="27" t="str">
        <f t="shared" si="10"/>
        <v/>
      </c>
      <c r="T50" s="28" t="str">
        <f t="shared" si="10"/>
        <v/>
      </c>
      <c r="U50" s="28" t="str">
        <f t="shared" si="10"/>
        <v/>
      </c>
      <c r="V50" s="28">
        <f t="shared" si="10"/>
        <v>8.403361344533157E-3</v>
      </c>
      <c r="W50" s="28">
        <f t="shared" si="10"/>
        <v>8.403361344533157E-3</v>
      </c>
      <c r="X50" s="29">
        <f t="shared" si="10"/>
        <v>0</v>
      </c>
      <c r="Y50" s="24"/>
    </row>
    <row r="51" spans="2:25" ht="15" customHeight="1" x14ac:dyDescent="0.2">
      <c r="B51" s="31">
        <v>42121</v>
      </c>
      <c r="C51" s="25"/>
      <c r="D51" s="26"/>
      <c r="E51" s="26"/>
      <c r="F51" s="47">
        <v>13.353</v>
      </c>
      <c r="G51" s="47">
        <v>10.074</v>
      </c>
      <c r="H51" s="47">
        <v>10.243</v>
      </c>
      <c r="I51" s="57">
        <v>102.509</v>
      </c>
      <c r="J51" s="58">
        <v>943</v>
      </c>
      <c r="K51" s="18">
        <f>IF(ISBLANK(J51),"",(J51-$J$8))</f>
        <v>385</v>
      </c>
      <c r="L51" s="19" t="str">
        <f t="shared" si="2"/>
        <v/>
      </c>
      <c r="M51" s="19" t="str">
        <f t="shared" si="2"/>
        <v/>
      </c>
      <c r="N51" s="19" t="str">
        <f t="shared" si="2"/>
        <v/>
      </c>
      <c r="O51" s="19">
        <f t="shared" si="7"/>
        <v>0</v>
      </c>
      <c r="P51" s="19">
        <f t="shared" si="8"/>
        <v>-3.0000000000001137</v>
      </c>
      <c r="Q51" s="19">
        <f t="shared" si="9"/>
        <v>0.99999999999944578</v>
      </c>
      <c r="R51" s="19">
        <f t="shared" si="4"/>
        <v>-5.0000000000005684</v>
      </c>
      <c r="S51" s="27" t="str">
        <f t="shared" si="10"/>
        <v/>
      </c>
      <c r="T51" s="28" t="str">
        <f t="shared" si="10"/>
        <v/>
      </c>
      <c r="U51" s="28" t="str">
        <f t="shared" si="10"/>
        <v/>
      </c>
      <c r="V51" s="28">
        <f t="shared" si="10"/>
        <v>0</v>
      </c>
      <c r="W51" s="28">
        <f t="shared" si="10"/>
        <v>-1.1235955056173547E-2</v>
      </c>
      <c r="X51" s="29">
        <f t="shared" si="10"/>
        <v>0</v>
      </c>
      <c r="Y51" s="24"/>
    </row>
    <row r="52" spans="2:25" ht="15" customHeight="1" x14ac:dyDescent="0.2">
      <c r="B52" s="31">
        <v>42222</v>
      </c>
      <c r="C52" s="33"/>
      <c r="D52" s="16"/>
      <c r="E52" s="16"/>
      <c r="F52" s="16">
        <v>13.352</v>
      </c>
      <c r="G52" s="16">
        <v>10.074</v>
      </c>
      <c r="H52" s="16">
        <v>10.242000000000001</v>
      </c>
      <c r="I52" s="16">
        <v>102.51</v>
      </c>
      <c r="J52" s="32">
        <v>1278</v>
      </c>
      <c r="K52" s="18">
        <f t="shared" ref="K52:K86" si="11">IF(ISBLANK(J52),"",(J52-$J$8))</f>
        <v>720</v>
      </c>
      <c r="L52" s="19" t="str">
        <f t="shared" si="2"/>
        <v/>
      </c>
      <c r="M52" s="19" t="str">
        <f t="shared" si="2"/>
        <v/>
      </c>
      <c r="N52" s="19" t="str">
        <f t="shared" si="2"/>
        <v/>
      </c>
      <c r="O52" s="19">
        <f t="shared" si="7"/>
        <v>-0.99999999999944578</v>
      </c>
      <c r="P52" s="19">
        <f t="shared" si="8"/>
        <v>-3.0000000000001137</v>
      </c>
      <c r="Q52" s="19">
        <f t="shared" si="9"/>
        <v>0</v>
      </c>
      <c r="R52" s="19">
        <f t="shared" si="4"/>
        <v>-3.9999999999957936</v>
      </c>
      <c r="S52" s="27" t="str">
        <f t="shared" si="10"/>
        <v/>
      </c>
      <c r="T52" s="28" t="str">
        <f t="shared" si="10"/>
        <v/>
      </c>
      <c r="U52" s="28" t="str">
        <f t="shared" si="10"/>
        <v/>
      </c>
      <c r="V52" s="28">
        <f t="shared" si="10"/>
        <v>-9.9009900990044142E-3</v>
      </c>
      <c r="W52" s="28">
        <f t="shared" si="10"/>
        <v>0</v>
      </c>
      <c r="X52" s="29">
        <f t="shared" si="10"/>
        <v>-9.9009900990044142E-3</v>
      </c>
      <c r="Y52" s="24"/>
    </row>
    <row r="53" spans="2:25" ht="15" customHeight="1" x14ac:dyDescent="0.2">
      <c r="B53" s="31">
        <v>42326</v>
      </c>
      <c r="C53" s="25"/>
      <c r="D53" s="26"/>
      <c r="E53" s="26"/>
      <c r="F53" s="16">
        <v>13.35</v>
      </c>
      <c r="G53" s="16">
        <v>10.074</v>
      </c>
      <c r="H53" s="16">
        <v>10.242000000000001</v>
      </c>
      <c r="I53" s="16">
        <v>102.51</v>
      </c>
      <c r="J53" s="32">
        <v>2248</v>
      </c>
      <c r="K53" s="18">
        <f t="shared" si="11"/>
        <v>1690</v>
      </c>
      <c r="L53" s="19" t="str">
        <f t="shared" si="2"/>
        <v/>
      </c>
      <c r="M53" s="19" t="str">
        <f t="shared" si="2"/>
        <v/>
      </c>
      <c r="N53" s="19" t="str">
        <f t="shared" si="2"/>
        <v/>
      </c>
      <c r="O53" s="19">
        <f t="shared" si="7"/>
        <v>-3.0000000000001137</v>
      </c>
      <c r="P53" s="19">
        <f t="shared" si="8"/>
        <v>-3.0000000000001137</v>
      </c>
      <c r="Q53" s="19">
        <f t="shared" si="9"/>
        <v>0</v>
      </c>
      <c r="R53" s="19">
        <f t="shared" si="4"/>
        <v>-3.9999999999957936</v>
      </c>
      <c r="S53" s="27" t="str">
        <f t="shared" si="10"/>
        <v/>
      </c>
      <c r="T53" s="28" t="str">
        <f t="shared" si="10"/>
        <v/>
      </c>
      <c r="U53" s="28" t="str">
        <f t="shared" si="10"/>
        <v/>
      </c>
      <c r="V53" s="28">
        <f t="shared" si="10"/>
        <v>-1.9230769230775654E-2</v>
      </c>
      <c r="W53" s="28">
        <f t="shared" si="10"/>
        <v>0</v>
      </c>
      <c r="X53" s="29">
        <f t="shared" si="10"/>
        <v>0</v>
      </c>
      <c r="Y53" s="24"/>
    </row>
    <row r="54" spans="2:25" ht="15" customHeight="1" x14ac:dyDescent="0.2">
      <c r="B54" s="31">
        <v>42416</v>
      </c>
      <c r="C54" s="26">
        <v>12.432</v>
      </c>
      <c r="D54" s="26">
        <v>7.4630000000000001</v>
      </c>
      <c r="E54" s="26">
        <v>7.5419999999999998</v>
      </c>
      <c r="F54" s="16">
        <v>13.351000000000001</v>
      </c>
      <c r="G54" s="16">
        <v>10.074999999999999</v>
      </c>
      <c r="H54" s="16">
        <v>10.241</v>
      </c>
      <c r="I54" s="16">
        <v>102.511</v>
      </c>
      <c r="J54" s="58">
        <v>2519</v>
      </c>
      <c r="K54" s="18">
        <f t="shared" si="11"/>
        <v>1961</v>
      </c>
      <c r="L54" s="19"/>
      <c r="M54" s="19"/>
      <c r="N54" s="19"/>
      <c r="O54" s="19">
        <f t="shared" si="7"/>
        <v>-1.9999999999988916</v>
      </c>
      <c r="P54" s="19">
        <f t="shared" si="8"/>
        <v>-2.0000000000006679</v>
      </c>
      <c r="Q54" s="19">
        <f t="shared" si="9"/>
        <v>-1.0000000000012221</v>
      </c>
      <c r="R54" s="19">
        <f t="shared" si="4"/>
        <v>-3.0000000000052296</v>
      </c>
      <c r="S54" s="27"/>
      <c r="T54" s="28"/>
      <c r="U54" s="28"/>
      <c r="V54" s="28">
        <f t="shared" si="10"/>
        <v>1.1111111111124691E-2</v>
      </c>
      <c r="W54" s="28">
        <f t="shared" si="10"/>
        <v>1.1111111111104953E-2</v>
      </c>
      <c r="X54" s="29">
        <f t="shared" si="10"/>
        <v>-1.1111111111124691E-2</v>
      </c>
      <c r="Y54" s="24"/>
    </row>
    <row r="55" spans="2:25" ht="15" customHeight="1" x14ac:dyDescent="0.2">
      <c r="B55" s="31">
        <v>42530</v>
      </c>
      <c r="C55" s="26">
        <v>12.433</v>
      </c>
      <c r="D55" s="26">
        <v>7.4630000000000001</v>
      </c>
      <c r="E55" s="26">
        <v>7.5419999999999998</v>
      </c>
      <c r="F55" s="16">
        <v>13.352</v>
      </c>
      <c r="G55" s="16">
        <v>10.076000000000001</v>
      </c>
      <c r="H55" s="16">
        <v>10.24</v>
      </c>
      <c r="I55" s="16">
        <v>102.511</v>
      </c>
      <c r="J55" s="58">
        <v>2608</v>
      </c>
      <c r="K55" s="18">
        <f t="shared" ref="K55" si="12">IF(ISBLANK(J55),"",(J55-$J$8))</f>
        <v>2050</v>
      </c>
      <c r="L55" s="19">
        <f t="shared" si="2"/>
        <v>-0.99999999999944578</v>
      </c>
      <c r="M55" s="19">
        <f t="shared" si="2"/>
        <v>-3.0000000000001137</v>
      </c>
      <c r="N55" s="19">
        <f t="shared" si="2"/>
        <v>0</v>
      </c>
      <c r="O55" s="19">
        <f t="shared" si="7"/>
        <v>-0.99999999999944578</v>
      </c>
      <c r="P55" s="19">
        <f t="shared" si="8"/>
        <v>-0.99999999999944578</v>
      </c>
      <c r="Q55" s="19">
        <f t="shared" si="9"/>
        <v>-2.0000000000006679</v>
      </c>
      <c r="R55" s="19">
        <f t="shared" si="4"/>
        <v>-3.0000000000052296</v>
      </c>
      <c r="S55" s="27">
        <f t="shared" si="10"/>
        <v>8.7719298245565423E-3</v>
      </c>
      <c r="T55" s="28">
        <f t="shared" si="10"/>
        <v>0</v>
      </c>
      <c r="U55" s="28">
        <f t="shared" si="10"/>
        <v>0</v>
      </c>
      <c r="V55" s="28">
        <f t="shared" si="10"/>
        <v>8.7719298245565423E-3</v>
      </c>
      <c r="W55" s="28">
        <f t="shared" si="10"/>
        <v>8.7719298245721236E-3</v>
      </c>
      <c r="X55" s="29">
        <f t="shared" si="10"/>
        <v>-8.7719298245565423E-3</v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1"/>
        <v/>
      </c>
      <c r="L56" s="19" t="str">
        <f t="shared" si="2"/>
        <v/>
      </c>
      <c r="M56" s="19" t="str">
        <f t="shared" si="2"/>
        <v/>
      </c>
      <c r="N56" s="19" t="str">
        <f t="shared" si="2"/>
        <v/>
      </c>
      <c r="O56" s="19" t="str">
        <f t="shared" si="7"/>
        <v/>
      </c>
      <c r="P56" s="19" t="str">
        <f t="shared" si="8"/>
        <v/>
      </c>
      <c r="Q56" s="19" t="str">
        <f t="shared" si="9"/>
        <v/>
      </c>
      <c r="R56" s="19" t="str">
        <f t="shared" si="4"/>
        <v/>
      </c>
      <c r="S56" s="27" t="str">
        <f t="shared" si="10"/>
        <v/>
      </c>
      <c r="T56" s="28" t="str">
        <f t="shared" si="10"/>
        <v/>
      </c>
      <c r="U56" s="28" t="str">
        <f t="shared" si="10"/>
        <v/>
      </c>
      <c r="V56" s="28" t="str">
        <f t="shared" si="10"/>
        <v/>
      </c>
      <c r="W56" s="28" t="str">
        <f t="shared" si="10"/>
        <v/>
      </c>
      <c r="X56" s="29" t="str">
        <f t="shared" si="1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1"/>
        <v/>
      </c>
      <c r="L57" s="19" t="str">
        <f t="shared" si="2"/>
        <v/>
      </c>
      <c r="M57" s="19" t="str">
        <f t="shared" si="2"/>
        <v/>
      </c>
      <c r="N57" s="19" t="str">
        <f t="shared" si="2"/>
        <v/>
      </c>
      <c r="O57" s="19" t="str">
        <f t="shared" si="7"/>
        <v/>
      </c>
      <c r="P57" s="19" t="str">
        <f t="shared" si="8"/>
        <v/>
      </c>
      <c r="Q57" s="19" t="str">
        <f t="shared" si="9"/>
        <v/>
      </c>
      <c r="R57" s="19" t="str">
        <f t="shared" si="4"/>
        <v/>
      </c>
      <c r="S57" s="27" t="str">
        <f t="shared" si="10"/>
        <v/>
      </c>
      <c r="T57" s="28" t="str">
        <f t="shared" si="10"/>
        <v/>
      </c>
      <c r="U57" s="28" t="str">
        <f t="shared" si="10"/>
        <v/>
      </c>
      <c r="V57" s="28" t="str">
        <f t="shared" si="10"/>
        <v/>
      </c>
      <c r="W57" s="28" t="str">
        <f t="shared" si="10"/>
        <v/>
      </c>
      <c r="X57" s="29" t="str">
        <f t="shared" si="1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1"/>
        <v/>
      </c>
      <c r="L58" s="19" t="str">
        <f t="shared" si="2"/>
        <v/>
      </c>
      <c r="M58" s="19" t="str">
        <f t="shared" si="2"/>
        <v/>
      </c>
      <c r="N58" s="19" t="str">
        <f t="shared" si="2"/>
        <v/>
      </c>
      <c r="O58" s="19" t="str">
        <f t="shared" si="7"/>
        <v/>
      </c>
      <c r="P58" s="19" t="str">
        <f t="shared" si="8"/>
        <v/>
      </c>
      <c r="Q58" s="19" t="str">
        <f t="shared" si="9"/>
        <v/>
      </c>
      <c r="R58" s="19" t="str">
        <f t="shared" si="4"/>
        <v/>
      </c>
      <c r="S58" s="27" t="str">
        <f t="shared" si="10"/>
        <v/>
      </c>
      <c r="T58" s="28" t="str">
        <f t="shared" si="10"/>
        <v/>
      </c>
      <c r="U58" s="28" t="str">
        <f t="shared" si="10"/>
        <v/>
      </c>
      <c r="V58" s="28" t="str">
        <f t="shared" si="10"/>
        <v/>
      </c>
      <c r="W58" s="28" t="str">
        <f t="shared" si="10"/>
        <v/>
      </c>
      <c r="X58" s="29" t="str">
        <f t="shared" si="1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1"/>
        <v/>
      </c>
      <c r="L59" s="19" t="str">
        <f t="shared" si="2"/>
        <v/>
      </c>
      <c r="M59" s="19" t="str">
        <f t="shared" si="2"/>
        <v/>
      </c>
      <c r="N59" s="19" t="str">
        <f t="shared" si="2"/>
        <v/>
      </c>
      <c r="O59" s="19" t="str">
        <f t="shared" si="7"/>
        <v/>
      </c>
      <c r="P59" s="19" t="str">
        <f t="shared" si="8"/>
        <v/>
      </c>
      <c r="Q59" s="19" t="str">
        <f t="shared" si="9"/>
        <v/>
      </c>
      <c r="R59" s="19" t="str">
        <f t="shared" si="4"/>
        <v/>
      </c>
      <c r="S59" s="27" t="str">
        <f t="shared" si="10"/>
        <v/>
      </c>
      <c r="T59" s="28" t="str">
        <f t="shared" si="10"/>
        <v/>
      </c>
      <c r="U59" s="28" t="str">
        <f t="shared" si="10"/>
        <v/>
      </c>
      <c r="V59" s="28" t="str">
        <f t="shared" si="10"/>
        <v/>
      </c>
      <c r="W59" s="28" t="str">
        <f t="shared" si="10"/>
        <v/>
      </c>
      <c r="X59" s="29" t="str">
        <f t="shared" si="1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1"/>
        <v/>
      </c>
      <c r="L60" s="19" t="str">
        <f t="shared" si="2"/>
        <v/>
      </c>
      <c r="M60" s="19" t="str">
        <f t="shared" si="2"/>
        <v/>
      </c>
      <c r="N60" s="19" t="str">
        <f t="shared" si="2"/>
        <v/>
      </c>
      <c r="O60" s="19" t="str">
        <f t="shared" si="7"/>
        <v/>
      </c>
      <c r="P60" s="19" t="str">
        <f t="shared" si="8"/>
        <v/>
      </c>
      <c r="Q60" s="19" t="str">
        <f t="shared" si="9"/>
        <v/>
      </c>
      <c r="R60" s="19" t="str">
        <f t="shared" si="4"/>
        <v/>
      </c>
      <c r="S60" s="27" t="str">
        <f t="shared" si="10"/>
        <v/>
      </c>
      <c r="T60" s="28" t="str">
        <f t="shared" si="10"/>
        <v/>
      </c>
      <c r="U60" s="28" t="str">
        <f t="shared" si="10"/>
        <v/>
      </c>
      <c r="V60" s="28" t="str">
        <f t="shared" si="10"/>
        <v/>
      </c>
      <c r="W60" s="28" t="str">
        <f t="shared" si="10"/>
        <v/>
      </c>
      <c r="X60" s="29" t="str">
        <f t="shared" si="1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1"/>
        <v/>
      </c>
      <c r="L61" s="19" t="str">
        <f t="shared" si="2"/>
        <v/>
      </c>
      <c r="M61" s="19" t="str">
        <f t="shared" si="2"/>
        <v/>
      </c>
      <c r="N61" s="19" t="str">
        <f t="shared" si="2"/>
        <v/>
      </c>
      <c r="O61" s="19" t="str">
        <f t="shared" si="7"/>
        <v/>
      </c>
      <c r="P61" s="19" t="str">
        <f t="shared" si="8"/>
        <v/>
      </c>
      <c r="Q61" s="19" t="str">
        <f t="shared" si="9"/>
        <v/>
      </c>
      <c r="R61" s="19" t="str">
        <f t="shared" si="4"/>
        <v/>
      </c>
      <c r="S61" s="27" t="str">
        <f t="shared" si="10"/>
        <v/>
      </c>
      <c r="T61" s="28" t="str">
        <f t="shared" si="10"/>
        <v/>
      </c>
      <c r="U61" s="28" t="str">
        <f t="shared" si="10"/>
        <v/>
      </c>
      <c r="V61" s="28" t="str">
        <f t="shared" si="10"/>
        <v/>
      </c>
      <c r="W61" s="28" t="str">
        <f t="shared" si="10"/>
        <v/>
      </c>
      <c r="X61" s="29" t="str">
        <f t="shared" si="1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1"/>
        <v/>
      </c>
      <c r="L62" s="19" t="str">
        <f t="shared" si="2"/>
        <v/>
      </c>
      <c r="M62" s="19" t="str">
        <f t="shared" si="2"/>
        <v/>
      </c>
      <c r="N62" s="19" t="str">
        <f t="shared" si="2"/>
        <v/>
      </c>
      <c r="O62" s="19" t="str">
        <f t="shared" si="7"/>
        <v/>
      </c>
      <c r="P62" s="19" t="str">
        <f t="shared" si="8"/>
        <v/>
      </c>
      <c r="Q62" s="19" t="str">
        <f t="shared" si="9"/>
        <v/>
      </c>
      <c r="R62" s="19" t="str">
        <f t="shared" si="4"/>
        <v/>
      </c>
      <c r="S62" s="27" t="str">
        <f t="shared" si="10"/>
        <v/>
      </c>
      <c r="T62" s="28" t="str">
        <f t="shared" si="10"/>
        <v/>
      </c>
      <c r="U62" s="28" t="str">
        <f t="shared" si="10"/>
        <v/>
      </c>
      <c r="V62" s="28" t="str">
        <f t="shared" si="10"/>
        <v/>
      </c>
      <c r="W62" s="28" t="str">
        <f t="shared" si="10"/>
        <v/>
      </c>
      <c r="X62" s="29" t="str">
        <f t="shared" si="1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1"/>
        <v/>
      </c>
      <c r="L63" s="19" t="str">
        <f t="shared" ref="L63:N117" si="13">IF(ISBLANK(C63),"",(C63-C$16)*1000)</f>
        <v/>
      </c>
      <c r="M63" s="19" t="str">
        <f t="shared" si="13"/>
        <v/>
      </c>
      <c r="N63" s="19" t="str">
        <f t="shared" si="13"/>
        <v/>
      </c>
      <c r="O63" s="19" t="str">
        <f t="shared" si="7"/>
        <v/>
      </c>
      <c r="P63" s="19" t="str">
        <f t="shared" si="8"/>
        <v/>
      </c>
      <c r="Q63" s="19" t="str">
        <f t="shared" si="9"/>
        <v/>
      </c>
      <c r="R63" s="19" t="str">
        <f t="shared" si="4"/>
        <v/>
      </c>
      <c r="S63" s="27" t="str">
        <f t="shared" si="10"/>
        <v/>
      </c>
      <c r="T63" s="28" t="str">
        <f t="shared" si="10"/>
        <v/>
      </c>
      <c r="U63" s="28" t="str">
        <f t="shared" si="10"/>
        <v/>
      </c>
      <c r="V63" s="28" t="str">
        <f t="shared" si="10"/>
        <v/>
      </c>
      <c r="W63" s="28" t="str">
        <f t="shared" si="10"/>
        <v/>
      </c>
      <c r="X63" s="29" t="str">
        <f t="shared" si="1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1"/>
        <v/>
      </c>
      <c r="L64" s="19" t="str">
        <f t="shared" si="13"/>
        <v/>
      </c>
      <c r="M64" s="19" t="str">
        <f t="shared" si="13"/>
        <v/>
      </c>
      <c r="N64" s="19" t="str">
        <f t="shared" si="13"/>
        <v/>
      </c>
      <c r="O64" s="19" t="str">
        <f t="shared" si="7"/>
        <v/>
      </c>
      <c r="P64" s="19" t="str">
        <f t="shared" si="8"/>
        <v/>
      </c>
      <c r="Q64" s="19" t="str">
        <f t="shared" si="9"/>
        <v/>
      </c>
      <c r="R64" s="19" t="str">
        <f t="shared" si="4"/>
        <v/>
      </c>
      <c r="S64" s="27" t="str">
        <f t="shared" si="10"/>
        <v/>
      </c>
      <c r="T64" s="28" t="str">
        <f t="shared" si="10"/>
        <v/>
      </c>
      <c r="U64" s="28" t="str">
        <f t="shared" si="10"/>
        <v/>
      </c>
      <c r="V64" s="28" t="str">
        <f t="shared" si="10"/>
        <v/>
      </c>
      <c r="W64" s="28" t="str">
        <f t="shared" si="10"/>
        <v/>
      </c>
      <c r="X64" s="29" t="str">
        <f t="shared" si="1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1"/>
        <v/>
      </c>
      <c r="L65" s="19" t="str">
        <f t="shared" si="13"/>
        <v/>
      </c>
      <c r="M65" s="19" t="str">
        <f t="shared" si="13"/>
        <v/>
      </c>
      <c r="N65" s="19" t="str">
        <f t="shared" si="13"/>
        <v/>
      </c>
      <c r="O65" s="19" t="str">
        <f t="shared" si="7"/>
        <v/>
      </c>
      <c r="P65" s="19" t="str">
        <f t="shared" si="8"/>
        <v/>
      </c>
      <c r="Q65" s="19" t="str">
        <f t="shared" si="9"/>
        <v/>
      </c>
      <c r="R65" s="19" t="str">
        <f t="shared" si="4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1"/>
        <v/>
      </c>
      <c r="L66" s="19" t="str">
        <f t="shared" si="13"/>
        <v/>
      </c>
      <c r="M66" s="19" t="str">
        <f t="shared" si="13"/>
        <v/>
      </c>
      <c r="N66" s="19" t="str">
        <f t="shared" si="13"/>
        <v/>
      </c>
      <c r="O66" s="19" t="str">
        <f t="shared" si="7"/>
        <v/>
      </c>
      <c r="P66" s="19" t="str">
        <f t="shared" si="8"/>
        <v/>
      </c>
      <c r="Q66" s="19" t="str">
        <f t="shared" si="9"/>
        <v/>
      </c>
      <c r="R66" s="19" t="str">
        <f t="shared" si="4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1"/>
        <v/>
      </c>
      <c r="L67" s="19" t="str">
        <f t="shared" si="13"/>
        <v/>
      </c>
      <c r="M67" s="19" t="str">
        <f t="shared" si="13"/>
        <v/>
      </c>
      <c r="N67" s="19" t="str">
        <f t="shared" si="13"/>
        <v/>
      </c>
      <c r="O67" s="19" t="str">
        <f t="shared" si="7"/>
        <v/>
      </c>
      <c r="P67" s="19" t="str">
        <f t="shared" si="8"/>
        <v/>
      </c>
      <c r="Q67" s="19" t="str">
        <f t="shared" si="9"/>
        <v/>
      </c>
      <c r="R67" s="19" t="str">
        <f t="shared" si="4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1"/>
        <v/>
      </c>
      <c r="L68" s="19" t="str">
        <f t="shared" si="13"/>
        <v/>
      </c>
      <c r="M68" s="19" t="str">
        <f t="shared" si="13"/>
        <v/>
      </c>
      <c r="N68" s="19" t="str">
        <f t="shared" si="13"/>
        <v/>
      </c>
      <c r="O68" s="19" t="str">
        <f t="shared" si="7"/>
        <v/>
      </c>
      <c r="P68" s="19" t="str">
        <f t="shared" si="8"/>
        <v/>
      </c>
      <c r="Q68" s="19" t="str">
        <f t="shared" si="9"/>
        <v/>
      </c>
      <c r="R68" s="19" t="str">
        <f t="shared" si="4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1"/>
        <v/>
      </c>
      <c r="L69" s="19" t="str">
        <f t="shared" si="13"/>
        <v/>
      </c>
      <c r="M69" s="19" t="str">
        <f t="shared" si="13"/>
        <v/>
      </c>
      <c r="N69" s="19" t="str">
        <f t="shared" si="13"/>
        <v/>
      </c>
      <c r="O69" s="19" t="str">
        <f t="shared" si="7"/>
        <v/>
      </c>
      <c r="P69" s="19" t="str">
        <f t="shared" si="8"/>
        <v/>
      </c>
      <c r="Q69" s="19" t="str">
        <f t="shared" si="9"/>
        <v/>
      </c>
      <c r="R69" s="19" t="str">
        <f t="shared" si="4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1"/>
        <v/>
      </c>
      <c r="L70" s="19" t="str">
        <f t="shared" si="13"/>
        <v/>
      </c>
      <c r="M70" s="19" t="str">
        <f t="shared" si="13"/>
        <v/>
      </c>
      <c r="N70" s="19" t="str">
        <f t="shared" si="13"/>
        <v/>
      </c>
      <c r="O70" s="19" t="str">
        <f t="shared" si="7"/>
        <v/>
      </c>
      <c r="P70" s="19" t="str">
        <f t="shared" si="8"/>
        <v/>
      </c>
      <c r="Q70" s="19" t="str">
        <f t="shared" si="9"/>
        <v/>
      </c>
      <c r="R70" s="19" t="str">
        <f t="shared" si="4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1"/>
        <v/>
      </c>
      <c r="L71" s="19" t="str">
        <f t="shared" si="13"/>
        <v/>
      </c>
      <c r="M71" s="19" t="str">
        <f t="shared" si="13"/>
        <v/>
      </c>
      <c r="N71" s="19" t="str">
        <f t="shared" si="13"/>
        <v/>
      </c>
      <c r="O71" s="19" t="str">
        <f t="shared" si="7"/>
        <v/>
      </c>
      <c r="P71" s="19" t="str">
        <f t="shared" si="8"/>
        <v/>
      </c>
      <c r="Q71" s="19" t="str">
        <f t="shared" si="9"/>
        <v/>
      </c>
      <c r="R71" s="19" t="str">
        <f t="shared" si="4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1"/>
        <v/>
      </c>
      <c r="L72" s="19" t="str">
        <f t="shared" si="13"/>
        <v/>
      </c>
      <c r="M72" s="19" t="str">
        <f t="shared" si="13"/>
        <v/>
      </c>
      <c r="N72" s="19" t="str">
        <f t="shared" si="13"/>
        <v/>
      </c>
      <c r="O72" s="19" t="str">
        <f t="shared" si="7"/>
        <v/>
      </c>
      <c r="P72" s="19" t="str">
        <f t="shared" si="8"/>
        <v/>
      </c>
      <c r="Q72" s="19" t="str">
        <f t="shared" si="9"/>
        <v/>
      </c>
      <c r="R72" s="19" t="str">
        <f t="shared" si="4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1"/>
        <v/>
      </c>
      <c r="L73" s="19" t="str">
        <f t="shared" si="13"/>
        <v/>
      </c>
      <c r="M73" s="19" t="str">
        <f t="shared" si="13"/>
        <v/>
      </c>
      <c r="N73" s="19" t="str">
        <f t="shared" si="13"/>
        <v/>
      </c>
      <c r="O73" s="19" t="str">
        <f t="shared" si="7"/>
        <v/>
      </c>
      <c r="P73" s="19" t="str">
        <f t="shared" si="8"/>
        <v/>
      </c>
      <c r="Q73" s="19" t="str">
        <f t="shared" si="9"/>
        <v/>
      </c>
      <c r="R73" s="19" t="str">
        <f t="shared" si="4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1"/>
        <v/>
      </c>
      <c r="L74" s="19" t="str">
        <f t="shared" si="13"/>
        <v/>
      </c>
      <c r="M74" s="19" t="str">
        <f t="shared" si="13"/>
        <v/>
      </c>
      <c r="N74" s="19" t="str">
        <f t="shared" si="13"/>
        <v/>
      </c>
      <c r="O74" s="19" t="str">
        <f t="shared" si="7"/>
        <v/>
      </c>
      <c r="P74" s="19" t="str">
        <f t="shared" si="8"/>
        <v/>
      </c>
      <c r="Q74" s="19" t="str">
        <f t="shared" si="9"/>
        <v/>
      </c>
      <c r="R74" s="19" t="str">
        <f t="shared" si="4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1"/>
        <v/>
      </c>
      <c r="L75" s="19" t="str">
        <f t="shared" si="13"/>
        <v/>
      </c>
      <c r="M75" s="19" t="str">
        <f t="shared" si="13"/>
        <v/>
      </c>
      <c r="N75" s="19" t="str">
        <f t="shared" si="13"/>
        <v/>
      </c>
      <c r="O75" s="19" t="str">
        <f t="shared" si="7"/>
        <v/>
      </c>
      <c r="P75" s="19" t="str">
        <f t="shared" si="8"/>
        <v/>
      </c>
      <c r="Q75" s="19" t="str">
        <f t="shared" si="9"/>
        <v/>
      </c>
      <c r="R75" s="19" t="str">
        <f t="shared" si="4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1"/>
        <v/>
      </c>
      <c r="L76" s="19" t="str">
        <f t="shared" si="13"/>
        <v/>
      </c>
      <c r="M76" s="19" t="str">
        <f t="shared" si="13"/>
        <v/>
      </c>
      <c r="N76" s="19" t="str">
        <f t="shared" si="13"/>
        <v/>
      </c>
      <c r="O76" s="19" t="str">
        <f t="shared" si="7"/>
        <v/>
      </c>
      <c r="P76" s="19" t="str">
        <f t="shared" si="8"/>
        <v/>
      </c>
      <c r="Q76" s="19" t="str">
        <f t="shared" si="9"/>
        <v/>
      </c>
      <c r="R76" s="19" t="str">
        <f t="shared" si="4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1"/>
        <v/>
      </c>
      <c r="L77" s="19" t="str">
        <f t="shared" si="13"/>
        <v/>
      </c>
      <c r="M77" s="19" t="str">
        <f t="shared" si="13"/>
        <v/>
      </c>
      <c r="N77" s="19" t="str">
        <f t="shared" si="13"/>
        <v/>
      </c>
      <c r="O77" s="19" t="str">
        <f t="shared" si="7"/>
        <v/>
      </c>
      <c r="P77" s="19" t="str">
        <f t="shared" si="8"/>
        <v/>
      </c>
      <c r="Q77" s="19" t="str">
        <f t="shared" si="9"/>
        <v/>
      </c>
      <c r="R77" s="19" t="str">
        <f t="shared" si="4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1"/>
        <v/>
      </c>
      <c r="L78" s="19" t="str">
        <f t="shared" si="13"/>
        <v/>
      </c>
      <c r="M78" s="19" t="str">
        <f t="shared" si="13"/>
        <v/>
      </c>
      <c r="N78" s="19" t="str">
        <f t="shared" si="13"/>
        <v/>
      </c>
      <c r="O78" s="19" t="str">
        <f t="shared" si="7"/>
        <v/>
      </c>
      <c r="P78" s="19" t="str">
        <f t="shared" si="8"/>
        <v/>
      </c>
      <c r="Q78" s="19" t="str">
        <f t="shared" si="9"/>
        <v/>
      </c>
      <c r="R78" s="19" t="str">
        <f t="shared" si="4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1"/>
        <v/>
      </c>
      <c r="L79" s="19" t="str">
        <f t="shared" si="13"/>
        <v/>
      </c>
      <c r="M79" s="19" t="str">
        <f t="shared" si="13"/>
        <v/>
      </c>
      <c r="N79" s="19" t="str">
        <f t="shared" si="13"/>
        <v/>
      </c>
      <c r="O79" s="19" t="str">
        <f t="shared" si="7"/>
        <v/>
      </c>
      <c r="P79" s="19" t="str">
        <f t="shared" si="8"/>
        <v/>
      </c>
      <c r="Q79" s="19" t="str">
        <f t="shared" si="9"/>
        <v/>
      </c>
      <c r="R79" s="19" t="str">
        <f t="shared" si="4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1"/>
        <v/>
      </c>
      <c r="L80" s="19" t="str">
        <f t="shared" si="13"/>
        <v/>
      </c>
      <c r="M80" s="19" t="str">
        <f t="shared" si="13"/>
        <v/>
      </c>
      <c r="N80" s="19" t="str">
        <f t="shared" si="13"/>
        <v/>
      </c>
      <c r="O80" s="19" t="str">
        <f t="shared" si="7"/>
        <v/>
      </c>
      <c r="P80" s="19" t="str">
        <f t="shared" si="8"/>
        <v/>
      </c>
      <c r="Q80" s="19" t="str">
        <f t="shared" si="9"/>
        <v/>
      </c>
      <c r="R80" s="19" t="str">
        <f t="shared" si="4"/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1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7"/>
        <v/>
      </c>
      <c r="P81" s="19" t="str">
        <f t="shared" si="8"/>
        <v/>
      </c>
      <c r="Q81" s="19" t="str">
        <f t="shared" si="9"/>
        <v/>
      </c>
      <c r="R81" s="19" t="str">
        <f t="shared" si="4"/>
        <v/>
      </c>
      <c r="S81" s="27" t="str">
        <f t="shared" ref="S81:X96" si="15">IF(C81="","",((C81-C80)*1000)/($B81-$B80))</f>
        <v/>
      </c>
      <c r="T81" s="28" t="str">
        <f t="shared" si="15"/>
        <v/>
      </c>
      <c r="U81" s="28" t="str">
        <f t="shared" si="15"/>
        <v/>
      </c>
      <c r="V81" s="28" t="str">
        <f t="shared" si="15"/>
        <v/>
      </c>
      <c r="W81" s="28" t="str">
        <f t="shared" si="15"/>
        <v/>
      </c>
      <c r="X81" s="29" t="str">
        <f t="shared" si="15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1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7"/>
        <v/>
      </c>
      <c r="P82" s="19" t="str">
        <f t="shared" si="8"/>
        <v/>
      </c>
      <c r="Q82" s="19" t="str">
        <f t="shared" si="9"/>
        <v/>
      </c>
      <c r="R82" s="19" t="str">
        <f t="shared" si="4"/>
        <v/>
      </c>
      <c r="S82" s="27" t="str">
        <f t="shared" si="15"/>
        <v/>
      </c>
      <c r="T82" s="28" t="str">
        <f t="shared" si="15"/>
        <v/>
      </c>
      <c r="U82" s="28" t="str">
        <f t="shared" si="15"/>
        <v/>
      </c>
      <c r="V82" s="28" t="str">
        <f t="shared" si="15"/>
        <v/>
      </c>
      <c r="W82" s="28" t="str">
        <f t="shared" si="15"/>
        <v/>
      </c>
      <c r="X82" s="29" t="str">
        <f t="shared" si="15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1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7"/>
        <v/>
      </c>
      <c r="P83" s="19" t="str">
        <f t="shared" si="8"/>
        <v/>
      </c>
      <c r="Q83" s="19" t="str">
        <f t="shared" si="9"/>
        <v/>
      </c>
      <c r="R83" s="19" t="str">
        <f t="shared" si="4"/>
        <v/>
      </c>
      <c r="S83" s="27" t="str">
        <f t="shared" si="15"/>
        <v/>
      </c>
      <c r="T83" s="28" t="str">
        <f t="shared" si="15"/>
        <v/>
      </c>
      <c r="U83" s="28" t="str">
        <f t="shared" si="15"/>
        <v/>
      </c>
      <c r="V83" s="28" t="str">
        <f t="shared" si="15"/>
        <v/>
      </c>
      <c r="W83" s="28" t="str">
        <f t="shared" si="15"/>
        <v/>
      </c>
      <c r="X83" s="29" t="str">
        <f t="shared" si="15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1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7"/>
        <v/>
      </c>
      <c r="P84" s="19" t="str">
        <f t="shared" si="8"/>
        <v/>
      </c>
      <c r="Q84" s="19" t="str">
        <f t="shared" si="9"/>
        <v/>
      </c>
      <c r="R84" s="19" t="str">
        <f t="shared" si="4"/>
        <v/>
      </c>
      <c r="S84" s="27" t="str">
        <f t="shared" si="15"/>
        <v/>
      </c>
      <c r="T84" s="28" t="str">
        <f t="shared" si="15"/>
        <v/>
      </c>
      <c r="U84" s="28" t="str">
        <f t="shared" si="15"/>
        <v/>
      </c>
      <c r="V84" s="28" t="str">
        <f t="shared" si="15"/>
        <v/>
      </c>
      <c r="W84" s="28" t="str">
        <f t="shared" si="15"/>
        <v/>
      </c>
      <c r="X84" s="29" t="str">
        <f t="shared" si="15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1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7"/>
        <v/>
      </c>
      <c r="P85" s="19" t="str">
        <f t="shared" si="8"/>
        <v/>
      </c>
      <c r="Q85" s="19" t="str">
        <f t="shared" si="9"/>
        <v/>
      </c>
      <c r="R85" s="19" t="str">
        <f t="shared" si="4"/>
        <v/>
      </c>
      <c r="S85" s="27" t="str">
        <f t="shared" si="15"/>
        <v/>
      </c>
      <c r="T85" s="28" t="str">
        <f t="shared" si="15"/>
        <v/>
      </c>
      <c r="U85" s="28" t="str">
        <f t="shared" si="15"/>
        <v/>
      </c>
      <c r="V85" s="28" t="str">
        <f t="shared" si="15"/>
        <v/>
      </c>
      <c r="W85" s="28" t="str">
        <f t="shared" si="15"/>
        <v/>
      </c>
      <c r="X85" s="29" t="str">
        <f t="shared" si="15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1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7"/>
        <v/>
      </c>
      <c r="P86" s="19" t="str">
        <f t="shared" si="8"/>
        <v/>
      </c>
      <c r="Q86" s="19" t="str">
        <f t="shared" si="9"/>
        <v/>
      </c>
      <c r="R86" s="19" t="str">
        <f t="shared" si="4"/>
        <v/>
      </c>
      <c r="S86" s="27" t="str">
        <f t="shared" si="15"/>
        <v/>
      </c>
      <c r="T86" s="28" t="str">
        <f t="shared" si="15"/>
        <v/>
      </c>
      <c r="U86" s="28" t="str">
        <f t="shared" si="15"/>
        <v/>
      </c>
      <c r="V86" s="28" t="str">
        <f t="shared" si="15"/>
        <v/>
      </c>
      <c r="W86" s="28" t="str">
        <f t="shared" si="15"/>
        <v/>
      </c>
      <c r="X86" s="29" t="str">
        <f t="shared" si="15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ref="K87:K150" si="16">IF(ISBLANK(J87),"",(J87-$J$8))</f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7"/>
        <v/>
      </c>
      <c r="P87" s="19" t="str">
        <f t="shared" si="8"/>
        <v/>
      </c>
      <c r="Q87" s="19" t="str">
        <f t="shared" si="9"/>
        <v/>
      </c>
      <c r="R87" s="19" t="str">
        <f t="shared" si="4"/>
        <v/>
      </c>
      <c r="S87" s="27" t="str">
        <f t="shared" si="15"/>
        <v/>
      </c>
      <c r="T87" s="28" t="str">
        <f t="shared" si="15"/>
        <v/>
      </c>
      <c r="U87" s="28" t="str">
        <f t="shared" si="15"/>
        <v/>
      </c>
      <c r="V87" s="28" t="str">
        <f t="shared" si="15"/>
        <v/>
      </c>
      <c r="W87" s="28" t="str">
        <f t="shared" si="15"/>
        <v/>
      </c>
      <c r="X87" s="29" t="str">
        <f t="shared" si="15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6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si="7"/>
        <v/>
      </c>
      <c r="P88" s="19" t="str">
        <f t="shared" si="8"/>
        <v/>
      </c>
      <c r="Q88" s="19" t="str">
        <f t="shared" si="9"/>
        <v/>
      </c>
      <c r="R88" s="19" t="str">
        <f t="shared" si="4"/>
        <v/>
      </c>
      <c r="S88" s="27" t="str">
        <f t="shared" si="15"/>
        <v/>
      </c>
      <c r="T88" s="28" t="str">
        <f t="shared" si="15"/>
        <v/>
      </c>
      <c r="U88" s="28" t="str">
        <f t="shared" si="15"/>
        <v/>
      </c>
      <c r="V88" s="28" t="str">
        <f t="shared" si="15"/>
        <v/>
      </c>
      <c r="W88" s="28" t="str">
        <f t="shared" si="15"/>
        <v/>
      </c>
      <c r="X88" s="29" t="str">
        <f t="shared" si="15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6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7"/>
        <v/>
      </c>
      <c r="P89" s="19" t="str">
        <f t="shared" si="8"/>
        <v/>
      </c>
      <c r="Q89" s="19" t="str">
        <f t="shared" si="9"/>
        <v/>
      </c>
      <c r="R89" s="19" t="str">
        <f t="shared" si="4"/>
        <v/>
      </c>
      <c r="S89" s="27" t="str">
        <f t="shared" si="15"/>
        <v/>
      </c>
      <c r="T89" s="28" t="str">
        <f t="shared" si="15"/>
        <v/>
      </c>
      <c r="U89" s="28" t="str">
        <f t="shared" si="15"/>
        <v/>
      </c>
      <c r="V89" s="28" t="str">
        <f t="shared" si="15"/>
        <v/>
      </c>
      <c r="W89" s="28" t="str">
        <f t="shared" si="15"/>
        <v/>
      </c>
      <c r="X89" s="29" t="str">
        <f t="shared" si="15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6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7"/>
        <v/>
      </c>
      <c r="P90" s="19" t="str">
        <f t="shared" si="8"/>
        <v/>
      </c>
      <c r="Q90" s="19" t="str">
        <f t="shared" si="9"/>
        <v/>
      </c>
      <c r="R90" s="19" t="str">
        <f t="shared" ref="R90:R153" si="17">IF(ISBLANK(I90),"",(I90-I$16)*1000+10)</f>
        <v/>
      </c>
      <c r="S90" s="27" t="str">
        <f t="shared" si="15"/>
        <v/>
      </c>
      <c r="T90" s="28" t="str">
        <f t="shared" si="15"/>
        <v/>
      </c>
      <c r="U90" s="28" t="str">
        <f t="shared" si="15"/>
        <v/>
      </c>
      <c r="V90" s="28" t="str">
        <f t="shared" si="15"/>
        <v/>
      </c>
      <c r="W90" s="28" t="str">
        <f t="shared" si="15"/>
        <v/>
      </c>
      <c r="X90" s="29" t="str">
        <f t="shared" si="15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6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7"/>
        <v/>
      </c>
      <c r="P91" s="19" t="str">
        <f t="shared" si="8"/>
        <v/>
      </c>
      <c r="Q91" s="19" t="str">
        <f t="shared" si="9"/>
        <v/>
      </c>
      <c r="R91" s="19" t="str">
        <f t="shared" si="17"/>
        <v/>
      </c>
      <c r="S91" s="27" t="str">
        <f t="shared" si="15"/>
        <v/>
      </c>
      <c r="T91" s="28" t="str">
        <f t="shared" si="15"/>
        <v/>
      </c>
      <c r="U91" s="28" t="str">
        <f t="shared" si="15"/>
        <v/>
      </c>
      <c r="V91" s="28" t="str">
        <f t="shared" si="15"/>
        <v/>
      </c>
      <c r="W91" s="28" t="str">
        <f t="shared" si="15"/>
        <v/>
      </c>
      <c r="X91" s="29" t="str">
        <f t="shared" si="15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6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7"/>
        <v/>
      </c>
      <c r="P92" s="19" t="str">
        <f t="shared" si="8"/>
        <v/>
      </c>
      <c r="Q92" s="19" t="str">
        <f t="shared" si="9"/>
        <v/>
      </c>
      <c r="R92" s="19" t="str">
        <f t="shared" si="17"/>
        <v/>
      </c>
      <c r="S92" s="27" t="str">
        <f t="shared" si="15"/>
        <v/>
      </c>
      <c r="T92" s="28" t="str">
        <f t="shared" si="15"/>
        <v/>
      </c>
      <c r="U92" s="28" t="str">
        <f t="shared" si="15"/>
        <v/>
      </c>
      <c r="V92" s="28" t="str">
        <f t="shared" si="15"/>
        <v/>
      </c>
      <c r="W92" s="28" t="str">
        <f t="shared" si="15"/>
        <v/>
      </c>
      <c r="X92" s="29" t="str">
        <f t="shared" si="15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6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7"/>
        <v/>
      </c>
      <c r="P93" s="19" t="str">
        <f t="shared" si="8"/>
        <v/>
      </c>
      <c r="Q93" s="19" t="str">
        <f t="shared" si="9"/>
        <v/>
      </c>
      <c r="R93" s="19" t="str">
        <f t="shared" si="17"/>
        <v/>
      </c>
      <c r="S93" s="27" t="str">
        <f t="shared" si="15"/>
        <v/>
      </c>
      <c r="T93" s="28" t="str">
        <f t="shared" si="15"/>
        <v/>
      </c>
      <c r="U93" s="28" t="str">
        <f t="shared" si="15"/>
        <v/>
      </c>
      <c r="V93" s="28" t="str">
        <f t="shared" si="15"/>
        <v/>
      </c>
      <c r="W93" s="28" t="str">
        <f t="shared" si="15"/>
        <v/>
      </c>
      <c r="X93" s="29" t="str">
        <f t="shared" si="15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6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7"/>
        <v/>
      </c>
      <c r="P94" s="19" t="str">
        <f t="shared" si="8"/>
        <v/>
      </c>
      <c r="Q94" s="19" t="str">
        <f t="shared" si="9"/>
        <v/>
      </c>
      <c r="R94" s="19" t="str">
        <f t="shared" si="17"/>
        <v/>
      </c>
      <c r="S94" s="27" t="str">
        <f t="shared" si="15"/>
        <v/>
      </c>
      <c r="T94" s="28" t="str">
        <f t="shared" si="15"/>
        <v/>
      </c>
      <c r="U94" s="28" t="str">
        <f t="shared" si="15"/>
        <v/>
      </c>
      <c r="V94" s="28" t="str">
        <f t="shared" si="15"/>
        <v/>
      </c>
      <c r="W94" s="28" t="str">
        <f t="shared" si="15"/>
        <v/>
      </c>
      <c r="X94" s="29" t="str">
        <f t="shared" si="15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6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7"/>
        <v/>
      </c>
      <c r="P95" s="19" t="str">
        <f t="shared" si="8"/>
        <v/>
      </c>
      <c r="Q95" s="19" t="str">
        <f t="shared" si="9"/>
        <v/>
      </c>
      <c r="R95" s="19" t="str">
        <f t="shared" si="17"/>
        <v/>
      </c>
      <c r="S95" s="27" t="str">
        <f t="shared" si="15"/>
        <v/>
      </c>
      <c r="T95" s="28" t="str">
        <f t="shared" si="15"/>
        <v/>
      </c>
      <c r="U95" s="28" t="str">
        <f t="shared" si="15"/>
        <v/>
      </c>
      <c r="V95" s="28" t="str">
        <f t="shared" si="15"/>
        <v/>
      </c>
      <c r="W95" s="28" t="str">
        <f t="shared" si="15"/>
        <v/>
      </c>
      <c r="X95" s="29" t="str">
        <f t="shared" si="15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6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7"/>
        <v/>
      </c>
      <c r="P96" s="19" t="str">
        <f t="shared" si="8"/>
        <v/>
      </c>
      <c r="Q96" s="19" t="str">
        <f t="shared" si="9"/>
        <v/>
      </c>
      <c r="R96" s="19" t="str">
        <f t="shared" si="17"/>
        <v/>
      </c>
      <c r="S96" s="27" t="str">
        <f t="shared" si="15"/>
        <v/>
      </c>
      <c r="T96" s="28" t="str">
        <f t="shared" si="15"/>
        <v/>
      </c>
      <c r="U96" s="28" t="str">
        <f t="shared" si="15"/>
        <v/>
      </c>
      <c r="V96" s="28" t="str">
        <f t="shared" si="15"/>
        <v/>
      </c>
      <c r="W96" s="28" t="str">
        <f t="shared" si="15"/>
        <v/>
      </c>
      <c r="X96" s="29" t="str">
        <f t="shared" si="15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6"/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7"/>
        <v/>
      </c>
      <c r="P97" s="19" t="str">
        <f t="shared" si="8"/>
        <v/>
      </c>
      <c r="Q97" s="19" t="str">
        <f t="shared" si="9"/>
        <v/>
      </c>
      <c r="R97" s="19" t="str">
        <f t="shared" si="17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6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7"/>
        <v/>
      </c>
      <c r="P98" s="19" t="str">
        <f t="shared" si="8"/>
        <v/>
      </c>
      <c r="Q98" s="19" t="str">
        <f t="shared" si="9"/>
        <v/>
      </c>
      <c r="R98" s="19" t="str">
        <f t="shared" si="17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6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7"/>
        <v/>
      </c>
      <c r="P99" s="19" t="str">
        <f t="shared" si="8"/>
        <v/>
      </c>
      <c r="Q99" s="19" t="str">
        <f t="shared" si="9"/>
        <v/>
      </c>
      <c r="R99" s="19" t="str">
        <f t="shared" si="17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6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7"/>
        <v/>
      </c>
      <c r="P100" s="19" t="str">
        <f t="shared" si="8"/>
        <v/>
      </c>
      <c r="Q100" s="19" t="str">
        <f t="shared" si="9"/>
        <v/>
      </c>
      <c r="R100" s="19" t="str">
        <f t="shared" si="17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6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7"/>
        <v/>
      </c>
      <c r="P101" s="19" t="str">
        <f t="shared" si="8"/>
        <v/>
      </c>
      <c r="Q101" s="19" t="str">
        <f t="shared" si="9"/>
        <v/>
      </c>
      <c r="R101" s="19" t="str">
        <f t="shared" si="17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6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7"/>
        <v/>
      </c>
      <c r="P102" s="19" t="str">
        <f t="shared" si="8"/>
        <v/>
      </c>
      <c r="Q102" s="19" t="str">
        <f t="shared" si="9"/>
        <v/>
      </c>
      <c r="R102" s="19" t="str">
        <f t="shared" si="17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6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7"/>
        <v/>
      </c>
      <c r="P103" s="19" t="str">
        <f t="shared" si="8"/>
        <v/>
      </c>
      <c r="Q103" s="19" t="str">
        <f t="shared" si="9"/>
        <v/>
      </c>
      <c r="R103" s="19" t="str">
        <f t="shared" si="17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6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7"/>
        <v/>
      </c>
      <c r="P104" s="19" t="str">
        <f t="shared" si="8"/>
        <v/>
      </c>
      <c r="Q104" s="19" t="str">
        <f t="shared" si="9"/>
        <v/>
      </c>
      <c r="R104" s="19" t="str">
        <f t="shared" si="17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6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7"/>
        <v/>
      </c>
      <c r="P105" s="19" t="str">
        <f t="shared" si="8"/>
        <v/>
      </c>
      <c r="Q105" s="19" t="str">
        <f t="shared" si="9"/>
        <v/>
      </c>
      <c r="R105" s="19" t="str">
        <f t="shared" si="17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6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ref="O106:O153" si="19">IF(ISBLANK(F106),"",((F106-F$41)*1000)+L$41)</f>
        <v/>
      </c>
      <c r="P106" s="19" t="str">
        <f t="shared" ref="P106:P153" si="20">IF(ISBLANK(G106),"",((G106-G$41)*1000)+M$41)</f>
        <v/>
      </c>
      <c r="Q106" s="19" t="str">
        <f t="shared" ref="Q106:Q153" si="21">IF(ISBLANK(H106),"",((H106-H$41)*1000)+N$41)</f>
        <v/>
      </c>
      <c r="R106" s="19" t="str">
        <f t="shared" si="17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6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9"/>
        <v/>
      </c>
      <c r="P107" s="19" t="str">
        <f t="shared" si="20"/>
        <v/>
      </c>
      <c r="Q107" s="19" t="str">
        <f t="shared" si="21"/>
        <v/>
      </c>
      <c r="R107" s="19" t="str">
        <f t="shared" si="17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6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9"/>
        <v/>
      </c>
      <c r="P108" s="19" t="str">
        <f t="shared" si="20"/>
        <v/>
      </c>
      <c r="Q108" s="19" t="str">
        <f t="shared" si="21"/>
        <v/>
      </c>
      <c r="R108" s="19" t="str">
        <f t="shared" si="17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6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9"/>
        <v/>
      </c>
      <c r="P109" s="19" t="str">
        <f t="shared" si="20"/>
        <v/>
      </c>
      <c r="Q109" s="19" t="str">
        <f t="shared" si="21"/>
        <v/>
      </c>
      <c r="R109" s="19" t="str">
        <f t="shared" si="17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6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9"/>
        <v/>
      </c>
      <c r="P110" s="19" t="str">
        <f t="shared" si="20"/>
        <v/>
      </c>
      <c r="Q110" s="19" t="str">
        <f t="shared" si="21"/>
        <v/>
      </c>
      <c r="R110" s="19" t="str">
        <f t="shared" si="17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6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9"/>
        <v/>
      </c>
      <c r="P111" s="19" t="str">
        <f t="shared" si="20"/>
        <v/>
      </c>
      <c r="Q111" s="19" t="str">
        <f t="shared" si="21"/>
        <v/>
      </c>
      <c r="R111" s="19" t="str">
        <f t="shared" si="17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6"/>
        <v/>
      </c>
      <c r="L112" s="19" t="str">
        <f t="shared" si="13"/>
        <v/>
      </c>
      <c r="M112" s="19" t="str">
        <f t="shared" si="13"/>
        <v/>
      </c>
      <c r="N112" s="19" t="str">
        <f t="shared" si="13"/>
        <v/>
      </c>
      <c r="O112" s="19" t="str">
        <f t="shared" si="19"/>
        <v/>
      </c>
      <c r="P112" s="19" t="str">
        <f t="shared" si="20"/>
        <v/>
      </c>
      <c r="Q112" s="19" t="str">
        <f t="shared" si="21"/>
        <v/>
      </c>
      <c r="R112" s="19" t="str">
        <f t="shared" si="17"/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6"/>
        <v/>
      </c>
      <c r="L113" s="19" t="str">
        <f t="shared" si="13"/>
        <v/>
      </c>
      <c r="M113" s="19" t="str">
        <f t="shared" si="13"/>
        <v/>
      </c>
      <c r="N113" s="19" t="str">
        <f t="shared" si="13"/>
        <v/>
      </c>
      <c r="O113" s="19" t="str">
        <f t="shared" si="19"/>
        <v/>
      </c>
      <c r="P113" s="19" t="str">
        <f t="shared" si="20"/>
        <v/>
      </c>
      <c r="Q113" s="19" t="str">
        <f t="shared" si="21"/>
        <v/>
      </c>
      <c r="R113" s="19" t="str">
        <f t="shared" si="17"/>
        <v/>
      </c>
      <c r="S113" s="27" t="str">
        <f t="shared" ref="S113:X128" si="22">IF(C113="","",((C113-C112)*1000)/($B113-$B112))</f>
        <v/>
      </c>
      <c r="T113" s="28" t="str">
        <f t="shared" si="22"/>
        <v/>
      </c>
      <c r="U113" s="28" t="str">
        <f t="shared" si="22"/>
        <v/>
      </c>
      <c r="V113" s="28" t="str">
        <f t="shared" si="22"/>
        <v/>
      </c>
      <c r="W113" s="28" t="str">
        <f t="shared" si="22"/>
        <v/>
      </c>
      <c r="X113" s="29" t="str">
        <f t="shared" si="2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6"/>
        <v/>
      </c>
      <c r="L114" s="19" t="str">
        <f t="shared" si="13"/>
        <v/>
      </c>
      <c r="M114" s="19" t="str">
        <f t="shared" si="13"/>
        <v/>
      </c>
      <c r="N114" s="19" t="str">
        <f t="shared" si="13"/>
        <v/>
      </c>
      <c r="O114" s="19" t="str">
        <f t="shared" si="19"/>
        <v/>
      </c>
      <c r="P114" s="19" t="str">
        <f t="shared" si="20"/>
        <v/>
      </c>
      <c r="Q114" s="19" t="str">
        <f t="shared" si="21"/>
        <v/>
      </c>
      <c r="R114" s="19" t="str">
        <f t="shared" si="17"/>
        <v/>
      </c>
      <c r="S114" s="27" t="str">
        <f t="shared" si="22"/>
        <v/>
      </c>
      <c r="T114" s="28" t="str">
        <f t="shared" si="22"/>
        <v/>
      </c>
      <c r="U114" s="28" t="str">
        <f t="shared" si="22"/>
        <v/>
      </c>
      <c r="V114" s="28" t="str">
        <f t="shared" si="22"/>
        <v/>
      </c>
      <c r="W114" s="28" t="str">
        <f t="shared" si="22"/>
        <v/>
      </c>
      <c r="X114" s="29" t="str">
        <f t="shared" si="2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6"/>
        <v/>
      </c>
      <c r="L115" s="19" t="str">
        <f t="shared" si="13"/>
        <v/>
      </c>
      <c r="M115" s="19" t="str">
        <f t="shared" si="13"/>
        <v/>
      </c>
      <c r="N115" s="19" t="str">
        <f t="shared" si="13"/>
        <v/>
      </c>
      <c r="O115" s="19" t="str">
        <f t="shared" si="19"/>
        <v/>
      </c>
      <c r="P115" s="19" t="str">
        <f t="shared" si="20"/>
        <v/>
      </c>
      <c r="Q115" s="19" t="str">
        <f t="shared" si="21"/>
        <v/>
      </c>
      <c r="R115" s="19" t="str">
        <f t="shared" si="17"/>
        <v/>
      </c>
      <c r="S115" s="27" t="str">
        <f t="shared" si="22"/>
        <v/>
      </c>
      <c r="T115" s="28" t="str">
        <f t="shared" si="22"/>
        <v/>
      </c>
      <c r="U115" s="28" t="str">
        <f t="shared" si="22"/>
        <v/>
      </c>
      <c r="V115" s="28" t="str">
        <f t="shared" si="22"/>
        <v/>
      </c>
      <c r="W115" s="28" t="str">
        <f t="shared" si="22"/>
        <v/>
      </c>
      <c r="X115" s="29" t="str">
        <f t="shared" si="2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6"/>
        <v/>
      </c>
      <c r="L116" s="19" t="str">
        <f t="shared" si="13"/>
        <v/>
      </c>
      <c r="M116" s="19" t="str">
        <f t="shared" si="13"/>
        <v/>
      </c>
      <c r="N116" s="19" t="str">
        <f t="shared" si="13"/>
        <v/>
      </c>
      <c r="O116" s="19" t="str">
        <f t="shared" si="19"/>
        <v/>
      </c>
      <c r="P116" s="19" t="str">
        <f t="shared" si="20"/>
        <v/>
      </c>
      <c r="Q116" s="19" t="str">
        <f t="shared" si="21"/>
        <v/>
      </c>
      <c r="R116" s="19" t="str">
        <f t="shared" si="17"/>
        <v/>
      </c>
      <c r="S116" s="27" t="str">
        <f t="shared" si="22"/>
        <v/>
      </c>
      <c r="T116" s="28" t="str">
        <f t="shared" si="22"/>
        <v/>
      </c>
      <c r="U116" s="28" t="str">
        <f t="shared" si="22"/>
        <v/>
      </c>
      <c r="V116" s="28" t="str">
        <f t="shared" si="22"/>
        <v/>
      </c>
      <c r="W116" s="28" t="str">
        <f t="shared" si="22"/>
        <v/>
      </c>
      <c r="X116" s="29" t="str">
        <f t="shared" si="2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6"/>
        <v/>
      </c>
      <c r="L117" s="19" t="str">
        <f t="shared" si="13"/>
        <v/>
      </c>
      <c r="M117" s="19" t="str">
        <f t="shared" ref="M117:N153" si="23">IF(ISBLANK(D117),"",(D117-D$16)*1000)</f>
        <v/>
      </c>
      <c r="N117" s="19" t="str">
        <f t="shared" si="23"/>
        <v/>
      </c>
      <c r="O117" s="19" t="str">
        <f t="shared" si="19"/>
        <v/>
      </c>
      <c r="P117" s="19" t="str">
        <f t="shared" si="20"/>
        <v/>
      </c>
      <c r="Q117" s="19" t="str">
        <f t="shared" si="21"/>
        <v/>
      </c>
      <c r="R117" s="19" t="str">
        <f t="shared" si="17"/>
        <v/>
      </c>
      <c r="S117" s="27" t="str">
        <f t="shared" si="22"/>
        <v/>
      </c>
      <c r="T117" s="28" t="str">
        <f t="shared" si="22"/>
        <v/>
      </c>
      <c r="U117" s="28" t="str">
        <f t="shared" si="22"/>
        <v/>
      </c>
      <c r="V117" s="28" t="str">
        <f t="shared" si="22"/>
        <v/>
      </c>
      <c r="W117" s="28" t="str">
        <f t="shared" si="22"/>
        <v/>
      </c>
      <c r="X117" s="29" t="str">
        <f t="shared" si="2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6"/>
        <v/>
      </c>
      <c r="L118" s="19" t="str">
        <f t="shared" ref="L118:L153" si="24">IF(ISBLANK(C118),"",(C118-C$16)*1000)</f>
        <v/>
      </c>
      <c r="M118" s="19" t="str">
        <f t="shared" si="23"/>
        <v/>
      </c>
      <c r="N118" s="19" t="str">
        <f t="shared" si="23"/>
        <v/>
      </c>
      <c r="O118" s="19" t="str">
        <f t="shared" si="19"/>
        <v/>
      </c>
      <c r="P118" s="19" t="str">
        <f t="shared" si="20"/>
        <v/>
      </c>
      <c r="Q118" s="19" t="str">
        <f t="shared" si="21"/>
        <v/>
      </c>
      <c r="R118" s="19" t="str">
        <f t="shared" si="17"/>
        <v/>
      </c>
      <c r="S118" s="27" t="str">
        <f t="shared" si="22"/>
        <v/>
      </c>
      <c r="T118" s="28" t="str">
        <f t="shared" si="22"/>
        <v/>
      </c>
      <c r="U118" s="28" t="str">
        <f t="shared" si="22"/>
        <v/>
      </c>
      <c r="V118" s="28" t="str">
        <f t="shared" si="22"/>
        <v/>
      </c>
      <c r="W118" s="28" t="str">
        <f t="shared" si="22"/>
        <v/>
      </c>
      <c r="X118" s="29" t="str">
        <f t="shared" si="2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6"/>
        <v/>
      </c>
      <c r="L119" s="19" t="str">
        <f t="shared" si="24"/>
        <v/>
      </c>
      <c r="M119" s="19" t="str">
        <f t="shared" si="23"/>
        <v/>
      </c>
      <c r="N119" s="19" t="str">
        <f t="shared" si="23"/>
        <v/>
      </c>
      <c r="O119" s="19" t="str">
        <f t="shared" si="19"/>
        <v/>
      </c>
      <c r="P119" s="19" t="str">
        <f t="shared" si="20"/>
        <v/>
      </c>
      <c r="Q119" s="19" t="str">
        <f t="shared" si="21"/>
        <v/>
      </c>
      <c r="R119" s="19" t="str">
        <f t="shared" si="17"/>
        <v/>
      </c>
      <c r="S119" s="27" t="str">
        <f t="shared" si="22"/>
        <v/>
      </c>
      <c r="T119" s="28" t="str">
        <f t="shared" si="22"/>
        <v/>
      </c>
      <c r="U119" s="28" t="str">
        <f t="shared" si="22"/>
        <v/>
      </c>
      <c r="V119" s="28" t="str">
        <f t="shared" si="22"/>
        <v/>
      </c>
      <c r="W119" s="28" t="str">
        <f t="shared" si="22"/>
        <v/>
      </c>
      <c r="X119" s="29" t="str">
        <f t="shared" si="2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6"/>
        <v/>
      </c>
      <c r="L120" s="19" t="str">
        <f t="shared" si="24"/>
        <v/>
      </c>
      <c r="M120" s="19" t="str">
        <f t="shared" si="23"/>
        <v/>
      </c>
      <c r="N120" s="19" t="str">
        <f t="shared" si="23"/>
        <v/>
      </c>
      <c r="O120" s="19" t="str">
        <f t="shared" si="19"/>
        <v/>
      </c>
      <c r="P120" s="19" t="str">
        <f t="shared" si="20"/>
        <v/>
      </c>
      <c r="Q120" s="19" t="str">
        <f t="shared" si="21"/>
        <v/>
      </c>
      <c r="R120" s="19" t="str">
        <f t="shared" si="17"/>
        <v/>
      </c>
      <c r="S120" s="27" t="str">
        <f t="shared" si="22"/>
        <v/>
      </c>
      <c r="T120" s="28" t="str">
        <f t="shared" si="22"/>
        <v/>
      </c>
      <c r="U120" s="28" t="str">
        <f t="shared" si="22"/>
        <v/>
      </c>
      <c r="V120" s="28" t="str">
        <f t="shared" si="22"/>
        <v/>
      </c>
      <c r="W120" s="28" t="str">
        <f t="shared" si="22"/>
        <v/>
      </c>
      <c r="X120" s="29" t="str">
        <f t="shared" si="2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6"/>
        <v/>
      </c>
      <c r="L121" s="19" t="str">
        <f t="shared" si="24"/>
        <v/>
      </c>
      <c r="M121" s="19" t="str">
        <f t="shared" si="23"/>
        <v/>
      </c>
      <c r="N121" s="19" t="str">
        <f t="shared" si="23"/>
        <v/>
      </c>
      <c r="O121" s="19" t="str">
        <f t="shared" si="19"/>
        <v/>
      </c>
      <c r="P121" s="19" t="str">
        <f t="shared" si="20"/>
        <v/>
      </c>
      <c r="Q121" s="19" t="str">
        <f t="shared" si="21"/>
        <v/>
      </c>
      <c r="R121" s="19" t="str">
        <f t="shared" si="17"/>
        <v/>
      </c>
      <c r="S121" s="27" t="str">
        <f t="shared" si="22"/>
        <v/>
      </c>
      <c r="T121" s="28" t="str">
        <f t="shared" si="22"/>
        <v/>
      </c>
      <c r="U121" s="28" t="str">
        <f t="shared" si="22"/>
        <v/>
      </c>
      <c r="V121" s="28" t="str">
        <f t="shared" si="22"/>
        <v/>
      </c>
      <c r="W121" s="28" t="str">
        <f t="shared" si="22"/>
        <v/>
      </c>
      <c r="X121" s="29" t="str">
        <f t="shared" si="2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6"/>
        <v/>
      </c>
      <c r="L122" s="19" t="str">
        <f t="shared" si="24"/>
        <v/>
      </c>
      <c r="M122" s="19" t="str">
        <f t="shared" si="23"/>
        <v/>
      </c>
      <c r="N122" s="19" t="str">
        <f t="shared" si="23"/>
        <v/>
      </c>
      <c r="O122" s="19" t="str">
        <f t="shared" si="19"/>
        <v/>
      </c>
      <c r="P122" s="19" t="str">
        <f t="shared" si="20"/>
        <v/>
      </c>
      <c r="Q122" s="19" t="str">
        <f t="shared" si="21"/>
        <v/>
      </c>
      <c r="R122" s="19" t="str">
        <f t="shared" si="17"/>
        <v/>
      </c>
      <c r="S122" s="27" t="str">
        <f t="shared" si="22"/>
        <v/>
      </c>
      <c r="T122" s="28" t="str">
        <f t="shared" si="22"/>
        <v/>
      </c>
      <c r="U122" s="28" t="str">
        <f t="shared" si="22"/>
        <v/>
      </c>
      <c r="V122" s="28" t="str">
        <f t="shared" si="22"/>
        <v/>
      </c>
      <c r="W122" s="28" t="str">
        <f t="shared" si="22"/>
        <v/>
      </c>
      <c r="X122" s="29" t="str">
        <f t="shared" si="2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6"/>
        <v/>
      </c>
      <c r="L123" s="19" t="str">
        <f t="shared" si="24"/>
        <v/>
      </c>
      <c r="M123" s="19" t="str">
        <f t="shared" si="23"/>
        <v/>
      </c>
      <c r="N123" s="19" t="str">
        <f t="shared" si="23"/>
        <v/>
      </c>
      <c r="O123" s="19" t="str">
        <f t="shared" si="19"/>
        <v/>
      </c>
      <c r="P123" s="19" t="str">
        <f t="shared" si="20"/>
        <v/>
      </c>
      <c r="Q123" s="19" t="str">
        <f t="shared" si="21"/>
        <v/>
      </c>
      <c r="R123" s="19" t="str">
        <f t="shared" si="17"/>
        <v/>
      </c>
      <c r="S123" s="27" t="str">
        <f t="shared" si="22"/>
        <v/>
      </c>
      <c r="T123" s="28" t="str">
        <f t="shared" si="22"/>
        <v/>
      </c>
      <c r="U123" s="28" t="str">
        <f t="shared" si="22"/>
        <v/>
      </c>
      <c r="V123" s="28" t="str">
        <f t="shared" si="22"/>
        <v/>
      </c>
      <c r="W123" s="28" t="str">
        <f t="shared" si="22"/>
        <v/>
      </c>
      <c r="X123" s="29" t="str">
        <f t="shared" si="2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6"/>
        <v/>
      </c>
      <c r="L124" s="19" t="str">
        <f t="shared" si="24"/>
        <v/>
      </c>
      <c r="M124" s="19" t="str">
        <f t="shared" si="23"/>
        <v/>
      </c>
      <c r="N124" s="19" t="str">
        <f t="shared" si="23"/>
        <v/>
      </c>
      <c r="O124" s="19" t="str">
        <f t="shared" si="19"/>
        <v/>
      </c>
      <c r="P124" s="19" t="str">
        <f t="shared" si="20"/>
        <v/>
      </c>
      <c r="Q124" s="19" t="str">
        <f t="shared" si="21"/>
        <v/>
      </c>
      <c r="R124" s="19" t="str">
        <f t="shared" si="17"/>
        <v/>
      </c>
      <c r="S124" s="27" t="str">
        <f t="shared" si="22"/>
        <v/>
      </c>
      <c r="T124" s="28" t="str">
        <f t="shared" si="22"/>
        <v/>
      </c>
      <c r="U124" s="28" t="str">
        <f t="shared" si="22"/>
        <v/>
      </c>
      <c r="V124" s="28" t="str">
        <f t="shared" si="22"/>
        <v/>
      </c>
      <c r="W124" s="28" t="str">
        <f t="shared" si="22"/>
        <v/>
      </c>
      <c r="X124" s="29" t="str">
        <f t="shared" si="2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6"/>
        <v/>
      </c>
      <c r="L125" s="19" t="str">
        <f t="shared" si="24"/>
        <v/>
      </c>
      <c r="M125" s="19" t="str">
        <f t="shared" si="23"/>
        <v/>
      </c>
      <c r="N125" s="19" t="str">
        <f t="shared" si="23"/>
        <v/>
      </c>
      <c r="O125" s="19" t="str">
        <f t="shared" si="19"/>
        <v/>
      </c>
      <c r="P125" s="19" t="str">
        <f t="shared" si="20"/>
        <v/>
      </c>
      <c r="Q125" s="19" t="str">
        <f t="shared" si="21"/>
        <v/>
      </c>
      <c r="R125" s="19" t="str">
        <f t="shared" si="17"/>
        <v/>
      </c>
      <c r="S125" s="27" t="str">
        <f t="shared" si="22"/>
        <v/>
      </c>
      <c r="T125" s="28" t="str">
        <f t="shared" si="22"/>
        <v/>
      </c>
      <c r="U125" s="28" t="str">
        <f t="shared" si="22"/>
        <v/>
      </c>
      <c r="V125" s="28" t="str">
        <f t="shared" si="22"/>
        <v/>
      </c>
      <c r="W125" s="28" t="str">
        <f t="shared" si="22"/>
        <v/>
      </c>
      <c r="X125" s="29" t="str">
        <f t="shared" si="2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6"/>
        <v/>
      </c>
      <c r="L126" s="19" t="str">
        <f t="shared" si="24"/>
        <v/>
      </c>
      <c r="M126" s="19" t="str">
        <f t="shared" si="23"/>
        <v/>
      </c>
      <c r="N126" s="19" t="str">
        <f t="shared" si="23"/>
        <v/>
      </c>
      <c r="O126" s="19" t="str">
        <f t="shared" si="19"/>
        <v/>
      </c>
      <c r="P126" s="19" t="str">
        <f t="shared" si="20"/>
        <v/>
      </c>
      <c r="Q126" s="19" t="str">
        <f t="shared" si="21"/>
        <v/>
      </c>
      <c r="R126" s="19" t="str">
        <f t="shared" si="17"/>
        <v/>
      </c>
      <c r="S126" s="27" t="str">
        <f t="shared" si="22"/>
        <v/>
      </c>
      <c r="T126" s="28" t="str">
        <f t="shared" si="22"/>
        <v/>
      </c>
      <c r="U126" s="28" t="str">
        <f t="shared" si="22"/>
        <v/>
      </c>
      <c r="V126" s="28" t="str">
        <f t="shared" si="22"/>
        <v/>
      </c>
      <c r="W126" s="28" t="str">
        <f t="shared" si="22"/>
        <v/>
      </c>
      <c r="X126" s="29" t="str">
        <f t="shared" si="2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6"/>
        <v/>
      </c>
      <c r="L127" s="19" t="str">
        <f t="shared" si="24"/>
        <v/>
      </c>
      <c r="M127" s="19" t="str">
        <f t="shared" si="23"/>
        <v/>
      </c>
      <c r="N127" s="19" t="str">
        <f t="shared" si="23"/>
        <v/>
      </c>
      <c r="O127" s="19" t="str">
        <f t="shared" si="19"/>
        <v/>
      </c>
      <c r="P127" s="19" t="str">
        <f t="shared" si="20"/>
        <v/>
      </c>
      <c r="Q127" s="19" t="str">
        <f t="shared" si="21"/>
        <v/>
      </c>
      <c r="R127" s="19" t="str">
        <f t="shared" si="17"/>
        <v/>
      </c>
      <c r="S127" s="27" t="str">
        <f t="shared" si="22"/>
        <v/>
      </c>
      <c r="T127" s="28" t="str">
        <f t="shared" si="22"/>
        <v/>
      </c>
      <c r="U127" s="28" t="str">
        <f t="shared" si="22"/>
        <v/>
      </c>
      <c r="V127" s="28" t="str">
        <f t="shared" si="22"/>
        <v/>
      </c>
      <c r="W127" s="28" t="str">
        <f t="shared" si="22"/>
        <v/>
      </c>
      <c r="X127" s="29" t="str">
        <f t="shared" si="2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6"/>
        <v/>
      </c>
      <c r="L128" s="19" t="str">
        <f t="shared" si="24"/>
        <v/>
      </c>
      <c r="M128" s="19" t="str">
        <f t="shared" si="23"/>
        <v/>
      </c>
      <c r="N128" s="19" t="str">
        <f t="shared" si="23"/>
        <v/>
      </c>
      <c r="O128" s="19" t="str">
        <f t="shared" si="19"/>
        <v/>
      </c>
      <c r="P128" s="19" t="str">
        <f t="shared" si="20"/>
        <v/>
      </c>
      <c r="Q128" s="19" t="str">
        <f t="shared" si="21"/>
        <v/>
      </c>
      <c r="R128" s="19" t="str">
        <f t="shared" si="17"/>
        <v/>
      </c>
      <c r="S128" s="27" t="str">
        <f t="shared" si="22"/>
        <v/>
      </c>
      <c r="T128" s="28" t="str">
        <f t="shared" si="22"/>
        <v/>
      </c>
      <c r="U128" s="28" t="str">
        <f t="shared" si="22"/>
        <v/>
      </c>
      <c r="V128" s="28" t="str">
        <f t="shared" si="22"/>
        <v/>
      </c>
      <c r="W128" s="28" t="str">
        <f t="shared" si="22"/>
        <v/>
      </c>
      <c r="X128" s="29" t="str">
        <f t="shared" si="2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6"/>
        <v/>
      </c>
      <c r="L129" s="19" t="str">
        <f t="shared" si="24"/>
        <v/>
      </c>
      <c r="M129" s="19" t="str">
        <f t="shared" si="23"/>
        <v/>
      </c>
      <c r="N129" s="19" t="str">
        <f t="shared" si="23"/>
        <v/>
      </c>
      <c r="O129" s="19" t="str">
        <f t="shared" si="19"/>
        <v/>
      </c>
      <c r="P129" s="19" t="str">
        <f t="shared" si="20"/>
        <v/>
      </c>
      <c r="Q129" s="19" t="str">
        <f t="shared" si="21"/>
        <v/>
      </c>
      <c r="R129" s="19" t="str">
        <f t="shared" si="17"/>
        <v/>
      </c>
      <c r="S129" s="27" t="str">
        <f t="shared" ref="S129:X144" si="25">IF(C129="","",((C129-C128)*1000)/($B129-$B128))</f>
        <v/>
      </c>
      <c r="T129" s="28" t="str">
        <f t="shared" si="25"/>
        <v/>
      </c>
      <c r="U129" s="28" t="str">
        <f t="shared" si="25"/>
        <v/>
      </c>
      <c r="V129" s="28" t="str">
        <f t="shared" si="25"/>
        <v/>
      </c>
      <c r="W129" s="28" t="str">
        <f t="shared" si="25"/>
        <v/>
      </c>
      <c r="X129" s="29" t="str">
        <f t="shared" si="25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6"/>
        <v/>
      </c>
      <c r="L130" s="19" t="str">
        <f t="shared" si="24"/>
        <v/>
      </c>
      <c r="M130" s="19" t="str">
        <f t="shared" si="23"/>
        <v/>
      </c>
      <c r="N130" s="19" t="str">
        <f t="shared" si="23"/>
        <v/>
      </c>
      <c r="O130" s="19" t="str">
        <f t="shared" si="19"/>
        <v/>
      </c>
      <c r="P130" s="19" t="str">
        <f t="shared" si="20"/>
        <v/>
      </c>
      <c r="Q130" s="19" t="str">
        <f t="shared" si="21"/>
        <v/>
      </c>
      <c r="R130" s="19" t="str">
        <f t="shared" si="17"/>
        <v/>
      </c>
      <c r="S130" s="27" t="str">
        <f t="shared" si="25"/>
        <v/>
      </c>
      <c r="T130" s="28" t="str">
        <f t="shared" si="25"/>
        <v/>
      </c>
      <c r="U130" s="28" t="str">
        <f t="shared" si="25"/>
        <v/>
      </c>
      <c r="V130" s="28" t="str">
        <f t="shared" si="25"/>
        <v/>
      </c>
      <c r="W130" s="28" t="str">
        <f t="shared" si="25"/>
        <v/>
      </c>
      <c r="X130" s="29" t="str">
        <f t="shared" si="25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6"/>
        <v/>
      </c>
      <c r="L131" s="19" t="str">
        <f t="shared" si="24"/>
        <v/>
      </c>
      <c r="M131" s="19" t="str">
        <f t="shared" si="23"/>
        <v/>
      </c>
      <c r="N131" s="19" t="str">
        <f t="shared" si="23"/>
        <v/>
      </c>
      <c r="O131" s="19" t="str">
        <f t="shared" si="19"/>
        <v/>
      </c>
      <c r="P131" s="19" t="str">
        <f t="shared" si="20"/>
        <v/>
      </c>
      <c r="Q131" s="19" t="str">
        <f t="shared" si="21"/>
        <v/>
      </c>
      <c r="R131" s="19" t="str">
        <f t="shared" si="17"/>
        <v/>
      </c>
      <c r="S131" s="27" t="str">
        <f t="shared" si="25"/>
        <v/>
      </c>
      <c r="T131" s="28" t="str">
        <f t="shared" si="25"/>
        <v/>
      </c>
      <c r="U131" s="28" t="str">
        <f t="shared" si="25"/>
        <v/>
      </c>
      <c r="V131" s="28" t="str">
        <f t="shared" si="25"/>
        <v/>
      </c>
      <c r="W131" s="28" t="str">
        <f t="shared" si="25"/>
        <v/>
      </c>
      <c r="X131" s="29" t="str">
        <f t="shared" si="25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6"/>
        <v/>
      </c>
      <c r="L132" s="19" t="str">
        <f t="shared" si="24"/>
        <v/>
      </c>
      <c r="M132" s="19" t="str">
        <f t="shared" si="23"/>
        <v/>
      </c>
      <c r="N132" s="19" t="str">
        <f t="shared" si="23"/>
        <v/>
      </c>
      <c r="O132" s="19" t="str">
        <f t="shared" si="19"/>
        <v/>
      </c>
      <c r="P132" s="19" t="str">
        <f t="shared" si="20"/>
        <v/>
      </c>
      <c r="Q132" s="19" t="str">
        <f t="shared" si="21"/>
        <v/>
      </c>
      <c r="R132" s="19" t="str">
        <f t="shared" si="17"/>
        <v/>
      </c>
      <c r="S132" s="27" t="str">
        <f t="shared" si="25"/>
        <v/>
      </c>
      <c r="T132" s="28" t="str">
        <f t="shared" si="25"/>
        <v/>
      </c>
      <c r="U132" s="28" t="str">
        <f t="shared" si="25"/>
        <v/>
      </c>
      <c r="V132" s="28" t="str">
        <f t="shared" si="25"/>
        <v/>
      </c>
      <c r="W132" s="28" t="str">
        <f t="shared" si="25"/>
        <v/>
      </c>
      <c r="X132" s="29" t="str">
        <f t="shared" si="25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6"/>
        <v/>
      </c>
      <c r="L133" s="19" t="str">
        <f t="shared" si="24"/>
        <v/>
      </c>
      <c r="M133" s="19" t="str">
        <f t="shared" si="23"/>
        <v/>
      </c>
      <c r="N133" s="19" t="str">
        <f t="shared" si="23"/>
        <v/>
      </c>
      <c r="O133" s="19" t="str">
        <f t="shared" si="19"/>
        <v/>
      </c>
      <c r="P133" s="19" t="str">
        <f t="shared" si="20"/>
        <v/>
      </c>
      <c r="Q133" s="19" t="str">
        <f t="shared" si="21"/>
        <v/>
      </c>
      <c r="R133" s="19" t="str">
        <f t="shared" si="17"/>
        <v/>
      </c>
      <c r="S133" s="27" t="str">
        <f t="shared" si="25"/>
        <v/>
      </c>
      <c r="T133" s="28" t="str">
        <f t="shared" si="25"/>
        <v/>
      </c>
      <c r="U133" s="28" t="str">
        <f t="shared" si="25"/>
        <v/>
      </c>
      <c r="V133" s="28" t="str">
        <f t="shared" si="25"/>
        <v/>
      </c>
      <c r="W133" s="28" t="str">
        <f t="shared" si="25"/>
        <v/>
      </c>
      <c r="X133" s="29" t="str">
        <f t="shared" si="25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6"/>
        <v/>
      </c>
      <c r="L134" s="19" t="str">
        <f t="shared" si="24"/>
        <v/>
      </c>
      <c r="M134" s="19" t="str">
        <f t="shared" si="23"/>
        <v/>
      </c>
      <c r="N134" s="19" t="str">
        <f t="shared" si="23"/>
        <v/>
      </c>
      <c r="O134" s="19" t="str">
        <f t="shared" si="19"/>
        <v/>
      </c>
      <c r="P134" s="19" t="str">
        <f t="shared" si="20"/>
        <v/>
      </c>
      <c r="Q134" s="19" t="str">
        <f t="shared" si="21"/>
        <v/>
      </c>
      <c r="R134" s="19" t="str">
        <f t="shared" si="17"/>
        <v/>
      </c>
      <c r="S134" s="27" t="str">
        <f t="shared" si="25"/>
        <v/>
      </c>
      <c r="T134" s="28" t="str">
        <f t="shared" si="25"/>
        <v/>
      </c>
      <c r="U134" s="28" t="str">
        <f t="shared" si="25"/>
        <v/>
      </c>
      <c r="V134" s="28" t="str">
        <f t="shared" si="25"/>
        <v/>
      </c>
      <c r="W134" s="28" t="str">
        <f t="shared" si="25"/>
        <v/>
      </c>
      <c r="X134" s="29" t="str">
        <f t="shared" si="25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6"/>
        <v/>
      </c>
      <c r="L135" s="19" t="str">
        <f t="shared" si="24"/>
        <v/>
      </c>
      <c r="M135" s="19" t="str">
        <f t="shared" si="23"/>
        <v/>
      </c>
      <c r="N135" s="19" t="str">
        <f t="shared" si="23"/>
        <v/>
      </c>
      <c r="O135" s="19" t="str">
        <f t="shared" si="19"/>
        <v/>
      </c>
      <c r="P135" s="19" t="str">
        <f t="shared" si="20"/>
        <v/>
      </c>
      <c r="Q135" s="19" t="str">
        <f t="shared" si="21"/>
        <v/>
      </c>
      <c r="R135" s="19" t="str">
        <f t="shared" si="17"/>
        <v/>
      </c>
      <c r="S135" s="27" t="str">
        <f t="shared" si="25"/>
        <v/>
      </c>
      <c r="T135" s="28" t="str">
        <f t="shared" si="25"/>
        <v/>
      </c>
      <c r="U135" s="28" t="str">
        <f t="shared" si="25"/>
        <v/>
      </c>
      <c r="V135" s="28" t="str">
        <f t="shared" si="25"/>
        <v/>
      </c>
      <c r="W135" s="28" t="str">
        <f t="shared" si="25"/>
        <v/>
      </c>
      <c r="X135" s="29" t="str">
        <f t="shared" si="25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6"/>
        <v/>
      </c>
      <c r="L136" s="19" t="str">
        <f t="shared" si="24"/>
        <v/>
      </c>
      <c r="M136" s="19" t="str">
        <f t="shared" si="23"/>
        <v/>
      </c>
      <c r="N136" s="19" t="str">
        <f t="shared" si="23"/>
        <v/>
      </c>
      <c r="O136" s="19" t="str">
        <f t="shared" si="19"/>
        <v/>
      </c>
      <c r="P136" s="19" t="str">
        <f t="shared" si="20"/>
        <v/>
      </c>
      <c r="Q136" s="19" t="str">
        <f t="shared" si="21"/>
        <v/>
      </c>
      <c r="R136" s="19" t="str">
        <f t="shared" si="17"/>
        <v/>
      </c>
      <c r="S136" s="27" t="str">
        <f t="shared" si="25"/>
        <v/>
      </c>
      <c r="T136" s="28" t="str">
        <f t="shared" si="25"/>
        <v/>
      </c>
      <c r="U136" s="28" t="str">
        <f t="shared" si="25"/>
        <v/>
      </c>
      <c r="V136" s="28" t="str">
        <f t="shared" si="25"/>
        <v/>
      </c>
      <c r="W136" s="28" t="str">
        <f t="shared" si="25"/>
        <v/>
      </c>
      <c r="X136" s="29" t="str">
        <f t="shared" si="25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6"/>
        <v/>
      </c>
      <c r="L137" s="19" t="str">
        <f t="shared" si="24"/>
        <v/>
      </c>
      <c r="M137" s="19" t="str">
        <f t="shared" si="23"/>
        <v/>
      </c>
      <c r="N137" s="19" t="str">
        <f t="shared" si="23"/>
        <v/>
      </c>
      <c r="O137" s="19" t="str">
        <f t="shared" si="19"/>
        <v/>
      </c>
      <c r="P137" s="19" t="str">
        <f t="shared" si="20"/>
        <v/>
      </c>
      <c r="Q137" s="19" t="str">
        <f t="shared" si="21"/>
        <v/>
      </c>
      <c r="R137" s="19" t="str">
        <f t="shared" si="17"/>
        <v/>
      </c>
      <c r="S137" s="27" t="str">
        <f t="shared" si="25"/>
        <v/>
      </c>
      <c r="T137" s="28" t="str">
        <f t="shared" si="25"/>
        <v/>
      </c>
      <c r="U137" s="28" t="str">
        <f t="shared" si="25"/>
        <v/>
      </c>
      <c r="V137" s="28" t="str">
        <f t="shared" si="25"/>
        <v/>
      </c>
      <c r="W137" s="28" t="str">
        <f t="shared" si="25"/>
        <v/>
      </c>
      <c r="X137" s="29" t="str">
        <f t="shared" si="25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6"/>
        <v/>
      </c>
      <c r="L138" s="19" t="str">
        <f t="shared" si="24"/>
        <v/>
      </c>
      <c r="M138" s="19" t="str">
        <f t="shared" si="23"/>
        <v/>
      </c>
      <c r="N138" s="19" t="str">
        <f t="shared" si="23"/>
        <v/>
      </c>
      <c r="O138" s="19" t="str">
        <f t="shared" si="19"/>
        <v/>
      </c>
      <c r="P138" s="19" t="str">
        <f t="shared" si="20"/>
        <v/>
      </c>
      <c r="Q138" s="19" t="str">
        <f t="shared" si="21"/>
        <v/>
      </c>
      <c r="R138" s="19" t="str">
        <f t="shared" si="17"/>
        <v/>
      </c>
      <c r="S138" s="27" t="str">
        <f t="shared" si="25"/>
        <v/>
      </c>
      <c r="T138" s="28" t="str">
        <f t="shared" si="25"/>
        <v/>
      </c>
      <c r="U138" s="28" t="str">
        <f t="shared" si="25"/>
        <v/>
      </c>
      <c r="V138" s="28" t="str">
        <f t="shared" si="25"/>
        <v/>
      </c>
      <c r="W138" s="28" t="str">
        <f t="shared" si="25"/>
        <v/>
      </c>
      <c r="X138" s="29" t="str">
        <f t="shared" si="25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6"/>
        <v/>
      </c>
      <c r="L139" s="19" t="str">
        <f t="shared" si="24"/>
        <v/>
      </c>
      <c r="M139" s="19" t="str">
        <f t="shared" si="23"/>
        <v/>
      </c>
      <c r="N139" s="19" t="str">
        <f t="shared" si="23"/>
        <v/>
      </c>
      <c r="O139" s="19" t="str">
        <f t="shared" si="19"/>
        <v/>
      </c>
      <c r="P139" s="19" t="str">
        <f t="shared" si="20"/>
        <v/>
      </c>
      <c r="Q139" s="19" t="str">
        <f t="shared" si="21"/>
        <v/>
      </c>
      <c r="R139" s="19" t="str">
        <f t="shared" si="17"/>
        <v/>
      </c>
      <c r="S139" s="27" t="str">
        <f t="shared" si="25"/>
        <v/>
      </c>
      <c r="T139" s="28" t="str">
        <f t="shared" si="25"/>
        <v/>
      </c>
      <c r="U139" s="28" t="str">
        <f t="shared" si="25"/>
        <v/>
      </c>
      <c r="V139" s="28" t="str">
        <f t="shared" si="25"/>
        <v/>
      </c>
      <c r="W139" s="28" t="str">
        <f t="shared" si="25"/>
        <v/>
      </c>
      <c r="X139" s="29" t="str">
        <f t="shared" si="25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6"/>
        <v/>
      </c>
      <c r="L140" s="19" t="str">
        <f t="shared" si="24"/>
        <v/>
      </c>
      <c r="M140" s="19" t="str">
        <f t="shared" si="23"/>
        <v/>
      </c>
      <c r="N140" s="19" t="str">
        <f t="shared" si="23"/>
        <v/>
      </c>
      <c r="O140" s="19" t="str">
        <f t="shared" si="19"/>
        <v/>
      </c>
      <c r="P140" s="19" t="str">
        <f t="shared" si="20"/>
        <v/>
      </c>
      <c r="Q140" s="19" t="str">
        <f t="shared" si="21"/>
        <v/>
      </c>
      <c r="R140" s="19" t="str">
        <f t="shared" si="17"/>
        <v/>
      </c>
      <c r="S140" s="27" t="str">
        <f t="shared" si="25"/>
        <v/>
      </c>
      <c r="T140" s="28" t="str">
        <f t="shared" si="25"/>
        <v/>
      </c>
      <c r="U140" s="28" t="str">
        <f t="shared" si="25"/>
        <v/>
      </c>
      <c r="V140" s="28" t="str">
        <f t="shared" si="25"/>
        <v/>
      </c>
      <c r="W140" s="28" t="str">
        <f t="shared" si="25"/>
        <v/>
      </c>
      <c r="X140" s="29" t="str">
        <f t="shared" si="25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6"/>
        <v/>
      </c>
      <c r="L141" s="19" t="str">
        <f t="shared" si="24"/>
        <v/>
      </c>
      <c r="M141" s="19" t="str">
        <f t="shared" si="23"/>
        <v/>
      </c>
      <c r="N141" s="19" t="str">
        <f t="shared" si="23"/>
        <v/>
      </c>
      <c r="O141" s="19" t="str">
        <f t="shared" si="19"/>
        <v/>
      </c>
      <c r="P141" s="19" t="str">
        <f t="shared" si="20"/>
        <v/>
      </c>
      <c r="Q141" s="19" t="str">
        <f t="shared" si="21"/>
        <v/>
      </c>
      <c r="R141" s="19" t="str">
        <f t="shared" si="17"/>
        <v/>
      </c>
      <c r="S141" s="27" t="str">
        <f t="shared" si="25"/>
        <v/>
      </c>
      <c r="T141" s="28" t="str">
        <f t="shared" si="25"/>
        <v/>
      </c>
      <c r="U141" s="28" t="str">
        <f t="shared" si="25"/>
        <v/>
      </c>
      <c r="V141" s="28" t="str">
        <f t="shared" si="25"/>
        <v/>
      </c>
      <c r="W141" s="28" t="str">
        <f t="shared" si="25"/>
        <v/>
      </c>
      <c r="X141" s="29" t="str">
        <f t="shared" si="25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6"/>
        <v/>
      </c>
      <c r="L142" s="19" t="str">
        <f t="shared" si="24"/>
        <v/>
      </c>
      <c r="M142" s="19" t="str">
        <f t="shared" si="23"/>
        <v/>
      </c>
      <c r="N142" s="19" t="str">
        <f t="shared" si="23"/>
        <v/>
      </c>
      <c r="O142" s="19" t="str">
        <f t="shared" si="19"/>
        <v/>
      </c>
      <c r="P142" s="19" t="str">
        <f t="shared" si="20"/>
        <v/>
      </c>
      <c r="Q142" s="19" t="str">
        <f t="shared" si="21"/>
        <v/>
      </c>
      <c r="R142" s="19" t="str">
        <f t="shared" si="17"/>
        <v/>
      </c>
      <c r="S142" s="27" t="str">
        <f t="shared" si="25"/>
        <v/>
      </c>
      <c r="T142" s="28" t="str">
        <f t="shared" si="25"/>
        <v/>
      </c>
      <c r="U142" s="28" t="str">
        <f t="shared" si="25"/>
        <v/>
      </c>
      <c r="V142" s="28" t="str">
        <f t="shared" si="25"/>
        <v/>
      </c>
      <c r="W142" s="28" t="str">
        <f t="shared" si="25"/>
        <v/>
      </c>
      <c r="X142" s="29" t="str">
        <f t="shared" si="25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6"/>
        <v/>
      </c>
      <c r="L143" s="19" t="str">
        <f t="shared" si="24"/>
        <v/>
      </c>
      <c r="M143" s="19" t="str">
        <f t="shared" si="23"/>
        <v/>
      </c>
      <c r="N143" s="19" t="str">
        <f t="shared" si="23"/>
        <v/>
      </c>
      <c r="O143" s="19" t="str">
        <f t="shared" si="19"/>
        <v/>
      </c>
      <c r="P143" s="19" t="str">
        <f t="shared" si="20"/>
        <v/>
      </c>
      <c r="Q143" s="19" t="str">
        <f t="shared" si="21"/>
        <v/>
      </c>
      <c r="R143" s="19" t="str">
        <f t="shared" si="17"/>
        <v/>
      </c>
      <c r="S143" s="27" t="str">
        <f t="shared" si="25"/>
        <v/>
      </c>
      <c r="T143" s="28" t="str">
        <f t="shared" si="25"/>
        <v/>
      </c>
      <c r="U143" s="28" t="str">
        <f t="shared" si="25"/>
        <v/>
      </c>
      <c r="V143" s="28" t="str">
        <f t="shared" si="25"/>
        <v/>
      </c>
      <c r="W143" s="28" t="str">
        <f t="shared" si="25"/>
        <v/>
      </c>
      <c r="X143" s="29" t="str">
        <f t="shared" si="25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6"/>
        <v/>
      </c>
      <c r="L144" s="19" t="str">
        <f t="shared" si="24"/>
        <v/>
      </c>
      <c r="M144" s="19" t="str">
        <f t="shared" si="23"/>
        <v/>
      </c>
      <c r="N144" s="19" t="str">
        <f t="shared" si="23"/>
        <v/>
      </c>
      <c r="O144" s="19" t="str">
        <f t="shared" si="19"/>
        <v/>
      </c>
      <c r="P144" s="19" t="str">
        <f t="shared" si="20"/>
        <v/>
      </c>
      <c r="Q144" s="19" t="str">
        <f t="shared" si="21"/>
        <v/>
      </c>
      <c r="R144" s="19" t="str">
        <f t="shared" si="17"/>
        <v/>
      </c>
      <c r="S144" s="27" t="str">
        <f t="shared" si="25"/>
        <v/>
      </c>
      <c r="T144" s="28" t="str">
        <f t="shared" si="25"/>
        <v/>
      </c>
      <c r="U144" s="28" t="str">
        <f t="shared" si="25"/>
        <v/>
      </c>
      <c r="V144" s="28" t="str">
        <f t="shared" si="25"/>
        <v/>
      </c>
      <c r="W144" s="28" t="str">
        <f t="shared" si="25"/>
        <v/>
      </c>
      <c r="X144" s="29" t="str">
        <f t="shared" si="25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6"/>
        <v/>
      </c>
      <c r="L145" s="19" t="str">
        <f t="shared" si="24"/>
        <v/>
      </c>
      <c r="M145" s="19" t="str">
        <f t="shared" si="23"/>
        <v/>
      </c>
      <c r="N145" s="19" t="str">
        <f t="shared" si="23"/>
        <v/>
      </c>
      <c r="O145" s="19" t="str">
        <f t="shared" si="19"/>
        <v/>
      </c>
      <c r="P145" s="19" t="str">
        <f t="shared" si="20"/>
        <v/>
      </c>
      <c r="Q145" s="19" t="str">
        <f t="shared" si="21"/>
        <v/>
      </c>
      <c r="R145" s="19" t="str">
        <f t="shared" si="17"/>
        <v/>
      </c>
      <c r="S145" s="27" t="str">
        <f t="shared" ref="S145:X153" si="26">IF(C145="","",((C145-C144)*1000)/($B145-$B144))</f>
        <v/>
      </c>
      <c r="T145" s="28" t="str">
        <f t="shared" si="26"/>
        <v/>
      </c>
      <c r="U145" s="28" t="str">
        <f t="shared" si="26"/>
        <v/>
      </c>
      <c r="V145" s="28" t="str">
        <f t="shared" si="26"/>
        <v/>
      </c>
      <c r="W145" s="28" t="str">
        <f t="shared" si="26"/>
        <v/>
      </c>
      <c r="X145" s="29" t="str">
        <f t="shared" si="26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6"/>
        <v/>
      </c>
      <c r="L146" s="19" t="str">
        <f t="shared" si="24"/>
        <v/>
      </c>
      <c r="M146" s="19" t="str">
        <f t="shared" si="23"/>
        <v/>
      </c>
      <c r="N146" s="19" t="str">
        <f t="shared" si="23"/>
        <v/>
      </c>
      <c r="O146" s="19" t="str">
        <f t="shared" si="19"/>
        <v/>
      </c>
      <c r="P146" s="19" t="str">
        <f t="shared" si="20"/>
        <v/>
      </c>
      <c r="Q146" s="19" t="str">
        <f t="shared" si="21"/>
        <v/>
      </c>
      <c r="R146" s="19" t="str">
        <f t="shared" si="17"/>
        <v/>
      </c>
      <c r="S146" s="27" t="str">
        <f t="shared" si="26"/>
        <v/>
      </c>
      <c r="T146" s="28" t="str">
        <f t="shared" si="26"/>
        <v/>
      </c>
      <c r="U146" s="28" t="str">
        <f t="shared" si="26"/>
        <v/>
      </c>
      <c r="V146" s="28" t="str">
        <f t="shared" si="26"/>
        <v/>
      </c>
      <c r="W146" s="28" t="str">
        <f t="shared" si="26"/>
        <v/>
      </c>
      <c r="X146" s="29" t="str">
        <f t="shared" si="26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6"/>
        <v/>
      </c>
      <c r="L147" s="19" t="str">
        <f t="shared" si="24"/>
        <v/>
      </c>
      <c r="M147" s="19" t="str">
        <f t="shared" si="23"/>
        <v/>
      </c>
      <c r="N147" s="19" t="str">
        <f t="shared" si="23"/>
        <v/>
      </c>
      <c r="O147" s="19" t="str">
        <f t="shared" si="19"/>
        <v/>
      </c>
      <c r="P147" s="19" t="str">
        <f t="shared" si="20"/>
        <v/>
      </c>
      <c r="Q147" s="19" t="str">
        <f t="shared" si="21"/>
        <v/>
      </c>
      <c r="R147" s="19" t="str">
        <f t="shared" si="17"/>
        <v/>
      </c>
      <c r="S147" s="27" t="str">
        <f t="shared" si="26"/>
        <v/>
      </c>
      <c r="T147" s="28" t="str">
        <f t="shared" si="26"/>
        <v/>
      </c>
      <c r="U147" s="28" t="str">
        <f t="shared" si="26"/>
        <v/>
      </c>
      <c r="V147" s="28" t="str">
        <f t="shared" si="26"/>
        <v/>
      </c>
      <c r="W147" s="28" t="str">
        <f t="shared" si="26"/>
        <v/>
      </c>
      <c r="X147" s="29" t="str">
        <f t="shared" si="26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6"/>
        <v/>
      </c>
      <c r="L148" s="19" t="str">
        <f t="shared" si="24"/>
        <v/>
      </c>
      <c r="M148" s="19" t="str">
        <f t="shared" si="23"/>
        <v/>
      </c>
      <c r="N148" s="19" t="str">
        <f t="shared" si="23"/>
        <v/>
      </c>
      <c r="O148" s="19" t="str">
        <f t="shared" si="19"/>
        <v/>
      </c>
      <c r="P148" s="19" t="str">
        <f t="shared" si="20"/>
        <v/>
      </c>
      <c r="Q148" s="19" t="str">
        <f t="shared" si="21"/>
        <v/>
      </c>
      <c r="R148" s="19" t="str">
        <f t="shared" si="17"/>
        <v/>
      </c>
      <c r="S148" s="27" t="str">
        <f t="shared" si="26"/>
        <v/>
      </c>
      <c r="T148" s="28" t="str">
        <f t="shared" si="26"/>
        <v/>
      </c>
      <c r="U148" s="28" t="str">
        <f t="shared" si="26"/>
        <v/>
      </c>
      <c r="V148" s="28" t="str">
        <f t="shared" si="26"/>
        <v/>
      </c>
      <c r="W148" s="28" t="str">
        <f t="shared" si="26"/>
        <v/>
      </c>
      <c r="X148" s="29" t="str">
        <f t="shared" si="26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6"/>
        <v/>
      </c>
      <c r="L149" s="19" t="str">
        <f t="shared" si="24"/>
        <v/>
      </c>
      <c r="M149" s="19" t="str">
        <f t="shared" si="23"/>
        <v/>
      </c>
      <c r="N149" s="19" t="str">
        <f t="shared" si="23"/>
        <v/>
      </c>
      <c r="O149" s="19" t="str">
        <f t="shared" si="19"/>
        <v/>
      </c>
      <c r="P149" s="19" t="str">
        <f t="shared" si="20"/>
        <v/>
      </c>
      <c r="Q149" s="19" t="str">
        <f t="shared" si="21"/>
        <v/>
      </c>
      <c r="R149" s="19" t="str">
        <f t="shared" si="17"/>
        <v/>
      </c>
      <c r="S149" s="27" t="str">
        <f t="shared" si="26"/>
        <v/>
      </c>
      <c r="T149" s="28" t="str">
        <f t="shared" si="26"/>
        <v/>
      </c>
      <c r="U149" s="28" t="str">
        <f t="shared" si="26"/>
        <v/>
      </c>
      <c r="V149" s="28" t="str">
        <f t="shared" si="26"/>
        <v/>
      </c>
      <c r="W149" s="28" t="str">
        <f t="shared" si="26"/>
        <v/>
      </c>
      <c r="X149" s="29" t="str">
        <f t="shared" si="26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6"/>
        <v/>
      </c>
      <c r="L150" s="19" t="str">
        <f t="shared" si="24"/>
        <v/>
      </c>
      <c r="M150" s="19" t="str">
        <f t="shared" si="23"/>
        <v/>
      </c>
      <c r="N150" s="19" t="str">
        <f t="shared" si="23"/>
        <v/>
      </c>
      <c r="O150" s="19" t="str">
        <f t="shared" si="19"/>
        <v/>
      </c>
      <c r="P150" s="19" t="str">
        <f t="shared" si="20"/>
        <v/>
      </c>
      <c r="Q150" s="19" t="str">
        <f t="shared" si="21"/>
        <v/>
      </c>
      <c r="R150" s="19" t="str">
        <f t="shared" si="17"/>
        <v/>
      </c>
      <c r="S150" s="27" t="str">
        <f t="shared" si="26"/>
        <v/>
      </c>
      <c r="T150" s="28" t="str">
        <f t="shared" si="26"/>
        <v/>
      </c>
      <c r="U150" s="28" t="str">
        <f t="shared" si="26"/>
        <v/>
      </c>
      <c r="V150" s="28" t="str">
        <f t="shared" si="26"/>
        <v/>
      </c>
      <c r="W150" s="28" t="str">
        <f t="shared" si="26"/>
        <v/>
      </c>
      <c r="X150" s="29" t="str">
        <f t="shared" si="26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>IF(ISBLANK(J151),"",(J151-$J$8))</f>
        <v/>
      </c>
      <c r="L151" s="19" t="str">
        <f t="shared" si="24"/>
        <v/>
      </c>
      <c r="M151" s="19" t="str">
        <f t="shared" si="23"/>
        <v/>
      </c>
      <c r="N151" s="19" t="str">
        <f t="shared" si="23"/>
        <v/>
      </c>
      <c r="O151" s="19" t="str">
        <f t="shared" si="19"/>
        <v/>
      </c>
      <c r="P151" s="19" t="str">
        <f t="shared" si="20"/>
        <v/>
      </c>
      <c r="Q151" s="19" t="str">
        <f t="shared" si="21"/>
        <v/>
      </c>
      <c r="R151" s="19" t="str">
        <f t="shared" si="17"/>
        <v/>
      </c>
      <c r="S151" s="27" t="str">
        <f t="shared" si="26"/>
        <v/>
      </c>
      <c r="T151" s="28" t="str">
        <f t="shared" si="26"/>
        <v/>
      </c>
      <c r="U151" s="28" t="str">
        <f t="shared" si="26"/>
        <v/>
      </c>
      <c r="V151" s="28" t="str">
        <f t="shared" si="26"/>
        <v/>
      </c>
      <c r="W151" s="28" t="str">
        <f t="shared" si="26"/>
        <v/>
      </c>
      <c r="X151" s="29" t="str">
        <f t="shared" si="26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>IF(ISBLANK(J152),"",(J152-$J$8))</f>
        <v/>
      </c>
      <c r="L152" s="19" t="str">
        <f t="shared" si="24"/>
        <v/>
      </c>
      <c r="M152" s="19" t="str">
        <f t="shared" si="23"/>
        <v/>
      </c>
      <c r="N152" s="19" t="str">
        <f t="shared" si="23"/>
        <v/>
      </c>
      <c r="O152" s="19" t="str">
        <f t="shared" si="19"/>
        <v/>
      </c>
      <c r="P152" s="19" t="str">
        <f t="shared" si="20"/>
        <v/>
      </c>
      <c r="Q152" s="19" t="str">
        <f t="shared" si="21"/>
        <v/>
      </c>
      <c r="R152" s="19" t="str">
        <f t="shared" si="17"/>
        <v/>
      </c>
      <c r="S152" s="27" t="str">
        <f t="shared" si="26"/>
        <v/>
      </c>
      <c r="T152" s="28" t="str">
        <f t="shared" si="26"/>
        <v/>
      </c>
      <c r="U152" s="28" t="str">
        <f t="shared" si="26"/>
        <v/>
      </c>
      <c r="V152" s="28" t="str">
        <f t="shared" si="26"/>
        <v/>
      </c>
      <c r="W152" s="28" t="str">
        <f t="shared" si="26"/>
        <v/>
      </c>
      <c r="X152" s="29" t="str">
        <f t="shared" si="26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>IF(ISBLANK(J153),"",(J153-$J$8))</f>
        <v/>
      </c>
      <c r="L153" s="19" t="str">
        <f t="shared" si="24"/>
        <v/>
      </c>
      <c r="M153" s="19" t="str">
        <f t="shared" si="23"/>
        <v/>
      </c>
      <c r="N153" s="19" t="str">
        <f t="shared" si="23"/>
        <v/>
      </c>
      <c r="O153" s="19" t="str">
        <f t="shared" si="19"/>
        <v/>
      </c>
      <c r="P153" s="19" t="str">
        <f t="shared" si="20"/>
        <v/>
      </c>
      <c r="Q153" s="19" t="str">
        <f t="shared" si="21"/>
        <v/>
      </c>
      <c r="R153" s="19" t="str">
        <f t="shared" si="17"/>
        <v/>
      </c>
      <c r="S153" s="27" t="str">
        <f t="shared" si="26"/>
        <v/>
      </c>
      <c r="T153" s="28" t="str">
        <f t="shared" si="26"/>
        <v/>
      </c>
      <c r="U153" s="28" t="str">
        <f t="shared" si="26"/>
        <v/>
      </c>
      <c r="V153" s="28" t="str">
        <f t="shared" si="26"/>
        <v/>
      </c>
      <c r="W153" s="28" t="str">
        <f t="shared" si="26"/>
        <v/>
      </c>
      <c r="X153" s="29" t="str">
        <f t="shared" si="26"/>
        <v/>
      </c>
      <c r="Y153" s="24"/>
    </row>
  </sheetData>
  <sheetProtection selectLockedCells="1"/>
  <mergeCells count="38">
    <mergeCell ref="Y13:Y15"/>
    <mergeCell ref="C14:E14"/>
    <mergeCell ref="F14:H14"/>
    <mergeCell ref="B5:D8"/>
    <mergeCell ref="E5:I5"/>
    <mergeCell ref="J5:Q5"/>
    <mergeCell ref="R5:V5"/>
    <mergeCell ref="S13:X14"/>
    <mergeCell ref="W8:Y8"/>
    <mergeCell ref="J14:K14"/>
    <mergeCell ref="E8:I8"/>
    <mergeCell ref="J8:Q8"/>
    <mergeCell ref="I14:I15"/>
    <mergeCell ref="B13:B15"/>
    <mergeCell ref="C13:K13"/>
    <mergeCell ref="L13:R14"/>
    <mergeCell ref="A1:J1"/>
    <mergeCell ref="E2:Q2"/>
    <mergeCell ref="R2:X4"/>
    <mergeCell ref="W5:Y5"/>
    <mergeCell ref="E6:I6"/>
    <mergeCell ref="J6:Q6"/>
    <mergeCell ref="R6:V6"/>
    <mergeCell ref="Y2:Y4"/>
    <mergeCell ref="E3:Q3"/>
    <mergeCell ref="E4:Q4"/>
    <mergeCell ref="W6:Y6"/>
    <mergeCell ref="AA9:AI9"/>
    <mergeCell ref="B10:J12"/>
    <mergeCell ref="K10:S12"/>
    <mergeCell ref="T10:Y12"/>
    <mergeCell ref="B9:O9"/>
    <mergeCell ref="P9:Y9"/>
    <mergeCell ref="R8:V8"/>
    <mergeCell ref="W7:Y7"/>
    <mergeCell ref="J7:Q7"/>
    <mergeCell ref="R7:V7"/>
    <mergeCell ref="E7:I7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7" activePane="bottomLeft" state="frozen"/>
      <selection activeCell="B57" sqref="B57:K58"/>
      <selection pane="bottomLeft" activeCell="B57" sqref="B57:K5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TZ-24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52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41754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41758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350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608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13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41759</v>
      </c>
      <c r="C16" s="35">
        <v>12.467000000000001</v>
      </c>
      <c r="D16" s="36">
        <v>7.3760000000000003</v>
      </c>
      <c r="E16" s="36">
        <v>7.6539999999999999</v>
      </c>
      <c r="F16" s="37"/>
      <c r="G16" s="37"/>
      <c r="H16" s="37"/>
      <c r="I16" s="38">
        <v>102.929</v>
      </c>
      <c r="J16" s="68">
        <v>623</v>
      </c>
      <c r="K16" s="55">
        <f t="shared" ref="K16:K22" si="0">IF(ISBLANK(J16),"",(J16-$J$8))</f>
        <v>15</v>
      </c>
      <c r="L16" s="19">
        <f t="shared" ref="L16:L22" si="1">IF(ISBLANK(C16),"",(C16-C$16)*1000)</f>
        <v>0</v>
      </c>
      <c r="M16" s="19">
        <f t="shared" ref="M16:M22" si="2">IF(ISBLANK(D16),"",(D16-D$16)*1000)</f>
        <v>0</v>
      </c>
      <c r="N16" s="19">
        <f t="shared" ref="N16:N47" si="3">IF(ISBLANK(E16),"",(E16-E$16)*1000)</f>
        <v>0</v>
      </c>
      <c r="O16" s="20"/>
      <c r="P16" s="20"/>
      <c r="Q16" s="20"/>
      <c r="R16" s="21">
        <f t="shared" ref="R16:R47" si="4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41764</v>
      </c>
      <c r="C17" s="25">
        <v>12.467000000000001</v>
      </c>
      <c r="D17" s="26">
        <v>7.3760000000000003</v>
      </c>
      <c r="E17" s="26">
        <v>7.6539999999999999</v>
      </c>
      <c r="F17" s="16"/>
      <c r="G17" s="16"/>
      <c r="H17" s="16"/>
      <c r="I17" s="17">
        <v>102.928</v>
      </c>
      <c r="J17" s="58">
        <v>659</v>
      </c>
      <c r="K17" s="18">
        <f t="shared" si="0"/>
        <v>51</v>
      </c>
      <c r="L17" s="19">
        <f t="shared" si="1"/>
        <v>0</v>
      </c>
      <c r="M17" s="19">
        <f t="shared" si="2"/>
        <v>0</v>
      </c>
      <c r="N17" s="19">
        <f t="shared" si="3"/>
        <v>0</v>
      </c>
      <c r="O17" s="19" t="str">
        <f t="shared" ref="O17:Q21" si="5">IF(ISBLANK(F17),"",(F17-F$16)*1000)</f>
        <v/>
      </c>
      <c r="P17" s="19" t="str">
        <f t="shared" si="5"/>
        <v/>
      </c>
      <c r="Q17" s="19" t="str">
        <f t="shared" si="5"/>
        <v/>
      </c>
      <c r="R17" s="19">
        <f t="shared" si="4"/>
        <v>-1.0000000000047748</v>
      </c>
      <c r="S17" s="27">
        <f t="shared" ref="S17:S48" si="6">IF(C17="","",((C17-C16)*1000)/($B17-$B16))</f>
        <v>0</v>
      </c>
      <c r="T17" s="28">
        <f t="shared" ref="T17:T48" si="7">IF(D17="","",((D17-D16)*1000)/($B17-$B16))</f>
        <v>0</v>
      </c>
      <c r="U17" s="28">
        <f t="shared" ref="U17:U48" si="8">IF(E17="","",((E17-E16)*1000)/($B17-$B16))</f>
        <v>0</v>
      </c>
      <c r="V17" s="28" t="str">
        <f t="shared" ref="V17:V48" si="9">IF(F17="","",((F17-F16)*1000)/($B17-$B16))</f>
        <v/>
      </c>
      <c r="W17" s="28" t="str">
        <f t="shared" ref="W17:W48" si="10">IF(G17="","",((G17-G16)*1000)/($B17-$B16))</f>
        <v/>
      </c>
      <c r="X17" s="29" t="str">
        <f t="shared" ref="X17:X48" si="11">IF(H17="","",((H17-H16)*1000)/($B17-$B16))</f>
        <v/>
      </c>
      <c r="Y17" s="24"/>
    </row>
    <row r="18" spans="2:25" ht="15" customHeight="1" x14ac:dyDescent="0.2">
      <c r="B18" s="31">
        <v>41765</v>
      </c>
      <c r="C18" s="25">
        <v>12.467000000000001</v>
      </c>
      <c r="D18" s="26">
        <v>7.3760000000000003</v>
      </c>
      <c r="E18" s="26">
        <v>7.6529999999999996</v>
      </c>
      <c r="F18" s="16"/>
      <c r="G18" s="16"/>
      <c r="H18" s="16"/>
      <c r="I18" s="17">
        <v>102.928</v>
      </c>
      <c r="J18" s="58">
        <v>668</v>
      </c>
      <c r="K18" s="18">
        <f t="shared" si="0"/>
        <v>60</v>
      </c>
      <c r="L18" s="19">
        <f t="shared" si="1"/>
        <v>0</v>
      </c>
      <c r="M18" s="19">
        <f t="shared" si="2"/>
        <v>0</v>
      </c>
      <c r="N18" s="19">
        <f t="shared" si="3"/>
        <v>-1.000000000000334</v>
      </c>
      <c r="O18" s="19" t="str">
        <f t="shared" si="5"/>
        <v/>
      </c>
      <c r="P18" s="19" t="str">
        <f t="shared" si="5"/>
        <v/>
      </c>
      <c r="Q18" s="19" t="str">
        <f t="shared" si="5"/>
        <v/>
      </c>
      <c r="R18" s="19">
        <f t="shared" si="4"/>
        <v>-1.0000000000047748</v>
      </c>
      <c r="S18" s="27">
        <f t="shared" si="6"/>
        <v>0</v>
      </c>
      <c r="T18" s="28">
        <f t="shared" si="7"/>
        <v>0</v>
      </c>
      <c r="U18" s="28">
        <f t="shared" si="8"/>
        <v>-1.000000000000334</v>
      </c>
      <c r="V18" s="28" t="str">
        <f t="shared" si="9"/>
        <v/>
      </c>
      <c r="W18" s="28" t="str">
        <f t="shared" si="10"/>
        <v/>
      </c>
      <c r="X18" s="29" t="str">
        <f t="shared" si="11"/>
        <v/>
      </c>
      <c r="Y18" s="24"/>
    </row>
    <row r="19" spans="2:25" ht="15" customHeight="1" x14ac:dyDescent="0.2">
      <c r="B19" s="31">
        <v>41766</v>
      </c>
      <c r="C19" s="25">
        <v>12.467000000000001</v>
      </c>
      <c r="D19" s="26">
        <v>7.3760000000000003</v>
      </c>
      <c r="E19" s="26">
        <v>7.6529999999999996</v>
      </c>
      <c r="F19" s="16"/>
      <c r="G19" s="16"/>
      <c r="H19" s="16"/>
      <c r="I19" s="17">
        <v>102.928</v>
      </c>
      <c r="J19" s="58">
        <v>677</v>
      </c>
      <c r="K19" s="18">
        <f t="shared" si="0"/>
        <v>69</v>
      </c>
      <c r="L19" s="19">
        <f t="shared" si="1"/>
        <v>0</v>
      </c>
      <c r="M19" s="19">
        <f t="shared" si="2"/>
        <v>0</v>
      </c>
      <c r="N19" s="19">
        <f t="shared" si="3"/>
        <v>-1.000000000000334</v>
      </c>
      <c r="O19" s="19" t="str">
        <f t="shared" si="5"/>
        <v/>
      </c>
      <c r="P19" s="19" t="str">
        <f t="shared" si="5"/>
        <v/>
      </c>
      <c r="Q19" s="19" t="str">
        <f t="shared" si="5"/>
        <v/>
      </c>
      <c r="R19" s="19">
        <f t="shared" si="4"/>
        <v>-1.0000000000047748</v>
      </c>
      <c r="S19" s="27">
        <f t="shared" si="6"/>
        <v>0</v>
      </c>
      <c r="T19" s="28">
        <f t="shared" si="7"/>
        <v>0</v>
      </c>
      <c r="U19" s="28">
        <f t="shared" si="8"/>
        <v>0</v>
      </c>
      <c r="V19" s="28" t="str">
        <f t="shared" si="9"/>
        <v/>
      </c>
      <c r="W19" s="28" t="str">
        <f t="shared" si="10"/>
        <v/>
      </c>
      <c r="X19" s="29" t="str">
        <f t="shared" si="11"/>
        <v/>
      </c>
      <c r="Y19" s="24"/>
    </row>
    <row r="20" spans="2:25" ht="15" customHeight="1" x14ac:dyDescent="0.2">
      <c r="B20" s="31">
        <v>41781</v>
      </c>
      <c r="C20" s="25">
        <v>12.467000000000001</v>
      </c>
      <c r="D20" s="26">
        <v>7.3760000000000003</v>
      </c>
      <c r="E20" s="26">
        <v>7.6529999999999996</v>
      </c>
      <c r="F20" s="16"/>
      <c r="G20" s="16"/>
      <c r="H20" s="16"/>
      <c r="I20" s="17">
        <v>102.929</v>
      </c>
      <c r="J20" s="58">
        <v>792</v>
      </c>
      <c r="K20" s="18">
        <f t="shared" si="0"/>
        <v>184</v>
      </c>
      <c r="L20" s="19">
        <f t="shared" si="1"/>
        <v>0</v>
      </c>
      <c r="M20" s="19">
        <f t="shared" si="2"/>
        <v>0</v>
      </c>
      <c r="N20" s="19">
        <f t="shared" si="3"/>
        <v>-1.000000000000334</v>
      </c>
      <c r="O20" s="19" t="str">
        <f t="shared" si="5"/>
        <v/>
      </c>
      <c r="P20" s="19" t="str">
        <f t="shared" si="5"/>
        <v/>
      </c>
      <c r="Q20" s="19" t="str">
        <f t="shared" si="5"/>
        <v/>
      </c>
      <c r="R20" s="19">
        <f t="shared" si="4"/>
        <v>0</v>
      </c>
      <c r="S20" s="27">
        <f t="shared" si="6"/>
        <v>0</v>
      </c>
      <c r="T20" s="28">
        <f t="shared" si="7"/>
        <v>0</v>
      </c>
      <c r="U20" s="28">
        <f t="shared" si="8"/>
        <v>0</v>
      </c>
      <c r="V20" s="28" t="str">
        <f t="shared" si="9"/>
        <v/>
      </c>
      <c r="W20" s="28" t="str">
        <f t="shared" si="10"/>
        <v/>
      </c>
      <c r="X20" s="29" t="str">
        <f t="shared" si="11"/>
        <v/>
      </c>
      <c r="Y20" s="24"/>
    </row>
    <row r="21" spans="2:25" ht="15" customHeight="1" x14ac:dyDescent="0.2">
      <c r="B21" s="31">
        <v>41813</v>
      </c>
      <c r="C21" s="25">
        <v>12.467000000000001</v>
      </c>
      <c r="D21" s="26">
        <v>7.3760000000000003</v>
      </c>
      <c r="E21" s="26">
        <v>7.6529999999999996</v>
      </c>
      <c r="F21" s="16"/>
      <c r="G21" s="16"/>
      <c r="H21" s="16"/>
      <c r="I21" s="17">
        <v>102.929</v>
      </c>
      <c r="J21" s="58">
        <v>574</v>
      </c>
      <c r="K21" s="18">
        <f t="shared" si="0"/>
        <v>-34</v>
      </c>
      <c r="L21" s="19">
        <f t="shared" si="1"/>
        <v>0</v>
      </c>
      <c r="M21" s="19">
        <f t="shared" si="2"/>
        <v>0</v>
      </c>
      <c r="N21" s="19">
        <f t="shared" si="3"/>
        <v>-1.000000000000334</v>
      </c>
      <c r="O21" s="19" t="str">
        <f t="shared" si="5"/>
        <v/>
      </c>
      <c r="P21" s="19" t="str">
        <f t="shared" si="5"/>
        <v/>
      </c>
      <c r="Q21" s="19" t="str">
        <f t="shared" si="5"/>
        <v/>
      </c>
      <c r="R21" s="19">
        <f t="shared" si="4"/>
        <v>0</v>
      </c>
      <c r="S21" s="27">
        <f t="shared" si="6"/>
        <v>0</v>
      </c>
      <c r="T21" s="28">
        <f t="shared" si="7"/>
        <v>0</v>
      </c>
      <c r="U21" s="28">
        <f t="shared" si="8"/>
        <v>0</v>
      </c>
      <c r="V21" s="28" t="str">
        <f t="shared" si="9"/>
        <v/>
      </c>
      <c r="W21" s="28" t="str">
        <f t="shared" si="10"/>
        <v/>
      </c>
      <c r="X21" s="29" t="str">
        <f t="shared" si="11"/>
        <v/>
      </c>
      <c r="Y21" s="24"/>
    </row>
    <row r="22" spans="2:25" ht="15" customHeight="1" x14ac:dyDescent="0.2">
      <c r="B22" s="31">
        <v>41820</v>
      </c>
      <c r="C22" s="64">
        <v>12.465</v>
      </c>
      <c r="D22" s="65">
        <v>7.3760000000000003</v>
      </c>
      <c r="E22" s="26">
        <v>7.6520000000000001</v>
      </c>
      <c r="F22" s="16">
        <v>13.173999999999999</v>
      </c>
      <c r="G22" s="16">
        <v>10.215</v>
      </c>
      <c r="H22" s="16">
        <v>10.481999999999999</v>
      </c>
      <c r="I22" s="17">
        <v>102.928</v>
      </c>
      <c r="J22" s="58">
        <v>645</v>
      </c>
      <c r="K22" s="18">
        <f t="shared" si="0"/>
        <v>37</v>
      </c>
      <c r="L22" s="19">
        <f t="shared" si="1"/>
        <v>-2.0000000000006679</v>
      </c>
      <c r="M22" s="19">
        <f t="shared" si="2"/>
        <v>0</v>
      </c>
      <c r="N22" s="19">
        <f t="shared" si="3"/>
        <v>-1.9999999999997797</v>
      </c>
      <c r="O22" s="19">
        <f>IF(ISBLANK(F22),"",((F22-F$22)*1000)+L$22)</f>
        <v>-2.0000000000006679</v>
      </c>
      <c r="P22" s="19">
        <f>IF(ISBLANK(G22),"",((G22-G$22)*1000)+M$22)</f>
        <v>0</v>
      </c>
      <c r="Q22" s="19">
        <f>IF(ISBLANK(H22),"",((H22-H$22)*1000)+N$22)</f>
        <v>-1.9999999999997797</v>
      </c>
      <c r="R22" s="19">
        <f t="shared" si="4"/>
        <v>-1.0000000000047748</v>
      </c>
      <c r="S22" s="27">
        <f t="shared" si="6"/>
        <v>-0.28571428571438112</v>
      </c>
      <c r="T22" s="28">
        <f t="shared" si="7"/>
        <v>0</v>
      </c>
      <c r="U22" s="28">
        <f t="shared" si="8"/>
        <v>-0.14285714285706369</v>
      </c>
      <c r="V22" s="28"/>
      <c r="W22" s="28"/>
      <c r="X22" s="29"/>
      <c r="Y22" s="24"/>
    </row>
    <row r="23" spans="2:25" ht="15" customHeight="1" x14ac:dyDescent="0.2">
      <c r="B23" s="31">
        <v>41822</v>
      </c>
      <c r="C23" s="82">
        <v>12.493</v>
      </c>
      <c r="D23" s="45">
        <v>7.4009999999999998</v>
      </c>
      <c r="E23" s="26">
        <v>7.6529999999999996</v>
      </c>
      <c r="F23" s="16">
        <v>13.173</v>
      </c>
      <c r="G23" s="16">
        <v>10.215</v>
      </c>
      <c r="H23" s="16">
        <v>10.481999999999999</v>
      </c>
      <c r="I23" s="17">
        <v>102.928</v>
      </c>
      <c r="J23" s="58">
        <v>686</v>
      </c>
      <c r="K23" s="18">
        <f t="shared" ref="K23:K29" si="12">IF(ISBLANK(J23),"",(J23-$J$8))</f>
        <v>78</v>
      </c>
      <c r="L23" s="19">
        <f>IF(ISBLANK(C23),"",((C23-C$23)*1000)+L$22)</f>
        <v>-2.0000000000006679</v>
      </c>
      <c r="M23" s="19">
        <f>IF(ISBLANK(D23),"",((D23-D$23)*1000)+M$22)</f>
        <v>0</v>
      </c>
      <c r="N23" s="19">
        <f t="shared" si="3"/>
        <v>-1.000000000000334</v>
      </c>
      <c r="O23" s="19">
        <f t="shared" ref="O23:O86" si="13">IF(ISBLANK(F23),"",((F23-F$22)*1000)+L$22)</f>
        <v>-3.0000000000001137</v>
      </c>
      <c r="P23" s="19">
        <f t="shared" ref="P23:P86" si="14">IF(ISBLANK(G23),"",((G23-G$22)*1000)+M$22)</f>
        <v>0</v>
      </c>
      <c r="Q23" s="19">
        <f t="shared" ref="Q23:Q86" si="15">IF(ISBLANK(H23),"",((H23-H$22)*1000)+N$22)</f>
        <v>-1.9999999999997797</v>
      </c>
      <c r="R23" s="19">
        <f t="shared" si="4"/>
        <v>-1.0000000000047748</v>
      </c>
      <c r="S23" s="27">
        <f t="shared" si="6"/>
        <v>14.000000000000234</v>
      </c>
      <c r="T23" s="28">
        <f t="shared" si="7"/>
        <v>12.499999999999734</v>
      </c>
      <c r="U23" s="28">
        <f t="shared" si="8"/>
        <v>0.49999999999972289</v>
      </c>
      <c r="V23" s="28">
        <f t="shared" si="9"/>
        <v>-0.49999999999972289</v>
      </c>
      <c r="W23" s="28">
        <f t="shared" si="10"/>
        <v>0</v>
      </c>
      <c r="X23" s="29">
        <f t="shared" si="11"/>
        <v>0</v>
      </c>
      <c r="Y23" s="49" t="s">
        <v>53</v>
      </c>
    </row>
    <row r="24" spans="2:25" ht="15" customHeight="1" x14ac:dyDescent="0.2">
      <c r="B24" s="31">
        <v>41823</v>
      </c>
      <c r="C24" s="25">
        <v>12.492000000000001</v>
      </c>
      <c r="D24" s="26">
        <v>7.4009999999999998</v>
      </c>
      <c r="E24" s="26">
        <v>7.6520000000000001</v>
      </c>
      <c r="F24" s="16">
        <v>13.173999999999999</v>
      </c>
      <c r="G24" s="16">
        <v>10.215</v>
      </c>
      <c r="H24" s="16">
        <v>10.483000000000001</v>
      </c>
      <c r="I24" s="17">
        <v>102.928</v>
      </c>
      <c r="J24" s="58">
        <v>703</v>
      </c>
      <c r="K24" s="18">
        <f t="shared" si="12"/>
        <v>95</v>
      </c>
      <c r="L24" s="19">
        <f t="shared" ref="L24:L87" si="16">IF(ISBLANK(C24),"",((C24-C$23)*1000)+L$22)</f>
        <v>-3.0000000000001137</v>
      </c>
      <c r="M24" s="19">
        <f t="shared" ref="M24:M87" si="17">IF(ISBLANK(D24),"",((D24-D$23)*1000)+M$22)</f>
        <v>0</v>
      </c>
      <c r="N24" s="19">
        <f t="shared" si="3"/>
        <v>-1.9999999999997797</v>
      </c>
      <c r="O24" s="19">
        <f t="shared" si="13"/>
        <v>-2.0000000000006679</v>
      </c>
      <c r="P24" s="19">
        <f t="shared" si="14"/>
        <v>0</v>
      </c>
      <c r="Q24" s="19">
        <f t="shared" si="15"/>
        <v>-0.9999999999985576</v>
      </c>
      <c r="R24" s="19">
        <f t="shared" si="4"/>
        <v>-1.0000000000047748</v>
      </c>
      <c r="S24" s="27">
        <f t="shared" si="6"/>
        <v>-0.99999999999944578</v>
      </c>
      <c r="T24" s="28">
        <f t="shared" si="7"/>
        <v>0</v>
      </c>
      <c r="U24" s="28">
        <f t="shared" si="8"/>
        <v>-0.99999999999944578</v>
      </c>
      <c r="V24" s="28">
        <f t="shared" si="9"/>
        <v>0.99999999999944578</v>
      </c>
      <c r="W24" s="28">
        <f t="shared" si="10"/>
        <v>0</v>
      </c>
      <c r="X24" s="29">
        <f t="shared" si="11"/>
        <v>1.0000000000012221</v>
      </c>
      <c r="Y24" s="24"/>
    </row>
    <row r="25" spans="2:25" ht="15" customHeight="1" x14ac:dyDescent="0.2">
      <c r="B25" s="31">
        <v>41824</v>
      </c>
      <c r="C25" s="25">
        <v>12.493</v>
      </c>
      <c r="D25" s="26">
        <v>7.4009999999999998</v>
      </c>
      <c r="E25" s="26">
        <v>7.6520000000000001</v>
      </c>
      <c r="F25" s="16">
        <v>13.173</v>
      </c>
      <c r="G25" s="16">
        <v>10.215</v>
      </c>
      <c r="H25" s="16">
        <v>10.481999999999999</v>
      </c>
      <c r="I25" s="17">
        <v>102.928</v>
      </c>
      <c r="J25" s="58">
        <v>725</v>
      </c>
      <c r="K25" s="18">
        <f t="shared" si="12"/>
        <v>117</v>
      </c>
      <c r="L25" s="19">
        <f t="shared" si="16"/>
        <v>-2.0000000000006679</v>
      </c>
      <c r="M25" s="19">
        <f t="shared" si="17"/>
        <v>0</v>
      </c>
      <c r="N25" s="19">
        <f t="shared" si="3"/>
        <v>-1.9999999999997797</v>
      </c>
      <c r="O25" s="19">
        <f t="shared" si="13"/>
        <v>-3.0000000000001137</v>
      </c>
      <c r="P25" s="19">
        <f t="shared" si="14"/>
        <v>0</v>
      </c>
      <c r="Q25" s="19">
        <f t="shared" si="15"/>
        <v>-1.9999999999997797</v>
      </c>
      <c r="R25" s="19">
        <f t="shared" si="4"/>
        <v>-1.0000000000047748</v>
      </c>
      <c r="S25" s="27">
        <f t="shared" si="6"/>
        <v>0.99999999999944578</v>
      </c>
      <c r="T25" s="28">
        <f t="shared" si="7"/>
        <v>0</v>
      </c>
      <c r="U25" s="28">
        <f t="shared" si="8"/>
        <v>0</v>
      </c>
      <c r="V25" s="28">
        <f t="shared" si="9"/>
        <v>-0.99999999999944578</v>
      </c>
      <c r="W25" s="28">
        <f t="shared" si="10"/>
        <v>0</v>
      </c>
      <c r="X25" s="29">
        <f t="shared" si="11"/>
        <v>-1.0000000000012221</v>
      </c>
      <c r="Y25" s="24"/>
    </row>
    <row r="26" spans="2:25" ht="15" customHeight="1" x14ac:dyDescent="0.2">
      <c r="B26" s="31">
        <v>41829</v>
      </c>
      <c r="C26" s="25">
        <v>12.493</v>
      </c>
      <c r="D26" s="26">
        <v>7.4</v>
      </c>
      <c r="E26" s="26">
        <v>7.6520000000000001</v>
      </c>
      <c r="F26" s="16">
        <v>13.173</v>
      </c>
      <c r="G26" s="16">
        <v>10.215</v>
      </c>
      <c r="H26" s="16">
        <v>10.481999999999999</v>
      </c>
      <c r="I26" s="17">
        <v>102.928</v>
      </c>
      <c r="J26" s="58">
        <v>793</v>
      </c>
      <c r="K26" s="18">
        <f t="shared" si="12"/>
        <v>185</v>
      </c>
      <c r="L26" s="19">
        <f t="shared" si="16"/>
        <v>-2.0000000000006679</v>
      </c>
      <c r="M26" s="19">
        <f t="shared" si="17"/>
        <v>-0.99999999999944578</v>
      </c>
      <c r="N26" s="19">
        <f t="shared" si="3"/>
        <v>-1.9999999999997797</v>
      </c>
      <c r="O26" s="19">
        <f t="shared" si="13"/>
        <v>-3.0000000000001137</v>
      </c>
      <c r="P26" s="19">
        <f t="shared" si="14"/>
        <v>0</v>
      </c>
      <c r="Q26" s="19">
        <f t="shared" si="15"/>
        <v>-1.9999999999997797</v>
      </c>
      <c r="R26" s="19">
        <f t="shared" si="4"/>
        <v>-1.0000000000047748</v>
      </c>
      <c r="S26" s="27">
        <f t="shared" si="6"/>
        <v>0</v>
      </c>
      <c r="T26" s="28">
        <f t="shared" si="7"/>
        <v>-0.19999999999988916</v>
      </c>
      <c r="U26" s="28">
        <f t="shared" si="8"/>
        <v>0</v>
      </c>
      <c r="V26" s="28">
        <f t="shared" si="9"/>
        <v>0</v>
      </c>
      <c r="W26" s="28">
        <f t="shared" si="10"/>
        <v>0</v>
      </c>
      <c r="X26" s="29">
        <f t="shared" si="11"/>
        <v>0</v>
      </c>
      <c r="Y26" s="24"/>
    </row>
    <row r="27" spans="2:25" ht="15" customHeight="1" x14ac:dyDescent="0.2">
      <c r="B27" s="31">
        <v>41830</v>
      </c>
      <c r="C27" s="25">
        <v>12.492000000000001</v>
      </c>
      <c r="D27" s="26">
        <v>7.4</v>
      </c>
      <c r="E27" s="26">
        <v>7.6529999999999996</v>
      </c>
      <c r="F27" s="16">
        <v>13.173</v>
      </c>
      <c r="G27" s="16">
        <v>10.215</v>
      </c>
      <c r="H27" s="16">
        <v>10.481999999999999</v>
      </c>
      <c r="I27" s="17">
        <v>102.92700000000001</v>
      </c>
      <c r="J27" s="58">
        <v>808</v>
      </c>
      <c r="K27" s="18">
        <f t="shared" si="12"/>
        <v>200</v>
      </c>
      <c r="L27" s="19">
        <f t="shared" si="16"/>
        <v>-3.0000000000001137</v>
      </c>
      <c r="M27" s="19">
        <f t="shared" si="17"/>
        <v>-0.99999999999944578</v>
      </c>
      <c r="N27" s="19">
        <f t="shared" si="3"/>
        <v>-1.000000000000334</v>
      </c>
      <c r="O27" s="19">
        <f t="shared" si="13"/>
        <v>-3.0000000000001137</v>
      </c>
      <c r="P27" s="19">
        <f t="shared" si="14"/>
        <v>0</v>
      </c>
      <c r="Q27" s="19">
        <f t="shared" si="15"/>
        <v>-1.9999999999997797</v>
      </c>
      <c r="R27" s="19">
        <f t="shared" si="4"/>
        <v>-1.9999999999953388</v>
      </c>
      <c r="S27" s="27">
        <f t="shared" si="6"/>
        <v>-0.99999999999944578</v>
      </c>
      <c r="T27" s="28">
        <f t="shared" si="7"/>
        <v>0</v>
      </c>
      <c r="U27" s="28">
        <f t="shared" si="8"/>
        <v>0.99999999999944578</v>
      </c>
      <c r="V27" s="28">
        <f t="shared" si="9"/>
        <v>0</v>
      </c>
      <c r="W27" s="28">
        <f t="shared" si="10"/>
        <v>0</v>
      </c>
      <c r="X27" s="29">
        <f t="shared" si="11"/>
        <v>0</v>
      </c>
      <c r="Y27" s="24"/>
    </row>
    <row r="28" spans="2:25" ht="15" customHeight="1" x14ac:dyDescent="0.2">
      <c r="B28" s="31">
        <v>41834</v>
      </c>
      <c r="C28" s="25">
        <v>12.492000000000001</v>
      </c>
      <c r="D28" s="26">
        <v>7.4</v>
      </c>
      <c r="E28" s="26">
        <v>7.6520000000000001</v>
      </c>
      <c r="F28" s="16">
        <v>13.173</v>
      </c>
      <c r="G28" s="16">
        <v>10.215</v>
      </c>
      <c r="H28" s="16">
        <v>10.481999999999999</v>
      </c>
      <c r="I28" s="17">
        <v>102.92700000000001</v>
      </c>
      <c r="J28" s="58">
        <v>845</v>
      </c>
      <c r="K28" s="18">
        <f t="shared" si="12"/>
        <v>237</v>
      </c>
      <c r="L28" s="19">
        <f t="shared" si="16"/>
        <v>-3.0000000000001137</v>
      </c>
      <c r="M28" s="19">
        <f t="shared" si="17"/>
        <v>-0.99999999999944578</v>
      </c>
      <c r="N28" s="19">
        <f t="shared" si="3"/>
        <v>-1.9999999999997797</v>
      </c>
      <c r="O28" s="19">
        <f t="shared" si="13"/>
        <v>-3.0000000000001137</v>
      </c>
      <c r="P28" s="19">
        <f t="shared" si="14"/>
        <v>0</v>
      </c>
      <c r="Q28" s="19">
        <f t="shared" si="15"/>
        <v>-1.9999999999997797</v>
      </c>
      <c r="R28" s="19">
        <f t="shared" si="4"/>
        <v>-1.9999999999953388</v>
      </c>
      <c r="S28" s="27">
        <f t="shared" si="6"/>
        <v>0</v>
      </c>
      <c r="T28" s="28">
        <f t="shared" si="7"/>
        <v>0</v>
      </c>
      <c r="U28" s="28">
        <f t="shared" si="8"/>
        <v>-0.24999999999986144</v>
      </c>
      <c r="V28" s="28">
        <f t="shared" si="9"/>
        <v>0</v>
      </c>
      <c r="W28" s="28">
        <f t="shared" si="10"/>
        <v>0</v>
      </c>
      <c r="X28" s="29">
        <f t="shared" si="11"/>
        <v>0</v>
      </c>
      <c r="Y28" s="24"/>
    </row>
    <row r="29" spans="2:25" ht="15" customHeight="1" x14ac:dyDescent="0.2">
      <c r="B29" s="31">
        <v>41835</v>
      </c>
      <c r="C29" s="25">
        <v>12.492000000000001</v>
      </c>
      <c r="D29" s="26">
        <v>7.399</v>
      </c>
      <c r="E29" s="26">
        <v>7.6529999999999996</v>
      </c>
      <c r="F29" s="16">
        <v>13.173</v>
      </c>
      <c r="G29" s="16">
        <v>10.215</v>
      </c>
      <c r="H29" s="16">
        <v>10.483000000000001</v>
      </c>
      <c r="I29" s="17">
        <v>102.92700000000001</v>
      </c>
      <c r="J29" s="58">
        <v>857</v>
      </c>
      <c r="K29" s="18">
        <f t="shared" si="12"/>
        <v>249</v>
      </c>
      <c r="L29" s="19">
        <f t="shared" si="16"/>
        <v>-3.0000000000001137</v>
      </c>
      <c r="M29" s="19">
        <f t="shared" si="17"/>
        <v>-1.9999999999997797</v>
      </c>
      <c r="N29" s="19">
        <f t="shared" si="3"/>
        <v>-1.000000000000334</v>
      </c>
      <c r="O29" s="19">
        <f t="shared" si="13"/>
        <v>-3.0000000000001137</v>
      </c>
      <c r="P29" s="19">
        <f t="shared" si="14"/>
        <v>0</v>
      </c>
      <c r="Q29" s="19">
        <f t="shared" si="15"/>
        <v>-0.9999999999985576</v>
      </c>
      <c r="R29" s="19">
        <f t="shared" si="4"/>
        <v>-1.9999999999953388</v>
      </c>
      <c r="S29" s="27">
        <f t="shared" si="6"/>
        <v>0</v>
      </c>
      <c r="T29" s="28">
        <f t="shared" si="7"/>
        <v>-1.000000000000334</v>
      </c>
      <c r="U29" s="28">
        <f t="shared" si="8"/>
        <v>0.99999999999944578</v>
      </c>
      <c r="V29" s="28">
        <f t="shared" si="9"/>
        <v>0</v>
      </c>
      <c r="W29" s="28">
        <f t="shared" si="10"/>
        <v>0</v>
      </c>
      <c r="X29" s="29">
        <f t="shared" si="11"/>
        <v>1.0000000000012221</v>
      </c>
      <c r="Y29" s="24"/>
    </row>
    <row r="30" spans="2:25" ht="15" customHeight="1" x14ac:dyDescent="0.2">
      <c r="B30" s="31">
        <v>41879</v>
      </c>
      <c r="C30" s="25"/>
      <c r="D30" s="26"/>
      <c r="E30" s="26"/>
      <c r="F30" s="16">
        <v>13.173</v>
      </c>
      <c r="G30" s="16">
        <v>10.215</v>
      </c>
      <c r="H30" s="16">
        <v>10.483000000000001</v>
      </c>
      <c r="I30" s="17">
        <v>102.928</v>
      </c>
      <c r="J30" s="58">
        <v>943</v>
      </c>
      <c r="K30" s="18">
        <f>IF(ISBLANK(J30),"",(J30-$J$8))</f>
        <v>335</v>
      </c>
      <c r="L30" s="19" t="str">
        <f t="shared" si="16"/>
        <v/>
      </c>
      <c r="M30" s="19" t="str">
        <f t="shared" si="17"/>
        <v/>
      </c>
      <c r="N30" s="19" t="str">
        <f t="shared" si="3"/>
        <v/>
      </c>
      <c r="O30" s="19">
        <f t="shared" si="13"/>
        <v>-3.0000000000001137</v>
      </c>
      <c r="P30" s="19">
        <f t="shared" si="14"/>
        <v>0</v>
      </c>
      <c r="Q30" s="19">
        <f t="shared" si="15"/>
        <v>-0.9999999999985576</v>
      </c>
      <c r="R30" s="19">
        <f t="shared" si="4"/>
        <v>-1.0000000000047748</v>
      </c>
      <c r="S30" s="27" t="str">
        <f t="shared" si="6"/>
        <v/>
      </c>
      <c r="T30" s="28" t="str">
        <f t="shared" si="7"/>
        <v/>
      </c>
      <c r="U30" s="28" t="str">
        <f t="shared" si="8"/>
        <v/>
      </c>
      <c r="V30" s="28">
        <f t="shared" si="9"/>
        <v>0</v>
      </c>
      <c r="W30" s="28">
        <f t="shared" si="10"/>
        <v>0</v>
      </c>
      <c r="X30" s="29">
        <f t="shared" si="11"/>
        <v>0</v>
      </c>
      <c r="Y30" s="24"/>
    </row>
    <row r="31" spans="2:25" ht="15" customHeight="1" x14ac:dyDescent="0.2">
      <c r="B31" s="31">
        <v>41913</v>
      </c>
      <c r="C31" s="25"/>
      <c r="D31" s="26"/>
      <c r="E31" s="26"/>
      <c r="F31" s="16">
        <v>13.173999999999999</v>
      </c>
      <c r="G31" s="16">
        <v>10.215</v>
      </c>
      <c r="H31" s="16">
        <v>10.483000000000001</v>
      </c>
      <c r="I31" s="17">
        <v>102.928</v>
      </c>
      <c r="J31" s="58">
        <v>943</v>
      </c>
      <c r="K31" s="18">
        <f>IF(ISBLANK(J31),"",(J31-$J$8))</f>
        <v>335</v>
      </c>
      <c r="L31" s="19" t="str">
        <f t="shared" si="16"/>
        <v/>
      </c>
      <c r="M31" s="19" t="str">
        <f t="shared" si="17"/>
        <v/>
      </c>
      <c r="N31" s="19" t="str">
        <f t="shared" si="3"/>
        <v/>
      </c>
      <c r="O31" s="19">
        <f t="shared" si="13"/>
        <v>-2.0000000000006679</v>
      </c>
      <c r="P31" s="19">
        <f t="shared" si="14"/>
        <v>0</v>
      </c>
      <c r="Q31" s="19">
        <f t="shared" si="15"/>
        <v>-0.9999999999985576</v>
      </c>
      <c r="R31" s="19">
        <f t="shared" si="4"/>
        <v>-1.0000000000047748</v>
      </c>
      <c r="S31" s="27" t="str">
        <f t="shared" si="6"/>
        <v/>
      </c>
      <c r="T31" s="28" t="str">
        <f t="shared" si="7"/>
        <v/>
      </c>
      <c r="U31" s="28" t="str">
        <f t="shared" si="8"/>
        <v/>
      </c>
      <c r="V31" s="28">
        <f t="shared" si="9"/>
        <v>2.9411764705866053E-2</v>
      </c>
      <c r="W31" s="28">
        <f t="shared" si="10"/>
        <v>0</v>
      </c>
      <c r="X31" s="29">
        <f t="shared" si="11"/>
        <v>0</v>
      </c>
      <c r="Y31" s="24"/>
    </row>
    <row r="32" spans="2:25" ht="15" customHeight="1" x14ac:dyDescent="0.2">
      <c r="B32" s="31">
        <v>42032</v>
      </c>
      <c r="C32" s="25"/>
      <c r="D32" s="26"/>
      <c r="E32" s="26"/>
      <c r="F32" s="16">
        <v>13.173999999999999</v>
      </c>
      <c r="G32" s="16">
        <v>10.215</v>
      </c>
      <c r="H32" s="16">
        <v>10.483000000000001</v>
      </c>
      <c r="I32" s="17">
        <v>102.92700000000001</v>
      </c>
      <c r="J32" s="58">
        <v>943</v>
      </c>
      <c r="K32" s="18">
        <f>IF(ISBLANK(J32),"",(J32-$J$8))</f>
        <v>335</v>
      </c>
      <c r="L32" s="19" t="str">
        <f t="shared" si="16"/>
        <v/>
      </c>
      <c r="M32" s="19" t="str">
        <f t="shared" si="17"/>
        <v/>
      </c>
      <c r="N32" s="19" t="str">
        <f t="shared" si="3"/>
        <v/>
      </c>
      <c r="O32" s="19">
        <f t="shared" si="13"/>
        <v>-2.0000000000006679</v>
      </c>
      <c r="P32" s="19">
        <f t="shared" si="14"/>
        <v>0</v>
      </c>
      <c r="Q32" s="19">
        <f t="shared" si="15"/>
        <v>-0.9999999999985576</v>
      </c>
      <c r="R32" s="19">
        <f t="shared" si="4"/>
        <v>-1.9999999999953388</v>
      </c>
      <c r="S32" s="27" t="str">
        <f t="shared" si="6"/>
        <v/>
      </c>
      <c r="T32" s="28" t="str">
        <f t="shared" si="7"/>
        <v/>
      </c>
      <c r="U32" s="28" t="str">
        <f t="shared" si="8"/>
        <v/>
      </c>
      <c r="V32" s="28">
        <f t="shared" si="9"/>
        <v>0</v>
      </c>
      <c r="W32" s="28">
        <f t="shared" si="10"/>
        <v>0</v>
      </c>
      <c r="X32" s="29">
        <f t="shared" si="11"/>
        <v>0</v>
      </c>
      <c r="Y32" s="24"/>
    </row>
    <row r="33" spans="2:25" ht="15" customHeight="1" x14ac:dyDescent="0.2">
      <c r="B33" s="31">
        <v>42121</v>
      </c>
      <c r="C33" s="25"/>
      <c r="D33" s="26"/>
      <c r="E33" s="26"/>
      <c r="F33" s="16">
        <v>13.173999999999999</v>
      </c>
      <c r="G33" s="16">
        <v>10.215</v>
      </c>
      <c r="H33" s="16">
        <v>10.483000000000001</v>
      </c>
      <c r="I33" s="17">
        <v>102.928</v>
      </c>
      <c r="J33" s="58">
        <v>943</v>
      </c>
      <c r="K33" s="18">
        <f>IF(ISBLANK(J33),"",(J33-$J$8))</f>
        <v>335</v>
      </c>
      <c r="L33" s="19" t="str">
        <f t="shared" si="16"/>
        <v/>
      </c>
      <c r="M33" s="19" t="str">
        <f t="shared" si="17"/>
        <v/>
      </c>
      <c r="N33" s="19" t="str">
        <f t="shared" si="3"/>
        <v/>
      </c>
      <c r="O33" s="19">
        <f t="shared" si="13"/>
        <v>-2.0000000000006679</v>
      </c>
      <c r="P33" s="19">
        <f t="shared" si="14"/>
        <v>0</v>
      </c>
      <c r="Q33" s="19">
        <f t="shared" si="15"/>
        <v>-0.9999999999985576</v>
      </c>
      <c r="R33" s="19">
        <f t="shared" si="4"/>
        <v>-1.0000000000047748</v>
      </c>
      <c r="S33" s="27" t="str">
        <f t="shared" si="6"/>
        <v/>
      </c>
      <c r="T33" s="28" t="str">
        <f t="shared" si="7"/>
        <v/>
      </c>
      <c r="U33" s="28" t="str">
        <f t="shared" si="8"/>
        <v/>
      </c>
      <c r="V33" s="28">
        <f t="shared" si="9"/>
        <v>0</v>
      </c>
      <c r="W33" s="28">
        <f t="shared" si="10"/>
        <v>0</v>
      </c>
      <c r="X33" s="29">
        <f t="shared" si="11"/>
        <v>0</v>
      </c>
      <c r="Y33" s="24"/>
    </row>
    <row r="34" spans="2:25" ht="15" customHeight="1" x14ac:dyDescent="0.2">
      <c r="B34" s="31">
        <v>42222</v>
      </c>
      <c r="C34" s="25"/>
      <c r="D34" s="26"/>
      <c r="E34" s="26"/>
      <c r="F34" s="16">
        <v>13.175000000000001</v>
      </c>
      <c r="G34" s="16">
        <v>10.217000000000001</v>
      </c>
      <c r="H34" s="16">
        <v>10.484</v>
      </c>
      <c r="I34" s="17">
        <v>102.929</v>
      </c>
      <c r="J34" s="32">
        <v>1278</v>
      </c>
      <c r="K34" s="18">
        <f>IF(ISBLANK(J34),"",(J34-$J$8))</f>
        <v>670</v>
      </c>
      <c r="L34" s="19" t="str">
        <f t="shared" si="16"/>
        <v/>
      </c>
      <c r="M34" s="19" t="str">
        <f t="shared" si="17"/>
        <v/>
      </c>
      <c r="N34" s="19" t="str">
        <f t="shared" si="3"/>
        <v/>
      </c>
      <c r="O34" s="19">
        <f t="shared" si="13"/>
        <v>-0.99999999999944578</v>
      </c>
      <c r="P34" s="19">
        <f t="shared" si="14"/>
        <v>2.0000000000006679</v>
      </c>
      <c r="Q34" s="19">
        <f t="shared" si="15"/>
        <v>8.8817841970012523E-13</v>
      </c>
      <c r="R34" s="19">
        <f t="shared" si="4"/>
        <v>0</v>
      </c>
      <c r="S34" s="27" t="str">
        <f t="shared" si="6"/>
        <v/>
      </c>
      <c r="T34" s="28" t="str">
        <f t="shared" si="7"/>
        <v/>
      </c>
      <c r="U34" s="28" t="str">
        <f t="shared" si="8"/>
        <v/>
      </c>
      <c r="V34" s="28">
        <f t="shared" si="9"/>
        <v>9.9009900990220008E-3</v>
      </c>
      <c r="W34" s="28">
        <f t="shared" si="10"/>
        <v>1.9801980198026415E-2</v>
      </c>
      <c r="X34" s="29">
        <f t="shared" si="11"/>
        <v>9.9009900990044142E-3</v>
      </c>
      <c r="Y34" s="24"/>
    </row>
    <row r="35" spans="2:25" ht="15" customHeight="1" x14ac:dyDescent="0.2">
      <c r="B35" s="31">
        <v>42326</v>
      </c>
      <c r="C35" s="25"/>
      <c r="D35" s="26"/>
      <c r="E35" s="26"/>
      <c r="F35" s="16">
        <v>13.173</v>
      </c>
      <c r="G35" s="16">
        <v>10.217000000000001</v>
      </c>
      <c r="H35" s="16">
        <v>10.483000000000001</v>
      </c>
      <c r="I35" s="17">
        <v>102.928</v>
      </c>
      <c r="J35" s="32">
        <v>2248</v>
      </c>
      <c r="K35" s="18">
        <f t="shared" ref="K35:K37" si="18">IF(ISBLANK(J35),"",(J35-$J$8))</f>
        <v>1640</v>
      </c>
      <c r="L35" s="19" t="str">
        <f t="shared" si="16"/>
        <v/>
      </c>
      <c r="M35" s="19" t="str">
        <f t="shared" si="17"/>
        <v/>
      </c>
      <c r="N35" s="19" t="str">
        <f t="shared" si="3"/>
        <v/>
      </c>
      <c r="O35" s="19">
        <f t="shared" si="13"/>
        <v>-3.0000000000001137</v>
      </c>
      <c r="P35" s="19">
        <f t="shared" si="14"/>
        <v>2.0000000000006679</v>
      </c>
      <c r="Q35" s="19">
        <f t="shared" si="15"/>
        <v>-0.9999999999985576</v>
      </c>
      <c r="R35" s="19">
        <f t="shared" si="4"/>
        <v>-1.0000000000047748</v>
      </c>
      <c r="S35" s="27" t="str">
        <f t="shared" si="6"/>
        <v/>
      </c>
      <c r="T35" s="28" t="str">
        <f t="shared" si="7"/>
        <v/>
      </c>
      <c r="U35" s="28" t="str">
        <f t="shared" si="8"/>
        <v/>
      </c>
      <c r="V35" s="28">
        <f t="shared" si="9"/>
        <v>-1.9230769230775654E-2</v>
      </c>
      <c r="W35" s="28">
        <f t="shared" si="10"/>
        <v>0</v>
      </c>
      <c r="X35" s="29">
        <f t="shared" si="11"/>
        <v>-9.6153846153792868E-3</v>
      </c>
      <c r="Y35" s="24"/>
    </row>
    <row r="36" spans="2:25" ht="15" customHeight="1" x14ac:dyDescent="0.2">
      <c r="B36" s="31">
        <v>42416</v>
      </c>
      <c r="C36" s="25">
        <v>12.492000000000001</v>
      </c>
      <c r="D36" s="26">
        <v>7.4020000000000001</v>
      </c>
      <c r="E36" s="26">
        <v>7.6520000000000001</v>
      </c>
      <c r="F36" s="16">
        <v>13.173999999999999</v>
      </c>
      <c r="G36" s="16">
        <v>10.215999999999999</v>
      </c>
      <c r="H36" s="16">
        <v>10.483000000000001</v>
      </c>
      <c r="I36" s="17">
        <v>102.928</v>
      </c>
      <c r="J36" s="58">
        <v>2519</v>
      </c>
      <c r="K36" s="18">
        <f t="shared" si="18"/>
        <v>1911</v>
      </c>
      <c r="L36" s="19"/>
      <c r="M36" s="19"/>
      <c r="N36" s="19"/>
      <c r="O36" s="19">
        <f t="shared" si="13"/>
        <v>-2.0000000000006679</v>
      </c>
      <c r="P36" s="19">
        <f t="shared" si="14"/>
        <v>0.99999999999944578</v>
      </c>
      <c r="Q36" s="19">
        <f t="shared" si="15"/>
        <v>-0.9999999999985576</v>
      </c>
      <c r="R36" s="19">
        <f t="shared" si="4"/>
        <v>-1.0000000000047748</v>
      </c>
      <c r="S36" s="27"/>
      <c r="T36" s="28"/>
      <c r="U36" s="28"/>
      <c r="V36" s="28">
        <f t="shared" si="9"/>
        <v>1.1111111111104953E-2</v>
      </c>
      <c r="W36" s="28">
        <f t="shared" si="10"/>
        <v>-1.1111111111124691E-2</v>
      </c>
      <c r="X36" s="29">
        <f t="shared" si="11"/>
        <v>0</v>
      </c>
      <c r="Y36" s="24"/>
    </row>
    <row r="37" spans="2:25" ht="15" customHeight="1" x14ac:dyDescent="0.2">
      <c r="B37" s="31">
        <v>42530</v>
      </c>
      <c r="C37" s="25"/>
      <c r="D37" s="26"/>
      <c r="E37" s="26"/>
      <c r="F37" s="16">
        <v>13.173</v>
      </c>
      <c r="G37" s="16">
        <v>10.215999999999999</v>
      </c>
      <c r="H37" s="16">
        <v>10.484</v>
      </c>
      <c r="I37" s="17">
        <v>102.928</v>
      </c>
      <c r="J37" s="58">
        <v>2608</v>
      </c>
      <c r="K37" s="18">
        <f t="shared" si="18"/>
        <v>2000</v>
      </c>
      <c r="L37" s="19" t="str">
        <f t="shared" si="16"/>
        <v/>
      </c>
      <c r="M37" s="19" t="str">
        <f t="shared" si="17"/>
        <v/>
      </c>
      <c r="N37" s="19" t="str">
        <f t="shared" si="3"/>
        <v/>
      </c>
      <c r="O37" s="19">
        <f t="shared" si="13"/>
        <v>-3.0000000000001137</v>
      </c>
      <c r="P37" s="19">
        <f t="shared" si="14"/>
        <v>0.99999999999944578</v>
      </c>
      <c r="Q37" s="19">
        <f t="shared" si="15"/>
        <v>8.8817841970012523E-13</v>
      </c>
      <c r="R37" s="19">
        <f t="shared" si="4"/>
        <v>-1.0000000000047748</v>
      </c>
      <c r="S37" s="27" t="str">
        <f t="shared" si="6"/>
        <v/>
      </c>
      <c r="T37" s="28" t="str">
        <f t="shared" si="7"/>
        <v/>
      </c>
      <c r="U37" s="28" t="str">
        <f t="shared" si="8"/>
        <v/>
      </c>
      <c r="V37" s="28">
        <f t="shared" si="9"/>
        <v>-8.7719298245565423E-3</v>
      </c>
      <c r="W37" s="28">
        <f t="shared" si="10"/>
        <v>0</v>
      </c>
      <c r="X37" s="29">
        <f t="shared" si="11"/>
        <v>8.7719298245565423E-3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16"/>
        <v/>
      </c>
      <c r="M38" s="19" t="str">
        <f t="shared" si="17"/>
        <v/>
      </c>
      <c r="N38" s="19" t="str">
        <f t="shared" si="3"/>
        <v/>
      </c>
      <c r="O38" s="19" t="str">
        <f t="shared" si="13"/>
        <v/>
      </c>
      <c r="P38" s="19" t="str">
        <f t="shared" si="14"/>
        <v/>
      </c>
      <c r="Q38" s="19" t="str">
        <f t="shared" si="15"/>
        <v/>
      </c>
      <c r="R38" s="19" t="str">
        <f t="shared" si="4"/>
        <v/>
      </c>
      <c r="S38" s="27" t="str">
        <f t="shared" si="6"/>
        <v/>
      </c>
      <c r="T38" s="28" t="str">
        <f t="shared" si="7"/>
        <v/>
      </c>
      <c r="U38" s="28" t="str">
        <f t="shared" si="8"/>
        <v/>
      </c>
      <c r="V38" s="28" t="str">
        <f t="shared" si="9"/>
        <v/>
      </c>
      <c r="W38" s="28" t="str">
        <f t="shared" si="10"/>
        <v/>
      </c>
      <c r="X38" s="29" t="str">
        <f t="shared" si="11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16"/>
        <v/>
      </c>
      <c r="M39" s="19" t="str">
        <f t="shared" si="17"/>
        <v/>
      </c>
      <c r="N39" s="19" t="str">
        <f t="shared" si="3"/>
        <v/>
      </c>
      <c r="O39" s="19" t="str">
        <f t="shared" si="13"/>
        <v/>
      </c>
      <c r="P39" s="19" t="str">
        <f t="shared" si="14"/>
        <v/>
      </c>
      <c r="Q39" s="19" t="str">
        <f t="shared" si="15"/>
        <v/>
      </c>
      <c r="R39" s="19" t="str">
        <f t="shared" si="4"/>
        <v/>
      </c>
      <c r="S39" s="27" t="str">
        <f t="shared" si="6"/>
        <v/>
      </c>
      <c r="T39" s="28" t="str">
        <f t="shared" si="7"/>
        <v/>
      </c>
      <c r="U39" s="28" t="str">
        <f t="shared" si="8"/>
        <v/>
      </c>
      <c r="V39" s="28" t="str">
        <f t="shared" si="9"/>
        <v/>
      </c>
      <c r="W39" s="28" t="str">
        <f t="shared" si="10"/>
        <v/>
      </c>
      <c r="X39" s="29" t="str">
        <f t="shared" si="11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16"/>
        <v/>
      </c>
      <c r="M40" s="19" t="str">
        <f t="shared" si="17"/>
        <v/>
      </c>
      <c r="N40" s="19" t="str">
        <f t="shared" si="3"/>
        <v/>
      </c>
      <c r="O40" s="19" t="str">
        <f t="shared" si="13"/>
        <v/>
      </c>
      <c r="P40" s="19" t="str">
        <f t="shared" si="14"/>
        <v/>
      </c>
      <c r="Q40" s="19" t="str">
        <f t="shared" si="15"/>
        <v/>
      </c>
      <c r="R40" s="19" t="str">
        <f t="shared" si="4"/>
        <v/>
      </c>
      <c r="S40" s="27" t="str">
        <f t="shared" si="6"/>
        <v/>
      </c>
      <c r="T40" s="28" t="str">
        <f t="shared" si="7"/>
        <v/>
      </c>
      <c r="U40" s="28" t="str">
        <f t="shared" si="8"/>
        <v/>
      </c>
      <c r="V40" s="28" t="str">
        <f t="shared" si="9"/>
        <v/>
      </c>
      <c r="W40" s="28" t="str">
        <f t="shared" si="10"/>
        <v/>
      </c>
      <c r="X40" s="29" t="str">
        <f t="shared" si="11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16"/>
        <v/>
      </c>
      <c r="M41" s="19" t="str">
        <f t="shared" si="17"/>
        <v/>
      </c>
      <c r="N41" s="19" t="str">
        <f t="shared" si="3"/>
        <v/>
      </c>
      <c r="O41" s="19" t="str">
        <f t="shared" si="13"/>
        <v/>
      </c>
      <c r="P41" s="19" t="str">
        <f t="shared" si="14"/>
        <v/>
      </c>
      <c r="Q41" s="19" t="str">
        <f t="shared" si="15"/>
        <v/>
      </c>
      <c r="R41" s="19" t="str">
        <f t="shared" si="4"/>
        <v/>
      </c>
      <c r="S41" s="27" t="str">
        <f t="shared" si="6"/>
        <v/>
      </c>
      <c r="T41" s="28" t="str">
        <f t="shared" si="7"/>
        <v/>
      </c>
      <c r="U41" s="28" t="str">
        <f t="shared" si="8"/>
        <v/>
      </c>
      <c r="V41" s="28" t="str">
        <f t="shared" si="9"/>
        <v/>
      </c>
      <c r="W41" s="28" t="str">
        <f t="shared" si="10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16"/>
        <v/>
      </c>
      <c r="M42" s="19" t="str">
        <f t="shared" si="17"/>
        <v/>
      </c>
      <c r="N42" s="19" t="str">
        <f t="shared" si="3"/>
        <v/>
      </c>
      <c r="O42" s="19" t="str">
        <f t="shared" si="13"/>
        <v/>
      </c>
      <c r="P42" s="19" t="str">
        <f t="shared" si="14"/>
        <v/>
      </c>
      <c r="Q42" s="19" t="str">
        <f t="shared" si="15"/>
        <v/>
      </c>
      <c r="R42" s="19" t="str">
        <f t="shared" si="4"/>
        <v/>
      </c>
      <c r="S42" s="27" t="str">
        <f t="shared" si="6"/>
        <v/>
      </c>
      <c r="T42" s="28" t="str">
        <f t="shared" si="7"/>
        <v/>
      </c>
      <c r="U42" s="28" t="str">
        <f t="shared" si="8"/>
        <v/>
      </c>
      <c r="V42" s="28" t="str">
        <f t="shared" si="9"/>
        <v/>
      </c>
      <c r="W42" s="28" t="str">
        <f t="shared" si="10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16"/>
        <v/>
      </c>
      <c r="M43" s="19" t="str">
        <f t="shared" si="17"/>
        <v/>
      </c>
      <c r="N43" s="19" t="str">
        <f t="shared" si="3"/>
        <v/>
      </c>
      <c r="O43" s="19" t="str">
        <f t="shared" si="13"/>
        <v/>
      </c>
      <c r="P43" s="19" t="str">
        <f t="shared" si="14"/>
        <v/>
      </c>
      <c r="Q43" s="19" t="str">
        <f t="shared" si="15"/>
        <v/>
      </c>
      <c r="R43" s="19" t="str">
        <f t="shared" si="4"/>
        <v/>
      </c>
      <c r="S43" s="27" t="str">
        <f t="shared" si="6"/>
        <v/>
      </c>
      <c r="T43" s="28" t="str">
        <f t="shared" si="7"/>
        <v/>
      </c>
      <c r="U43" s="28" t="str">
        <f t="shared" si="8"/>
        <v/>
      </c>
      <c r="V43" s="28" t="str">
        <f t="shared" si="9"/>
        <v/>
      </c>
      <c r="W43" s="28" t="str">
        <f t="shared" si="10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6"/>
        <v/>
      </c>
      <c r="M44" s="19" t="str">
        <f t="shared" si="17"/>
        <v/>
      </c>
      <c r="N44" s="19" t="str">
        <f t="shared" si="3"/>
        <v/>
      </c>
      <c r="O44" s="19" t="str">
        <f t="shared" si="13"/>
        <v/>
      </c>
      <c r="P44" s="19" t="str">
        <f t="shared" si="14"/>
        <v/>
      </c>
      <c r="Q44" s="19" t="str">
        <f t="shared" si="15"/>
        <v/>
      </c>
      <c r="R44" s="19" t="str">
        <f t="shared" si="4"/>
        <v/>
      </c>
      <c r="S44" s="27" t="str">
        <f t="shared" si="6"/>
        <v/>
      </c>
      <c r="T44" s="28" t="str">
        <f t="shared" si="7"/>
        <v/>
      </c>
      <c r="U44" s="28" t="str">
        <f t="shared" si="8"/>
        <v/>
      </c>
      <c r="V44" s="28" t="str">
        <f t="shared" si="9"/>
        <v/>
      </c>
      <c r="W44" s="28" t="str">
        <f t="shared" si="10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6"/>
        <v/>
      </c>
      <c r="M45" s="19" t="str">
        <f t="shared" si="17"/>
        <v/>
      </c>
      <c r="N45" s="19" t="str">
        <f t="shared" si="3"/>
        <v/>
      </c>
      <c r="O45" s="19" t="str">
        <f t="shared" si="13"/>
        <v/>
      </c>
      <c r="P45" s="19" t="str">
        <f t="shared" si="14"/>
        <v/>
      </c>
      <c r="Q45" s="19" t="str">
        <f t="shared" si="15"/>
        <v/>
      </c>
      <c r="R45" s="19" t="str">
        <f t="shared" si="4"/>
        <v/>
      </c>
      <c r="S45" s="27" t="str">
        <f t="shared" si="6"/>
        <v/>
      </c>
      <c r="T45" s="28" t="str">
        <f t="shared" si="7"/>
        <v/>
      </c>
      <c r="U45" s="28" t="str">
        <f t="shared" si="8"/>
        <v/>
      </c>
      <c r="V45" s="28" t="str">
        <f t="shared" si="9"/>
        <v/>
      </c>
      <c r="W45" s="28" t="str">
        <f t="shared" si="10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6"/>
        <v/>
      </c>
      <c r="M46" s="19" t="str">
        <f t="shared" si="17"/>
        <v/>
      </c>
      <c r="N46" s="19" t="str">
        <f t="shared" si="3"/>
        <v/>
      </c>
      <c r="O46" s="19" t="str">
        <f t="shared" si="13"/>
        <v/>
      </c>
      <c r="P46" s="19" t="str">
        <f t="shared" si="14"/>
        <v/>
      </c>
      <c r="Q46" s="19" t="str">
        <f t="shared" si="15"/>
        <v/>
      </c>
      <c r="R46" s="19" t="str">
        <f t="shared" si="4"/>
        <v/>
      </c>
      <c r="S46" s="27" t="str">
        <f t="shared" si="6"/>
        <v/>
      </c>
      <c r="T46" s="28" t="str">
        <f t="shared" si="7"/>
        <v/>
      </c>
      <c r="U46" s="28" t="str">
        <f t="shared" si="8"/>
        <v/>
      </c>
      <c r="V46" s="28" t="str">
        <f t="shared" si="9"/>
        <v/>
      </c>
      <c r="W46" s="28" t="str">
        <f t="shared" si="10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6"/>
        <v/>
      </c>
      <c r="M47" s="19" t="str">
        <f t="shared" si="17"/>
        <v/>
      </c>
      <c r="N47" s="19" t="str">
        <f t="shared" si="3"/>
        <v/>
      </c>
      <c r="O47" s="19" t="str">
        <f t="shared" si="13"/>
        <v/>
      </c>
      <c r="P47" s="19" t="str">
        <f t="shared" si="14"/>
        <v/>
      </c>
      <c r="Q47" s="19" t="str">
        <f t="shared" si="15"/>
        <v/>
      </c>
      <c r="R47" s="19" t="str">
        <f t="shared" si="4"/>
        <v/>
      </c>
      <c r="S47" s="27" t="str">
        <f t="shared" si="6"/>
        <v/>
      </c>
      <c r="T47" s="28" t="str">
        <f t="shared" si="7"/>
        <v/>
      </c>
      <c r="U47" s="28" t="str">
        <f t="shared" si="8"/>
        <v/>
      </c>
      <c r="V47" s="28" t="str">
        <f t="shared" si="9"/>
        <v/>
      </c>
      <c r="W47" s="28" t="str">
        <f t="shared" si="10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6"/>
        <v/>
      </c>
      <c r="M48" s="19" t="str">
        <f t="shared" si="17"/>
        <v/>
      </c>
      <c r="N48" s="19" t="str">
        <f t="shared" ref="N48:N79" si="19">IF(ISBLANK(E48),"",(E48-E$16)*1000)</f>
        <v/>
      </c>
      <c r="O48" s="19" t="str">
        <f t="shared" si="13"/>
        <v/>
      </c>
      <c r="P48" s="19" t="str">
        <f t="shared" si="14"/>
        <v/>
      </c>
      <c r="Q48" s="19" t="str">
        <f t="shared" si="15"/>
        <v/>
      </c>
      <c r="R48" s="19" t="str">
        <f t="shared" ref="R48:R79" si="20">IF(ISBLANK(I48),"",(I48-I$16)*1000)</f>
        <v/>
      </c>
      <c r="S48" s="27" t="str">
        <f t="shared" si="6"/>
        <v/>
      </c>
      <c r="T48" s="28" t="str">
        <f t="shared" si="7"/>
        <v/>
      </c>
      <c r="U48" s="28" t="str">
        <f t="shared" si="8"/>
        <v/>
      </c>
      <c r="V48" s="28" t="str">
        <f t="shared" si="9"/>
        <v/>
      </c>
      <c r="W48" s="28" t="str">
        <f t="shared" si="10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6"/>
        <v/>
      </c>
      <c r="M49" s="19" t="str">
        <f t="shared" si="17"/>
        <v/>
      </c>
      <c r="N49" s="19" t="str">
        <f t="shared" si="19"/>
        <v/>
      </c>
      <c r="O49" s="19" t="str">
        <f t="shared" si="13"/>
        <v/>
      </c>
      <c r="P49" s="19" t="str">
        <f t="shared" si="14"/>
        <v/>
      </c>
      <c r="Q49" s="19" t="str">
        <f t="shared" si="15"/>
        <v/>
      </c>
      <c r="R49" s="19" t="str">
        <f t="shared" si="20"/>
        <v/>
      </c>
      <c r="S49" s="27" t="str">
        <f t="shared" ref="S49:S80" si="21">IF(C49="","",((C49-C48)*1000)/($B49-$B48))</f>
        <v/>
      </c>
      <c r="T49" s="28" t="str">
        <f t="shared" ref="T49:T80" si="22">IF(D49="","",((D49-D48)*1000)/($B49-$B48))</f>
        <v/>
      </c>
      <c r="U49" s="28" t="str">
        <f t="shared" ref="U49:U80" si="23">IF(E49="","",((E49-E48)*1000)/($B49-$B48))</f>
        <v/>
      </c>
      <c r="V49" s="28" t="str">
        <f t="shared" ref="V49:V80" si="24">IF(F49="","",((F49-F48)*1000)/($B49-$B48))</f>
        <v/>
      </c>
      <c r="W49" s="28" t="str">
        <f t="shared" ref="W49:W80" si="25">IF(G49="","",((G49-G48)*1000)/($B49-$B48))</f>
        <v/>
      </c>
      <c r="X49" s="29" t="str">
        <f t="shared" ref="X49:X80" si="26">IF(H49="","",((H49-H48)*1000)/($B49-$B48))</f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6"/>
        <v/>
      </c>
      <c r="M50" s="19" t="str">
        <f t="shared" si="17"/>
        <v/>
      </c>
      <c r="N50" s="19" t="str">
        <f t="shared" si="19"/>
        <v/>
      </c>
      <c r="O50" s="19" t="str">
        <f t="shared" si="13"/>
        <v/>
      </c>
      <c r="P50" s="19" t="str">
        <f t="shared" si="14"/>
        <v/>
      </c>
      <c r="Q50" s="19" t="str">
        <f t="shared" si="15"/>
        <v/>
      </c>
      <c r="R50" s="19" t="str">
        <f t="shared" si="20"/>
        <v/>
      </c>
      <c r="S50" s="27" t="str">
        <f t="shared" si="21"/>
        <v/>
      </c>
      <c r="T50" s="28" t="str">
        <f t="shared" si="22"/>
        <v/>
      </c>
      <c r="U50" s="28" t="str">
        <f t="shared" si="23"/>
        <v/>
      </c>
      <c r="V50" s="28" t="str">
        <f t="shared" si="24"/>
        <v/>
      </c>
      <c r="W50" s="28" t="str">
        <f t="shared" si="25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6"/>
        <v/>
      </c>
      <c r="M51" s="19" t="str">
        <f t="shared" si="17"/>
        <v/>
      </c>
      <c r="N51" s="19" t="str">
        <f t="shared" si="19"/>
        <v/>
      </c>
      <c r="O51" s="19" t="str">
        <f t="shared" si="13"/>
        <v/>
      </c>
      <c r="P51" s="19" t="str">
        <f t="shared" si="14"/>
        <v/>
      </c>
      <c r="Q51" s="19" t="str">
        <f t="shared" si="15"/>
        <v/>
      </c>
      <c r="R51" s="19" t="str">
        <f t="shared" si="20"/>
        <v/>
      </c>
      <c r="S51" s="27" t="str">
        <f t="shared" si="21"/>
        <v/>
      </c>
      <c r="T51" s="28" t="str">
        <f t="shared" si="22"/>
        <v/>
      </c>
      <c r="U51" s="28" t="str">
        <f t="shared" si="23"/>
        <v/>
      </c>
      <c r="V51" s="28" t="str">
        <f t="shared" si="24"/>
        <v/>
      </c>
      <c r="W51" s="28" t="str">
        <f t="shared" si="25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6"/>
        <v/>
      </c>
      <c r="M52" s="19" t="str">
        <f t="shared" si="17"/>
        <v/>
      </c>
      <c r="N52" s="19" t="str">
        <f t="shared" si="19"/>
        <v/>
      </c>
      <c r="O52" s="19" t="str">
        <f t="shared" si="13"/>
        <v/>
      </c>
      <c r="P52" s="19" t="str">
        <f t="shared" si="14"/>
        <v/>
      </c>
      <c r="Q52" s="19" t="str">
        <f t="shared" si="15"/>
        <v/>
      </c>
      <c r="R52" s="19" t="str">
        <f t="shared" si="20"/>
        <v/>
      </c>
      <c r="S52" s="27" t="str">
        <f t="shared" si="21"/>
        <v/>
      </c>
      <c r="T52" s="28" t="str">
        <f t="shared" si="22"/>
        <v/>
      </c>
      <c r="U52" s="28" t="str">
        <f t="shared" si="23"/>
        <v/>
      </c>
      <c r="V52" s="28" t="str">
        <f t="shared" si="24"/>
        <v/>
      </c>
      <c r="W52" s="28" t="str">
        <f t="shared" si="25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6"/>
        <v/>
      </c>
      <c r="M53" s="19" t="str">
        <f t="shared" si="17"/>
        <v/>
      </c>
      <c r="N53" s="19" t="str">
        <f t="shared" si="19"/>
        <v/>
      </c>
      <c r="O53" s="19" t="str">
        <f t="shared" si="13"/>
        <v/>
      </c>
      <c r="P53" s="19" t="str">
        <f t="shared" si="14"/>
        <v/>
      </c>
      <c r="Q53" s="19" t="str">
        <f t="shared" si="15"/>
        <v/>
      </c>
      <c r="R53" s="19" t="str">
        <f t="shared" si="20"/>
        <v/>
      </c>
      <c r="S53" s="27" t="str">
        <f t="shared" si="21"/>
        <v/>
      </c>
      <c r="T53" s="28" t="str">
        <f t="shared" si="22"/>
        <v/>
      </c>
      <c r="U53" s="28" t="str">
        <f t="shared" si="23"/>
        <v/>
      </c>
      <c r="V53" s="28" t="str">
        <f t="shared" si="24"/>
        <v/>
      </c>
      <c r="W53" s="28" t="str">
        <f t="shared" si="25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6"/>
        <v/>
      </c>
      <c r="M54" s="19" t="str">
        <f t="shared" si="17"/>
        <v/>
      </c>
      <c r="N54" s="19" t="str">
        <f t="shared" si="19"/>
        <v/>
      </c>
      <c r="O54" s="19" t="str">
        <f t="shared" si="13"/>
        <v/>
      </c>
      <c r="P54" s="19" t="str">
        <f t="shared" si="14"/>
        <v/>
      </c>
      <c r="Q54" s="19" t="str">
        <f t="shared" si="15"/>
        <v/>
      </c>
      <c r="R54" s="19" t="str">
        <f t="shared" si="20"/>
        <v/>
      </c>
      <c r="S54" s="27" t="str">
        <f t="shared" si="21"/>
        <v/>
      </c>
      <c r="T54" s="28" t="str">
        <f t="shared" si="22"/>
        <v/>
      </c>
      <c r="U54" s="28" t="str">
        <f t="shared" si="23"/>
        <v/>
      </c>
      <c r="V54" s="28" t="str">
        <f t="shared" si="24"/>
        <v/>
      </c>
      <c r="W54" s="28" t="str">
        <f t="shared" si="25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6"/>
        <v/>
      </c>
      <c r="M55" s="19" t="str">
        <f t="shared" si="17"/>
        <v/>
      </c>
      <c r="N55" s="19" t="str">
        <f t="shared" si="19"/>
        <v/>
      </c>
      <c r="O55" s="19" t="str">
        <f t="shared" si="13"/>
        <v/>
      </c>
      <c r="P55" s="19" t="str">
        <f t="shared" si="14"/>
        <v/>
      </c>
      <c r="Q55" s="19" t="str">
        <f t="shared" si="15"/>
        <v/>
      </c>
      <c r="R55" s="19" t="str">
        <f t="shared" si="20"/>
        <v/>
      </c>
      <c r="S55" s="27" t="str">
        <f t="shared" si="21"/>
        <v/>
      </c>
      <c r="T55" s="28" t="str">
        <f t="shared" si="22"/>
        <v/>
      </c>
      <c r="U55" s="28" t="str">
        <f t="shared" si="23"/>
        <v/>
      </c>
      <c r="V55" s="28" t="str">
        <f t="shared" si="24"/>
        <v/>
      </c>
      <c r="W55" s="28" t="str">
        <f t="shared" si="25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6"/>
        <v/>
      </c>
      <c r="M56" s="19" t="str">
        <f t="shared" si="17"/>
        <v/>
      </c>
      <c r="N56" s="19" t="str">
        <f t="shared" si="19"/>
        <v/>
      </c>
      <c r="O56" s="19" t="str">
        <f t="shared" si="13"/>
        <v/>
      </c>
      <c r="P56" s="19" t="str">
        <f t="shared" si="14"/>
        <v/>
      </c>
      <c r="Q56" s="19" t="str">
        <f t="shared" si="15"/>
        <v/>
      </c>
      <c r="R56" s="19" t="str">
        <f t="shared" si="20"/>
        <v/>
      </c>
      <c r="S56" s="27" t="str">
        <f t="shared" si="21"/>
        <v/>
      </c>
      <c r="T56" s="28" t="str">
        <f t="shared" si="22"/>
        <v/>
      </c>
      <c r="U56" s="28" t="str">
        <f t="shared" si="23"/>
        <v/>
      </c>
      <c r="V56" s="28" t="str">
        <f t="shared" si="24"/>
        <v/>
      </c>
      <c r="W56" s="28" t="str">
        <f t="shared" si="25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6"/>
        <v/>
      </c>
      <c r="M57" s="19" t="str">
        <f t="shared" si="17"/>
        <v/>
      </c>
      <c r="N57" s="19" t="str">
        <f t="shared" si="19"/>
        <v/>
      </c>
      <c r="O57" s="19" t="str">
        <f t="shared" si="13"/>
        <v/>
      </c>
      <c r="P57" s="19" t="str">
        <f t="shared" si="14"/>
        <v/>
      </c>
      <c r="Q57" s="19" t="str">
        <f t="shared" si="15"/>
        <v/>
      </c>
      <c r="R57" s="19" t="str">
        <f t="shared" si="20"/>
        <v/>
      </c>
      <c r="S57" s="27" t="str">
        <f t="shared" si="21"/>
        <v/>
      </c>
      <c r="T57" s="28" t="str">
        <f t="shared" si="22"/>
        <v/>
      </c>
      <c r="U57" s="28" t="str">
        <f t="shared" si="23"/>
        <v/>
      </c>
      <c r="V57" s="28" t="str">
        <f t="shared" si="24"/>
        <v/>
      </c>
      <c r="W57" s="28" t="str">
        <f t="shared" si="25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6"/>
        <v/>
      </c>
      <c r="M58" s="19" t="str">
        <f t="shared" si="17"/>
        <v/>
      </c>
      <c r="N58" s="19" t="str">
        <f t="shared" si="19"/>
        <v/>
      </c>
      <c r="O58" s="19" t="str">
        <f t="shared" si="13"/>
        <v/>
      </c>
      <c r="P58" s="19" t="str">
        <f t="shared" si="14"/>
        <v/>
      </c>
      <c r="Q58" s="19" t="str">
        <f t="shared" si="15"/>
        <v/>
      </c>
      <c r="R58" s="19" t="str">
        <f t="shared" si="20"/>
        <v/>
      </c>
      <c r="S58" s="27" t="str">
        <f t="shared" si="21"/>
        <v/>
      </c>
      <c r="T58" s="28" t="str">
        <f t="shared" si="22"/>
        <v/>
      </c>
      <c r="U58" s="28" t="str">
        <f t="shared" si="23"/>
        <v/>
      </c>
      <c r="V58" s="28" t="str">
        <f t="shared" si="24"/>
        <v/>
      </c>
      <c r="W58" s="28" t="str">
        <f t="shared" si="25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6"/>
        <v/>
      </c>
      <c r="M59" s="19" t="str">
        <f t="shared" si="17"/>
        <v/>
      </c>
      <c r="N59" s="19" t="str">
        <f t="shared" si="19"/>
        <v/>
      </c>
      <c r="O59" s="19" t="str">
        <f t="shared" si="13"/>
        <v/>
      </c>
      <c r="P59" s="19" t="str">
        <f t="shared" si="14"/>
        <v/>
      </c>
      <c r="Q59" s="19" t="str">
        <f t="shared" si="15"/>
        <v/>
      </c>
      <c r="R59" s="19" t="str">
        <f t="shared" si="20"/>
        <v/>
      </c>
      <c r="S59" s="27" t="str">
        <f t="shared" si="21"/>
        <v/>
      </c>
      <c r="T59" s="28" t="str">
        <f t="shared" si="22"/>
        <v/>
      </c>
      <c r="U59" s="28" t="str">
        <f t="shared" si="23"/>
        <v/>
      </c>
      <c r="V59" s="28" t="str">
        <f t="shared" si="24"/>
        <v/>
      </c>
      <c r="W59" s="28" t="str">
        <f t="shared" si="25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6"/>
        <v/>
      </c>
      <c r="M60" s="19" t="str">
        <f t="shared" si="17"/>
        <v/>
      </c>
      <c r="N60" s="19" t="str">
        <f t="shared" si="19"/>
        <v/>
      </c>
      <c r="O60" s="19" t="str">
        <f t="shared" si="13"/>
        <v/>
      </c>
      <c r="P60" s="19" t="str">
        <f t="shared" si="14"/>
        <v/>
      </c>
      <c r="Q60" s="19" t="str">
        <f t="shared" si="15"/>
        <v/>
      </c>
      <c r="R60" s="19" t="str">
        <f t="shared" si="20"/>
        <v/>
      </c>
      <c r="S60" s="27" t="str">
        <f t="shared" si="21"/>
        <v/>
      </c>
      <c r="T60" s="28" t="str">
        <f t="shared" si="22"/>
        <v/>
      </c>
      <c r="U60" s="28" t="str">
        <f t="shared" si="23"/>
        <v/>
      </c>
      <c r="V60" s="28" t="str">
        <f t="shared" si="24"/>
        <v/>
      </c>
      <c r="W60" s="28" t="str">
        <f t="shared" si="25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6"/>
        <v/>
      </c>
      <c r="M61" s="19" t="str">
        <f t="shared" si="17"/>
        <v/>
      </c>
      <c r="N61" s="19" t="str">
        <f t="shared" si="19"/>
        <v/>
      </c>
      <c r="O61" s="19" t="str">
        <f t="shared" si="13"/>
        <v/>
      </c>
      <c r="P61" s="19" t="str">
        <f t="shared" si="14"/>
        <v/>
      </c>
      <c r="Q61" s="19" t="str">
        <f t="shared" si="15"/>
        <v/>
      </c>
      <c r="R61" s="19" t="str">
        <f t="shared" si="20"/>
        <v/>
      </c>
      <c r="S61" s="27" t="str">
        <f t="shared" si="21"/>
        <v/>
      </c>
      <c r="T61" s="28" t="str">
        <f t="shared" si="22"/>
        <v/>
      </c>
      <c r="U61" s="28" t="str">
        <f t="shared" si="23"/>
        <v/>
      </c>
      <c r="V61" s="28" t="str">
        <f t="shared" si="24"/>
        <v/>
      </c>
      <c r="W61" s="28" t="str">
        <f t="shared" si="25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6"/>
        <v/>
      </c>
      <c r="M62" s="19" t="str">
        <f t="shared" si="17"/>
        <v/>
      </c>
      <c r="N62" s="19" t="str">
        <f t="shared" si="19"/>
        <v/>
      </c>
      <c r="O62" s="19" t="str">
        <f t="shared" si="13"/>
        <v/>
      </c>
      <c r="P62" s="19" t="str">
        <f t="shared" si="14"/>
        <v/>
      </c>
      <c r="Q62" s="19" t="str">
        <f t="shared" si="15"/>
        <v/>
      </c>
      <c r="R62" s="19" t="str">
        <f t="shared" si="20"/>
        <v/>
      </c>
      <c r="S62" s="27" t="str">
        <f t="shared" si="21"/>
        <v/>
      </c>
      <c r="T62" s="28" t="str">
        <f t="shared" si="22"/>
        <v/>
      </c>
      <c r="U62" s="28" t="str">
        <f t="shared" si="23"/>
        <v/>
      </c>
      <c r="V62" s="28" t="str">
        <f t="shared" si="24"/>
        <v/>
      </c>
      <c r="W62" s="28" t="str">
        <f t="shared" si="25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6"/>
        <v/>
      </c>
      <c r="M63" s="19" t="str">
        <f t="shared" si="17"/>
        <v/>
      </c>
      <c r="N63" s="19" t="str">
        <f t="shared" si="19"/>
        <v/>
      </c>
      <c r="O63" s="19" t="str">
        <f t="shared" si="13"/>
        <v/>
      </c>
      <c r="P63" s="19" t="str">
        <f t="shared" si="14"/>
        <v/>
      </c>
      <c r="Q63" s="19" t="str">
        <f t="shared" si="15"/>
        <v/>
      </c>
      <c r="R63" s="19" t="str">
        <f t="shared" si="20"/>
        <v/>
      </c>
      <c r="S63" s="27" t="str">
        <f t="shared" si="21"/>
        <v/>
      </c>
      <c r="T63" s="28" t="str">
        <f t="shared" si="22"/>
        <v/>
      </c>
      <c r="U63" s="28" t="str">
        <f t="shared" si="23"/>
        <v/>
      </c>
      <c r="V63" s="28" t="str">
        <f t="shared" si="24"/>
        <v/>
      </c>
      <c r="W63" s="28" t="str">
        <f t="shared" si="25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6"/>
        <v/>
      </c>
      <c r="M64" s="19" t="str">
        <f t="shared" si="17"/>
        <v/>
      </c>
      <c r="N64" s="19" t="str">
        <f t="shared" si="19"/>
        <v/>
      </c>
      <c r="O64" s="19" t="str">
        <f t="shared" si="13"/>
        <v/>
      </c>
      <c r="P64" s="19" t="str">
        <f t="shared" si="14"/>
        <v/>
      </c>
      <c r="Q64" s="19" t="str">
        <f t="shared" si="15"/>
        <v/>
      </c>
      <c r="R64" s="19" t="str">
        <f t="shared" si="20"/>
        <v/>
      </c>
      <c r="S64" s="27" t="str">
        <f t="shared" si="21"/>
        <v/>
      </c>
      <c r="T64" s="28" t="str">
        <f t="shared" si="22"/>
        <v/>
      </c>
      <c r="U64" s="28" t="str">
        <f t="shared" si="23"/>
        <v/>
      </c>
      <c r="V64" s="28" t="str">
        <f t="shared" si="24"/>
        <v/>
      </c>
      <c r="W64" s="28" t="str">
        <f t="shared" si="25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6"/>
        <v/>
      </c>
      <c r="M65" s="19" t="str">
        <f t="shared" si="17"/>
        <v/>
      </c>
      <c r="N65" s="19" t="str">
        <f t="shared" si="19"/>
        <v/>
      </c>
      <c r="O65" s="19" t="str">
        <f t="shared" si="13"/>
        <v/>
      </c>
      <c r="P65" s="19" t="str">
        <f t="shared" si="14"/>
        <v/>
      </c>
      <c r="Q65" s="19" t="str">
        <f t="shared" si="15"/>
        <v/>
      </c>
      <c r="R65" s="19" t="str">
        <f t="shared" si="20"/>
        <v/>
      </c>
      <c r="S65" s="27" t="str">
        <f t="shared" si="21"/>
        <v/>
      </c>
      <c r="T65" s="28" t="str">
        <f t="shared" si="22"/>
        <v/>
      </c>
      <c r="U65" s="28" t="str">
        <f t="shared" si="23"/>
        <v/>
      </c>
      <c r="V65" s="28" t="str">
        <f t="shared" si="24"/>
        <v/>
      </c>
      <c r="W65" s="28" t="str">
        <f t="shared" si="25"/>
        <v/>
      </c>
      <c r="X65" s="29" t="str">
        <f t="shared" si="26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6"/>
        <v/>
      </c>
      <c r="M66" s="19" t="str">
        <f t="shared" si="17"/>
        <v/>
      </c>
      <c r="N66" s="19" t="str">
        <f t="shared" si="19"/>
        <v/>
      </c>
      <c r="O66" s="19" t="str">
        <f t="shared" si="13"/>
        <v/>
      </c>
      <c r="P66" s="19" t="str">
        <f t="shared" si="14"/>
        <v/>
      </c>
      <c r="Q66" s="19" t="str">
        <f t="shared" si="15"/>
        <v/>
      </c>
      <c r="R66" s="19" t="str">
        <f t="shared" si="20"/>
        <v/>
      </c>
      <c r="S66" s="27" t="str">
        <f t="shared" si="21"/>
        <v/>
      </c>
      <c r="T66" s="28" t="str">
        <f t="shared" si="22"/>
        <v/>
      </c>
      <c r="U66" s="28" t="str">
        <f t="shared" si="23"/>
        <v/>
      </c>
      <c r="V66" s="28" t="str">
        <f t="shared" si="24"/>
        <v/>
      </c>
      <c r="W66" s="28" t="str">
        <f t="shared" si="25"/>
        <v/>
      </c>
      <c r="X66" s="29" t="str">
        <f t="shared" si="26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6"/>
        <v/>
      </c>
      <c r="M67" s="19" t="str">
        <f t="shared" si="17"/>
        <v/>
      </c>
      <c r="N67" s="19" t="str">
        <f t="shared" si="19"/>
        <v/>
      </c>
      <c r="O67" s="19" t="str">
        <f t="shared" si="13"/>
        <v/>
      </c>
      <c r="P67" s="19" t="str">
        <f t="shared" si="14"/>
        <v/>
      </c>
      <c r="Q67" s="19" t="str">
        <f t="shared" si="15"/>
        <v/>
      </c>
      <c r="R67" s="19" t="str">
        <f t="shared" si="20"/>
        <v/>
      </c>
      <c r="S67" s="27" t="str">
        <f t="shared" si="21"/>
        <v/>
      </c>
      <c r="T67" s="28" t="str">
        <f t="shared" si="22"/>
        <v/>
      </c>
      <c r="U67" s="28" t="str">
        <f t="shared" si="23"/>
        <v/>
      </c>
      <c r="V67" s="28" t="str">
        <f t="shared" si="24"/>
        <v/>
      </c>
      <c r="W67" s="28" t="str">
        <f t="shared" si="25"/>
        <v/>
      </c>
      <c r="X67" s="29" t="str">
        <f t="shared" si="26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6"/>
        <v/>
      </c>
      <c r="M68" s="19" t="str">
        <f t="shared" si="17"/>
        <v/>
      </c>
      <c r="N68" s="19" t="str">
        <f t="shared" si="19"/>
        <v/>
      </c>
      <c r="O68" s="19" t="str">
        <f t="shared" si="13"/>
        <v/>
      </c>
      <c r="P68" s="19" t="str">
        <f t="shared" si="14"/>
        <v/>
      </c>
      <c r="Q68" s="19" t="str">
        <f t="shared" si="15"/>
        <v/>
      </c>
      <c r="R68" s="19" t="str">
        <f t="shared" si="20"/>
        <v/>
      </c>
      <c r="S68" s="27" t="str">
        <f t="shared" si="21"/>
        <v/>
      </c>
      <c r="T68" s="28" t="str">
        <f t="shared" si="22"/>
        <v/>
      </c>
      <c r="U68" s="28" t="str">
        <f t="shared" si="23"/>
        <v/>
      </c>
      <c r="V68" s="28" t="str">
        <f t="shared" si="24"/>
        <v/>
      </c>
      <c r="W68" s="28" t="str">
        <f t="shared" si="25"/>
        <v/>
      </c>
      <c r="X68" s="29" t="str">
        <f t="shared" si="26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6"/>
        <v/>
      </c>
      <c r="M69" s="19" t="str">
        <f t="shared" si="17"/>
        <v/>
      </c>
      <c r="N69" s="19" t="str">
        <f t="shared" si="19"/>
        <v/>
      </c>
      <c r="O69" s="19" t="str">
        <f t="shared" si="13"/>
        <v/>
      </c>
      <c r="P69" s="19" t="str">
        <f t="shared" si="14"/>
        <v/>
      </c>
      <c r="Q69" s="19" t="str">
        <f t="shared" si="15"/>
        <v/>
      </c>
      <c r="R69" s="19" t="str">
        <f t="shared" si="20"/>
        <v/>
      </c>
      <c r="S69" s="27" t="str">
        <f t="shared" si="21"/>
        <v/>
      </c>
      <c r="T69" s="28" t="str">
        <f t="shared" si="22"/>
        <v/>
      </c>
      <c r="U69" s="28" t="str">
        <f t="shared" si="23"/>
        <v/>
      </c>
      <c r="V69" s="28" t="str">
        <f t="shared" si="24"/>
        <v/>
      </c>
      <c r="W69" s="28" t="str">
        <f t="shared" si="25"/>
        <v/>
      </c>
      <c r="X69" s="29" t="str">
        <f t="shared" si="26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6"/>
        <v/>
      </c>
      <c r="M70" s="19" t="str">
        <f t="shared" si="17"/>
        <v/>
      </c>
      <c r="N70" s="19" t="str">
        <f t="shared" si="19"/>
        <v/>
      </c>
      <c r="O70" s="19" t="str">
        <f t="shared" si="13"/>
        <v/>
      </c>
      <c r="P70" s="19" t="str">
        <f t="shared" si="14"/>
        <v/>
      </c>
      <c r="Q70" s="19" t="str">
        <f t="shared" si="15"/>
        <v/>
      </c>
      <c r="R70" s="19" t="str">
        <f t="shared" si="20"/>
        <v/>
      </c>
      <c r="S70" s="27" t="str">
        <f t="shared" si="21"/>
        <v/>
      </c>
      <c r="T70" s="28" t="str">
        <f t="shared" si="22"/>
        <v/>
      </c>
      <c r="U70" s="28" t="str">
        <f t="shared" si="23"/>
        <v/>
      </c>
      <c r="V70" s="28" t="str">
        <f t="shared" si="24"/>
        <v/>
      </c>
      <c r="W70" s="28" t="str">
        <f t="shared" si="25"/>
        <v/>
      </c>
      <c r="X70" s="29" t="str">
        <f t="shared" si="26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6"/>
        <v/>
      </c>
      <c r="M71" s="19" t="str">
        <f t="shared" si="17"/>
        <v/>
      </c>
      <c r="N71" s="19" t="str">
        <f t="shared" si="19"/>
        <v/>
      </c>
      <c r="O71" s="19" t="str">
        <f t="shared" si="13"/>
        <v/>
      </c>
      <c r="P71" s="19" t="str">
        <f t="shared" si="14"/>
        <v/>
      </c>
      <c r="Q71" s="19" t="str">
        <f t="shared" si="15"/>
        <v/>
      </c>
      <c r="R71" s="19" t="str">
        <f t="shared" si="20"/>
        <v/>
      </c>
      <c r="S71" s="27" t="str">
        <f t="shared" si="21"/>
        <v/>
      </c>
      <c r="T71" s="28" t="str">
        <f t="shared" si="22"/>
        <v/>
      </c>
      <c r="U71" s="28" t="str">
        <f t="shared" si="23"/>
        <v/>
      </c>
      <c r="V71" s="28" t="str">
        <f t="shared" si="24"/>
        <v/>
      </c>
      <c r="W71" s="28" t="str">
        <f t="shared" si="25"/>
        <v/>
      </c>
      <c r="X71" s="29" t="str">
        <f t="shared" si="26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6"/>
        <v/>
      </c>
      <c r="M72" s="19" t="str">
        <f t="shared" si="17"/>
        <v/>
      </c>
      <c r="N72" s="19" t="str">
        <f t="shared" si="19"/>
        <v/>
      </c>
      <c r="O72" s="19" t="str">
        <f t="shared" si="13"/>
        <v/>
      </c>
      <c r="P72" s="19" t="str">
        <f t="shared" si="14"/>
        <v/>
      </c>
      <c r="Q72" s="19" t="str">
        <f t="shared" si="15"/>
        <v/>
      </c>
      <c r="R72" s="19" t="str">
        <f t="shared" si="20"/>
        <v/>
      </c>
      <c r="S72" s="27" t="str">
        <f t="shared" si="21"/>
        <v/>
      </c>
      <c r="T72" s="28" t="str">
        <f t="shared" si="22"/>
        <v/>
      </c>
      <c r="U72" s="28" t="str">
        <f t="shared" si="23"/>
        <v/>
      </c>
      <c r="V72" s="28" t="str">
        <f t="shared" si="24"/>
        <v/>
      </c>
      <c r="W72" s="28" t="str">
        <f t="shared" si="25"/>
        <v/>
      </c>
      <c r="X72" s="29" t="str">
        <f t="shared" si="26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6"/>
        <v/>
      </c>
      <c r="M73" s="19" t="str">
        <f t="shared" si="17"/>
        <v/>
      </c>
      <c r="N73" s="19" t="str">
        <f t="shared" si="19"/>
        <v/>
      </c>
      <c r="O73" s="19" t="str">
        <f t="shared" si="13"/>
        <v/>
      </c>
      <c r="P73" s="19" t="str">
        <f t="shared" si="14"/>
        <v/>
      </c>
      <c r="Q73" s="19" t="str">
        <f t="shared" si="15"/>
        <v/>
      </c>
      <c r="R73" s="19" t="str">
        <f t="shared" si="20"/>
        <v/>
      </c>
      <c r="S73" s="27" t="str">
        <f t="shared" si="21"/>
        <v/>
      </c>
      <c r="T73" s="28" t="str">
        <f t="shared" si="22"/>
        <v/>
      </c>
      <c r="U73" s="28" t="str">
        <f t="shared" si="23"/>
        <v/>
      </c>
      <c r="V73" s="28" t="str">
        <f t="shared" si="24"/>
        <v/>
      </c>
      <c r="W73" s="28" t="str">
        <f t="shared" si="25"/>
        <v/>
      </c>
      <c r="X73" s="29" t="str">
        <f t="shared" si="26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6"/>
        <v/>
      </c>
      <c r="M74" s="19" t="str">
        <f t="shared" si="17"/>
        <v/>
      </c>
      <c r="N74" s="19" t="str">
        <f t="shared" si="19"/>
        <v/>
      </c>
      <c r="O74" s="19" t="str">
        <f t="shared" si="13"/>
        <v/>
      </c>
      <c r="P74" s="19" t="str">
        <f t="shared" si="14"/>
        <v/>
      </c>
      <c r="Q74" s="19" t="str">
        <f t="shared" si="15"/>
        <v/>
      </c>
      <c r="R74" s="19" t="str">
        <f t="shared" si="20"/>
        <v/>
      </c>
      <c r="S74" s="27" t="str">
        <f t="shared" si="21"/>
        <v/>
      </c>
      <c r="T74" s="28" t="str">
        <f t="shared" si="22"/>
        <v/>
      </c>
      <c r="U74" s="28" t="str">
        <f t="shared" si="23"/>
        <v/>
      </c>
      <c r="V74" s="28" t="str">
        <f t="shared" si="24"/>
        <v/>
      </c>
      <c r="W74" s="28" t="str">
        <f t="shared" si="25"/>
        <v/>
      </c>
      <c r="X74" s="29" t="str">
        <f t="shared" si="26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6"/>
        <v/>
      </c>
      <c r="M75" s="19" t="str">
        <f t="shared" si="17"/>
        <v/>
      </c>
      <c r="N75" s="19" t="str">
        <f t="shared" si="19"/>
        <v/>
      </c>
      <c r="O75" s="19" t="str">
        <f t="shared" si="13"/>
        <v/>
      </c>
      <c r="P75" s="19" t="str">
        <f t="shared" si="14"/>
        <v/>
      </c>
      <c r="Q75" s="19" t="str">
        <f t="shared" si="15"/>
        <v/>
      </c>
      <c r="R75" s="19" t="str">
        <f t="shared" si="20"/>
        <v/>
      </c>
      <c r="S75" s="27" t="str">
        <f t="shared" si="21"/>
        <v/>
      </c>
      <c r="T75" s="28" t="str">
        <f t="shared" si="22"/>
        <v/>
      </c>
      <c r="U75" s="28" t="str">
        <f t="shared" si="23"/>
        <v/>
      </c>
      <c r="V75" s="28" t="str">
        <f t="shared" si="24"/>
        <v/>
      </c>
      <c r="W75" s="28" t="str">
        <f t="shared" si="25"/>
        <v/>
      </c>
      <c r="X75" s="29" t="str">
        <f t="shared" si="26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6"/>
        <v/>
      </c>
      <c r="M76" s="19" t="str">
        <f t="shared" si="17"/>
        <v/>
      </c>
      <c r="N76" s="19" t="str">
        <f t="shared" si="19"/>
        <v/>
      </c>
      <c r="O76" s="19" t="str">
        <f t="shared" si="13"/>
        <v/>
      </c>
      <c r="P76" s="19" t="str">
        <f t="shared" si="14"/>
        <v/>
      </c>
      <c r="Q76" s="19" t="str">
        <f t="shared" si="15"/>
        <v/>
      </c>
      <c r="R76" s="19" t="str">
        <f t="shared" si="20"/>
        <v/>
      </c>
      <c r="S76" s="27" t="str">
        <f t="shared" si="21"/>
        <v/>
      </c>
      <c r="T76" s="28" t="str">
        <f t="shared" si="22"/>
        <v/>
      </c>
      <c r="U76" s="28" t="str">
        <f t="shared" si="23"/>
        <v/>
      </c>
      <c r="V76" s="28" t="str">
        <f t="shared" si="24"/>
        <v/>
      </c>
      <c r="W76" s="28" t="str">
        <f t="shared" si="25"/>
        <v/>
      </c>
      <c r="X76" s="29" t="str">
        <f t="shared" si="26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6"/>
        <v/>
      </c>
      <c r="M77" s="19" t="str">
        <f t="shared" si="17"/>
        <v/>
      </c>
      <c r="N77" s="19" t="str">
        <f t="shared" si="19"/>
        <v/>
      </c>
      <c r="O77" s="19" t="str">
        <f t="shared" si="13"/>
        <v/>
      </c>
      <c r="P77" s="19" t="str">
        <f t="shared" si="14"/>
        <v/>
      </c>
      <c r="Q77" s="19" t="str">
        <f t="shared" si="15"/>
        <v/>
      </c>
      <c r="R77" s="19" t="str">
        <f t="shared" si="20"/>
        <v/>
      </c>
      <c r="S77" s="27" t="str">
        <f t="shared" si="21"/>
        <v/>
      </c>
      <c r="T77" s="28" t="str">
        <f t="shared" si="22"/>
        <v/>
      </c>
      <c r="U77" s="28" t="str">
        <f t="shared" si="23"/>
        <v/>
      </c>
      <c r="V77" s="28" t="str">
        <f t="shared" si="24"/>
        <v/>
      </c>
      <c r="W77" s="28" t="str">
        <f t="shared" si="25"/>
        <v/>
      </c>
      <c r="X77" s="29" t="str">
        <f t="shared" si="26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6"/>
        <v/>
      </c>
      <c r="M78" s="19" t="str">
        <f t="shared" si="17"/>
        <v/>
      </c>
      <c r="N78" s="19" t="str">
        <f t="shared" si="19"/>
        <v/>
      </c>
      <c r="O78" s="19" t="str">
        <f t="shared" si="13"/>
        <v/>
      </c>
      <c r="P78" s="19" t="str">
        <f t="shared" si="14"/>
        <v/>
      </c>
      <c r="Q78" s="19" t="str">
        <f t="shared" si="15"/>
        <v/>
      </c>
      <c r="R78" s="19" t="str">
        <f t="shared" si="20"/>
        <v/>
      </c>
      <c r="S78" s="27" t="str">
        <f t="shared" si="21"/>
        <v/>
      </c>
      <c r="T78" s="28" t="str">
        <f t="shared" si="22"/>
        <v/>
      </c>
      <c r="U78" s="28" t="str">
        <f t="shared" si="23"/>
        <v/>
      </c>
      <c r="V78" s="28" t="str">
        <f t="shared" si="24"/>
        <v/>
      </c>
      <c r="W78" s="28" t="str">
        <f t="shared" si="25"/>
        <v/>
      </c>
      <c r="X78" s="29" t="str">
        <f t="shared" si="26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6"/>
        <v/>
      </c>
      <c r="M79" s="19" t="str">
        <f t="shared" si="17"/>
        <v/>
      </c>
      <c r="N79" s="19" t="str">
        <f t="shared" si="19"/>
        <v/>
      </c>
      <c r="O79" s="19" t="str">
        <f t="shared" si="13"/>
        <v/>
      </c>
      <c r="P79" s="19" t="str">
        <f t="shared" si="14"/>
        <v/>
      </c>
      <c r="Q79" s="19" t="str">
        <f t="shared" si="15"/>
        <v/>
      </c>
      <c r="R79" s="19" t="str">
        <f t="shared" si="20"/>
        <v/>
      </c>
      <c r="S79" s="27" t="str">
        <f t="shared" si="21"/>
        <v/>
      </c>
      <c r="T79" s="28" t="str">
        <f t="shared" si="22"/>
        <v/>
      </c>
      <c r="U79" s="28" t="str">
        <f t="shared" si="23"/>
        <v/>
      </c>
      <c r="V79" s="28" t="str">
        <f t="shared" si="24"/>
        <v/>
      </c>
      <c r="W79" s="28" t="str">
        <f t="shared" si="25"/>
        <v/>
      </c>
      <c r="X79" s="29" t="str">
        <f t="shared" si="26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6"/>
        <v/>
      </c>
      <c r="M80" s="19" t="str">
        <f t="shared" si="17"/>
        <v/>
      </c>
      <c r="N80" s="19" t="str">
        <f t="shared" ref="N80:N111" si="27">IF(ISBLANK(E80),"",(E80-E$16)*1000)</f>
        <v/>
      </c>
      <c r="O80" s="19" t="str">
        <f t="shared" si="13"/>
        <v/>
      </c>
      <c r="P80" s="19" t="str">
        <f t="shared" si="14"/>
        <v/>
      </c>
      <c r="Q80" s="19" t="str">
        <f t="shared" si="15"/>
        <v/>
      </c>
      <c r="R80" s="19" t="str">
        <f t="shared" ref="R80:R111" si="28">IF(ISBLANK(I80),"",(I80-I$16)*1000)</f>
        <v/>
      </c>
      <c r="S80" s="27" t="str">
        <f t="shared" si="21"/>
        <v/>
      </c>
      <c r="T80" s="28" t="str">
        <f t="shared" si="22"/>
        <v/>
      </c>
      <c r="U80" s="28" t="str">
        <f t="shared" si="23"/>
        <v/>
      </c>
      <c r="V80" s="28" t="str">
        <f t="shared" si="24"/>
        <v/>
      </c>
      <c r="W80" s="28" t="str">
        <f t="shared" si="25"/>
        <v/>
      </c>
      <c r="X80" s="29" t="str">
        <f t="shared" si="26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6"/>
        <v/>
      </c>
      <c r="M81" s="19" t="str">
        <f t="shared" si="17"/>
        <v/>
      </c>
      <c r="N81" s="19" t="str">
        <f t="shared" si="27"/>
        <v/>
      </c>
      <c r="O81" s="19" t="str">
        <f t="shared" si="13"/>
        <v/>
      </c>
      <c r="P81" s="19" t="str">
        <f t="shared" si="14"/>
        <v/>
      </c>
      <c r="Q81" s="19" t="str">
        <f t="shared" si="15"/>
        <v/>
      </c>
      <c r="R81" s="19" t="str">
        <f t="shared" si="28"/>
        <v/>
      </c>
      <c r="S81" s="27" t="str">
        <f t="shared" ref="S81:S112" si="29">IF(C81="","",((C81-C80)*1000)/($B81-$B80))</f>
        <v/>
      </c>
      <c r="T81" s="28" t="str">
        <f t="shared" ref="T81:T112" si="30">IF(D81="","",((D81-D80)*1000)/($B81-$B80))</f>
        <v/>
      </c>
      <c r="U81" s="28" t="str">
        <f t="shared" ref="U81:U112" si="31">IF(E81="","",((E81-E80)*1000)/($B81-$B80))</f>
        <v/>
      </c>
      <c r="V81" s="28" t="str">
        <f t="shared" ref="V81:V112" si="32">IF(F81="","",((F81-F80)*1000)/($B81-$B80))</f>
        <v/>
      </c>
      <c r="W81" s="28" t="str">
        <f t="shared" ref="W81:W112" si="33">IF(G81="","",((G81-G80)*1000)/($B81-$B80))</f>
        <v/>
      </c>
      <c r="X81" s="29" t="str">
        <f t="shared" ref="X81:X112" si="34">IF(H81="","",((H81-H80)*1000)/($B81-$B80))</f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6"/>
        <v/>
      </c>
      <c r="M82" s="19" t="str">
        <f t="shared" si="17"/>
        <v/>
      </c>
      <c r="N82" s="19" t="str">
        <f t="shared" si="27"/>
        <v/>
      </c>
      <c r="O82" s="19" t="str">
        <f t="shared" si="13"/>
        <v/>
      </c>
      <c r="P82" s="19" t="str">
        <f t="shared" si="14"/>
        <v/>
      </c>
      <c r="Q82" s="19" t="str">
        <f t="shared" si="15"/>
        <v/>
      </c>
      <c r="R82" s="19" t="str">
        <f t="shared" si="28"/>
        <v/>
      </c>
      <c r="S82" s="27" t="str">
        <f t="shared" si="29"/>
        <v/>
      </c>
      <c r="T82" s="28" t="str">
        <f t="shared" si="30"/>
        <v/>
      </c>
      <c r="U82" s="28" t="str">
        <f t="shared" si="31"/>
        <v/>
      </c>
      <c r="V82" s="28" t="str">
        <f t="shared" si="32"/>
        <v/>
      </c>
      <c r="W82" s="28" t="str">
        <f t="shared" si="33"/>
        <v/>
      </c>
      <c r="X82" s="29" t="str">
        <f t="shared" si="3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6"/>
        <v/>
      </c>
      <c r="M83" s="19" t="str">
        <f t="shared" si="17"/>
        <v/>
      </c>
      <c r="N83" s="19" t="str">
        <f t="shared" si="27"/>
        <v/>
      </c>
      <c r="O83" s="19" t="str">
        <f t="shared" si="13"/>
        <v/>
      </c>
      <c r="P83" s="19" t="str">
        <f t="shared" si="14"/>
        <v/>
      </c>
      <c r="Q83" s="19" t="str">
        <f t="shared" si="15"/>
        <v/>
      </c>
      <c r="R83" s="19" t="str">
        <f t="shared" si="28"/>
        <v/>
      </c>
      <c r="S83" s="27" t="str">
        <f t="shared" si="29"/>
        <v/>
      </c>
      <c r="T83" s="28" t="str">
        <f t="shared" si="30"/>
        <v/>
      </c>
      <c r="U83" s="28" t="str">
        <f t="shared" si="31"/>
        <v/>
      </c>
      <c r="V83" s="28" t="str">
        <f t="shared" si="32"/>
        <v/>
      </c>
      <c r="W83" s="28" t="str">
        <f t="shared" si="33"/>
        <v/>
      </c>
      <c r="X83" s="29" t="str">
        <f t="shared" si="3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6"/>
        <v/>
      </c>
      <c r="M84" s="19" t="str">
        <f t="shared" si="17"/>
        <v/>
      </c>
      <c r="N84" s="19" t="str">
        <f t="shared" si="27"/>
        <v/>
      </c>
      <c r="O84" s="19" t="str">
        <f t="shared" si="13"/>
        <v/>
      </c>
      <c r="P84" s="19" t="str">
        <f t="shared" si="14"/>
        <v/>
      </c>
      <c r="Q84" s="19" t="str">
        <f t="shared" si="15"/>
        <v/>
      </c>
      <c r="R84" s="19" t="str">
        <f t="shared" si="28"/>
        <v/>
      </c>
      <c r="S84" s="27" t="str">
        <f t="shared" si="29"/>
        <v/>
      </c>
      <c r="T84" s="28" t="str">
        <f t="shared" si="30"/>
        <v/>
      </c>
      <c r="U84" s="28" t="str">
        <f t="shared" si="31"/>
        <v/>
      </c>
      <c r="V84" s="28" t="str">
        <f t="shared" si="32"/>
        <v/>
      </c>
      <c r="W84" s="28" t="str">
        <f t="shared" si="33"/>
        <v/>
      </c>
      <c r="X84" s="29" t="str">
        <f t="shared" si="3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6"/>
        <v/>
      </c>
      <c r="M85" s="19" t="str">
        <f t="shared" si="17"/>
        <v/>
      </c>
      <c r="N85" s="19" t="str">
        <f t="shared" si="27"/>
        <v/>
      </c>
      <c r="O85" s="19" t="str">
        <f t="shared" si="13"/>
        <v/>
      </c>
      <c r="P85" s="19" t="str">
        <f t="shared" si="14"/>
        <v/>
      </c>
      <c r="Q85" s="19" t="str">
        <f t="shared" si="15"/>
        <v/>
      </c>
      <c r="R85" s="19" t="str">
        <f t="shared" si="28"/>
        <v/>
      </c>
      <c r="S85" s="27" t="str">
        <f t="shared" si="29"/>
        <v/>
      </c>
      <c r="T85" s="28" t="str">
        <f t="shared" si="30"/>
        <v/>
      </c>
      <c r="U85" s="28" t="str">
        <f t="shared" si="31"/>
        <v/>
      </c>
      <c r="V85" s="28" t="str">
        <f t="shared" si="32"/>
        <v/>
      </c>
      <c r="W85" s="28" t="str">
        <f t="shared" si="33"/>
        <v/>
      </c>
      <c r="X85" s="29" t="str">
        <f t="shared" si="3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6"/>
        <v/>
      </c>
      <c r="M86" s="19" t="str">
        <f t="shared" si="17"/>
        <v/>
      </c>
      <c r="N86" s="19" t="str">
        <f t="shared" si="27"/>
        <v/>
      </c>
      <c r="O86" s="19" t="str">
        <f t="shared" si="13"/>
        <v/>
      </c>
      <c r="P86" s="19" t="str">
        <f t="shared" si="14"/>
        <v/>
      </c>
      <c r="Q86" s="19" t="str">
        <f t="shared" si="15"/>
        <v/>
      </c>
      <c r="R86" s="19" t="str">
        <f t="shared" si="28"/>
        <v/>
      </c>
      <c r="S86" s="27" t="str">
        <f t="shared" si="29"/>
        <v/>
      </c>
      <c r="T86" s="28" t="str">
        <f t="shared" si="30"/>
        <v/>
      </c>
      <c r="U86" s="28" t="str">
        <f t="shared" si="31"/>
        <v/>
      </c>
      <c r="V86" s="28" t="str">
        <f t="shared" si="32"/>
        <v/>
      </c>
      <c r="W86" s="28" t="str">
        <f t="shared" si="33"/>
        <v/>
      </c>
      <c r="X86" s="29" t="str">
        <f t="shared" si="3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6"/>
        <v/>
      </c>
      <c r="M87" s="19" t="str">
        <f t="shared" si="17"/>
        <v/>
      </c>
      <c r="N87" s="19" t="str">
        <f t="shared" si="27"/>
        <v/>
      </c>
      <c r="O87" s="19" t="str">
        <f t="shared" ref="O87:O150" si="35">IF(ISBLANK(F87),"",((F87-F$22)*1000)+L$22)</f>
        <v/>
      </c>
      <c r="P87" s="19" t="str">
        <f t="shared" ref="P87:P150" si="36">IF(ISBLANK(G87),"",((G87-G$22)*1000)+M$22)</f>
        <v/>
      </c>
      <c r="Q87" s="19" t="str">
        <f t="shared" ref="Q87:Q150" si="37">IF(ISBLANK(H87),"",((H87-H$22)*1000)+N$22)</f>
        <v/>
      </c>
      <c r="R87" s="19" t="str">
        <f t="shared" si="28"/>
        <v/>
      </c>
      <c r="S87" s="27" t="str">
        <f t="shared" si="29"/>
        <v/>
      </c>
      <c r="T87" s="28" t="str">
        <f t="shared" si="30"/>
        <v/>
      </c>
      <c r="U87" s="28" t="str">
        <f t="shared" si="31"/>
        <v/>
      </c>
      <c r="V87" s="28" t="str">
        <f t="shared" si="32"/>
        <v/>
      </c>
      <c r="W87" s="28" t="str">
        <f t="shared" si="33"/>
        <v/>
      </c>
      <c r="X87" s="29" t="str">
        <f t="shared" si="3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ref="L88:L151" si="38">IF(ISBLANK(C88),"",((C88-C$23)*1000)+L$22)</f>
        <v/>
      </c>
      <c r="M88" s="19" t="str">
        <f t="shared" ref="M88:M151" si="39">IF(ISBLANK(D88),"",((D88-D$23)*1000)+M$22)</f>
        <v/>
      </c>
      <c r="N88" s="19" t="str">
        <f t="shared" si="27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28"/>
        <v/>
      </c>
      <c r="S88" s="27" t="str">
        <f t="shared" si="29"/>
        <v/>
      </c>
      <c r="T88" s="28" t="str">
        <f t="shared" si="30"/>
        <v/>
      </c>
      <c r="U88" s="28" t="str">
        <f t="shared" si="31"/>
        <v/>
      </c>
      <c r="V88" s="28" t="str">
        <f t="shared" si="32"/>
        <v/>
      </c>
      <c r="W88" s="28" t="str">
        <f t="shared" si="33"/>
        <v/>
      </c>
      <c r="X88" s="29" t="str">
        <f t="shared" si="3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8"/>
        <v/>
      </c>
      <c r="M89" s="19" t="str">
        <f t="shared" si="39"/>
        <v/>
      </c>
      <c r="N89" s="19" t="str">
        <f t="shared" si="27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28"/>
        <v/>
      </c>
      <c r="S89" s="27" t="str">
        <f t="shared" si="29"/>
        <v/>
      </c>
      <c r="T89" s="28" t="str">
        <f t="shared" si="30"/>
        <v/>
      </c>
      <c r="U89" s="28" t="str">
        <f t="shared" si="31"/>
        <v/>
      </c>
      <c r="V89" s="28" t="str">
        <f t="shared" si="32"/>
        <v/>
      </c>
      <c r="W89" s="28" t="str">
        <f t="shared" si="33"/>
        <v/>
      </c>
      <c r="X89" s="29" t="str">
        <f t="shared" si="3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8"/>
        <v/>
      </c>
      <c r="M90" s="19" t="str">
        <f t="shared" si="39"/>
        <v/>
      </c>
      <c r="N90" s="19" t="str">
        <f t="shared" si="27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28"/>
        <v/>
      </c>
      <c r="S90" s="27" t="str">
        <f t="shared" si="29"/>
        <v/>
      </c>
      <c r="T90" s="28" t="str">
        <f t="shared" si="30"/>
        <v/>
      </c>
      <c r="U90" s="28" t="str">
        <f t="shared" si="31"/>
        <v/>
      </c>
      <c r="V90" s="28" t="str">
        <f t="shared" si="32"/>
        <v/>
      </c>
      <c r="W90" s="28" t="str">
        <f t="shared" si="33"/>
        <v/>
      </c>
      <c r="X90" s="29" t="str">
        <f t="shared" si="3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8"/>
        <v/>
      </c>
      <c r="M91" s="19" t="str">
        <f t="shared" si="39"/>
        <v/>
      </c>
      <c r="N91" s="19" t="str">
        <f t="shared" si="27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28"/>
        <v/>
      </c>
      <c r="S91" s="27" t="str">
        <f t="shared" si="29"/>
        <v/>
      </c>
      <c r="T91" s="28" t="str">
        <f t="shared" si="30"/>
        <v/>
      </c>
      <c r="U91" s="28" t="str">
        <f t="shared" si="31"/>
        <v/>
      </c>
      <c r="V91" s="28" t="str">
        <f t="shared" si="32"/>
        <v/>
      </c>
      <c r="W91" s="28" t="str">
        <f t="shared" si="33"/>
        <v/>
      </c>
      <c r="X91" s="29" t="str">
        <f t="shared" si="3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8"/>
        <v/>
      </c>
      <c r="M92" s="19" t="str">
        <f t="shared" si="39"/>
        <v/>
      </c>
      <c r="N92" s="19" t="str">
        <f t="shared" si="27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28"/>
        <v/>
      </c>
      <c r="S92" s="27" t="str">
        <f t="shared" si="29"/>
        <v/>
      </c>
      <c r="T92" s="28" t="str">
        <f t="shared" si="30"/>
        <v/>
      </c>
      <c r="U92" s="28" t="str">
        <f t="shared" si="31"/>
        <v/>
      </c>
      <c r="V92" s="28" t="str">
        <f t="shared" si="32"/>
        <v/>
      </c>
      <c r="W92" s="28" t="str">
        <f t="shared" si="33"/>
        <v/>
      </c>
      <c r="X92" s="29" t="str">
        <f t="shared" si="3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8"/>
        <v/>
      </c>
      <c r="M93" s="19" t="str">
        <f t="shared" si="39"/>
        <v/>
      </c>
      <c r="N93" s="19" t="str">
        <f t="shared" si="27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28"/>
        <v/>
      </c>
      <c r="S93" s="27" t="str">
        <f t="shared" si="29"/>
        <v/>
      </c>
      <c r="T93" s="28" t="str">
        <f t="shared" si="30"/>
        <v/>
      </c>
      <c r="U93" s="28" t="str">
        <f t="shared" si="31"/>
        <v/>
      </c>
      <c r="V93" s="28" t="str">
        <f t="shared" si="32"/>
        <v/>
      </c>
      <c r="W93" s="28" t="str">
        <f t="shared" si="33"/>
        <v/>
      </c>
      <c r="X93" s="29" t="str">
        <f t="shared" si="3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8"/>
        <v/>
      </c>
      <c r="M94" s="19" t="str">
        <f t="shared" si="39"/>
        <v/>
      </c>
      <c r="N94" s="19" t="str">
        <f t="shared" si="27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28"/>
        <v/>
      </c>
      <c r="S94" s="27" t="str">
        <f t="shared" si="29"/>
        <v/>
      </c>
      <c r="T94" s="28" t="str">
        <f t="shared" si="30"/>
        <v/>
      </c>
      <c r="U94" s="28" t="str">
        <f t="shared" si="31"/>
        <v/>
      </c>
      <c r="V94" s="28" t="str">
        <f t="shared" si="32"/>
        <v/>
      </c>
      <c r="W94" s="28" t="str">
        <f t="shared" si="33"/>
        <v/>
      </c>
      <c r="X94" s="29" t="str">
        <f t="shared" si="3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8"/>
        <v/>
      </c>
      <c r="M95" s="19" t="str">
        <f t="shared" si="39"/>
        <v/>
      </c>
      <c r="N95" s="19" t="str">
        <f t="shared" si="27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28"/>
        <v/>
      </c>
      <c r="S95" s="27" t="str">
        <f t="shared" si="29"/>
        <v/>
      </c>
      <c r="T95" s="28" t="str">
        <f t="shared" si="30"/>
        <v/>
      </c>
      <c r="U95" s="28" t="str">
        <f t="shared" si="31"/>
        <v/>
      </c>
      <c r="V95" s="28" t="str">
        <f t="shared" si="32"/>
        <v/>
      </c>
      <c r="W95" s="28" t="str">
        <f t="shared" si="33"/>
        <v/>
      </c>
      <c r="X95" s="29" t="str">
        <f t="shared" si="3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8"/>
        <v/>
      </c>
      <c r="M96" s="19" t="str">
        <f t="shared" si="39"/>
        <v/>
      </c>
      <c r="N96" s="19" t="str">
        <f t="shared" si="27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28"/>
        <v/>
      </c>
      <c r="S96" s="27" t="str">
        <f t="shared" si="29"/>
        <v/>
      </c>
      <c r="T96" s="28" t="str">
        <f t="shared" si="30"/>
        <v/>
      </c>
      <c r="U96" s="28" t="str">
        <f t="shared" si="31"/>
        <v/>
      </c>
      <c r="V96" s="28" t="str">
        <f t="shared" si="32"/>
        <v/>
      </c>
      <c r="W96" s="28" t="str">
        <f t="shared" si="33"/>
        <v/>
      </c>
      <c r="X96" s="29" t="str">
        <f t="shared" si="3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8"/>
        <v/>
      </c>
      <c r="M97" s="19" t="str">
        <f t="shared" si="39"/>
        <v/>
      </c>
      <c r="N97" s="19" t="str">
        <f t="shared" si="27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28"/>
        <v/>
      </c>
      <c r="S97" s="27" t="str">
        <f t="shared" si="29"/>
        <v/>
      </c>
      <c r="T97" s="28" t="str">
        <f t="shared" si="30"/>
        <v/>
      </c>
      <c r="U97" s="28" t="str">
        <f t="shared" si="31"/>
        <v/>
      </c>
      <c r="V97" s="28" t="str">
        <f t="shared" si="32"/>
        <v/>
      </c>
      <c r="W97" s="28" t="str">
        <f t="shared" si="33"/>
        <v/>
      </c>
      <c r="X97" s="29" t="str">
        <f t="shared" si="3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8"/>
        <v/>
      </c>
      <c r="M98" s="19" t="str">
        <f t="shared" si="39"/>
        <v/>
      </c>
      <c r="N98" s="19" t="str">
        <f t="shared" si="27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28"/>
        <v/>
      </c>
      <c r="S98" s="27" t="str">
        <f t="shared" si="29"/>
        <v/>
      </c>
      <c r="T98" s="28" t="str">
        <f t="shared" si="30"/>
        <v/>
      </c>
      <c r="U98" s="28" t="str">
        <f t="shared" si="31"/>
        <v/>
      </c>
      <c r="V98" s="28" t="str">
        <f t="shared" si="32"/>
        <v/>
      </c>
      <c r="W98" s="28" t="str">
        <f t="shared" si="33"/>
        <v/>
      </c>
      <c r="X98" s="29" t="str">
        <f t="shared" si="3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8"/>
        <v/>
      </c>
      <c r="M99" s="19" t="str">
        <f t="shared" si="39"/>
        <v/>
      </c>
      <c r="N99" s="19" t="str">
        <f t="shared" si="27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28"/>
        <v/>
      </c>
      <c r="S99" s="27" t="str">
        <f t="shared" si="29"/>
        <v/>
      </c>
      <c r="T99" s="28" t="str">
        <f t="shared" si="30"/>
        <v/>
      </c>
      <c r="U99" s="28" t="str">
        <f t="shared" si="31"/>
        <v/>
      </c>
      <c r="V99" s="28" t="str">
        <f t="shared" si="32"/>
        <v/>
      </c>
      <c r="W99" s="28" t="str">
        <f t="shared" si="33"/>
        <v/>
      </c>
      <c r="X99" s="29" t="str">
        <f t="shared" si="3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8"/>
        <v/>
      </c>
      <c r="M100" s="19" t="str">
        <f t="shared" si="39"/>
        <v/>
      </c>
      <c r="N100" s="19" t="str">
        <f t="shared" si="27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28"/>
        <v/>
      </c>
      <c r="S100" s="27" t="str">
        <f t="shared" si="29"/>
        <v/>
      </c>
      <c r="T100" s="28" t="str">
        <f t="shared" si="30"/>
        <v/>
      </c>
      <c r="U100" s="28" t="str">
        <f t="shared" si="31"/>
        <v/>
      </c>
      <c r="V100" s="28" t="str">
        <f t="shared" si="32"/>
        <v/>
      </c>
      <c r="W100" s="28" t="str">
        <f t="shared" si="33"/>
        <v/>
      </c>
      <c r="X100" s="29" t="str">
        <f t="shared" si="3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8"/>
        <v/>
      </c>
      <c r="M101" s="19" t="str">
        <f t="shared" si="39"/>
        <v/>
      </c>
      <c r="N101" s="19" t="str">
        <f t="shared" si="27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28"/>
        <v/>
      </c>
      <c r="S101" s="27" t="str">
        <f t="shared" si="29"/>
        <v/>
      </c>
      <c r="T101" s="28" t="str">
        <f t="shared" si="30"/>
        <v/>
      </c>
      <c r="U101" s="28" t="str">
        <f t="shared" si="31"/>
        <v/>
      </c>
      <c r="V101" s="28" t="str">
        <f t="shared" si="32"/>
        <v/>
      </c>
      <c r="W101" s="28" t="str">
        <f t="shared" si="33"/>
        <v/>
      </c>
      <c r="X101" s="29" t="str">
        <f t="shared" si="3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8"/>
        <v/>
      </c>
      <c r="M102" s="19" t="str">
        <f t="shared" si="39"/>
        <v/>
      </c>
      <c r="N102" s="19" t="str">
        <f t="shared" si="27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28"/>
        <v/>
      </c>
      <c r="S102" s="27" t="str">
        <f t="shared" si="29"/>
        <v/>
      </c>
      <c r="T102" s="28" t="str">
        <f t="shared" si="30"/>
        <v/>
      </c>
      <c r="U102" s="28" t="str">
        <f t="shared" si="31"/>
        <v/>
      </c>
      <c r="V102" s="28" t="str">
        <f t="shared" si="32"/>
        <v/>
      </c>
      <c r="W102" s="28" t="str">
        <f t="shared" si="33"/>
        <v/>
      </c>
      <c r="X102" s="29" t="str">
        <f t="shared" si="3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8"/>
        <v/>
      </c>
      <c r="M103" s="19" t="str">
        <f t="shared" si="39"/>
        <v/>
      </c>
      <c r="N103" s="19" t="str">
        <f t="shared" si="27"/>
        <v/>
      </c>
      <c r="O103" s="19" t="str">
        <f t="shared" si="35"/>
        <v/>
      </c>
      <c r="P103" s="19" t="str">
        <f t="shared" si="36"/>
        <v/>
      </c>
      <c r="Q103" s="19" t="str">
        <f t="shared" si="37"/>
        <v/>
      </c>
      <c r="R103" s="19" t="str">
        <f t="shared" si="28"/>
        <v/>
      </c>
      <c r="S103" s="27" t="str">
        <f t="shared" si="29"/>
        <v/>
      </c>
      <c r="T103" s="28" t="str">
        <f t="shared" si="30"/>
        <v/>
      </c>
      <c r="U103" s="28" t="str">
        <f t="shared" si="31"/>
        <v/>
      </c>
      <c r="V103" s="28" t="str">
        <f t="shared" si="32"/>
        <v/>
      </c>
      <c r="W103" s="28" t="str">
        <f t="shared" si="33"/>
        <v/>
      </c>
      <c r="X103" s="29" t="str">
        <f t="shared" si="3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8"/>
        <v/>
      </c>
      <c r="M104" s="19" t="str">
        <f t="shared" si="39"/>
        <v/>
      </c>
      <c r="N104" s="19" t="str">
        <f t="shared" si="27"/>
        <v/>
      </c>
      <c r="O104" s="19" t="str">
        <f t="shared" si="35"/>
        <v/>
      </c>
      <c r="P104" s="19" t="str">
        <f t="shared" si="36"/>
        <v/>
      </c>
      <c r="Q104" s="19" t="str">
        <f t="shared" si="37"/>
        <v/>
      </c>
      <c r="R104" s="19" t="str">
        <f t="shared" si="28"/>
        <v/>
      </c>
      <c r="S104" s="27" t="str">
        <f t="shared" si="29"/>
        <v/>
      </c>
      <c r="T104" s="28" t="str">
        <f t="shared" si="30"/>
        <v/>
      </c>
      <c r="U104" s="28" t="str">
        <f t="shared" si="31"/>
        <v/>
      </c>
      <c r="V104" s="28" t="str">
        <f t="shared" si="32"/>
        <v/>
      </c>
      <c r="W104" s="28" t="str">
        <f t="shared" si="33"/>
        <v/>
      </c>
      <c r="X104" s="29" t="str">
        <f t="shared" si="3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8"/>
        <v/>
      </c>
      <c r="M105" s="19" t="str">
        <f t="shared" si="39"/>
        <v/>
      </c>
      <c r="N105" s="19" t="str">
        <f t="shared" si="27"/>
        <v/>
      </c>
      <c r="O105" s="19" t="str">
        <f t="shared" si="35"/>
        <v/>
      </c>
      <c r="P105" s="19" t="str">
        <f t="shared" si="36"/>
        <v/>
      </c>
      <c r="Q105" s="19" t="str">
        <f t="shared" si="37"/>
        <v/>
      </c>
      <c r="R105" s="19" t="str">
        <f t="shared" si="28"/>
        <v/>
      </c>
      <c r="S105" s="27" t="str">
        <f t="shared" si="29"/>
        <v/>
      </c>
      <c r="T105" s="28" t="str">
        <f t="shared" si="30"/>
        <v/>
      </c>
      <c r="U105" s="28" t="str">
        <f t="shared" si="31"/>
        <v/>
      </c>
      <c r="V105" s="28" t="str">
        <f t="shared" si="32"/>
        <v/>
      </c>
      <c r="W105" s="28" t="str">
        <f t="shared" si="33"/>
        <v/>
      </c>
      <c r="X105" s="29" t="str">
        <f t="shared" si="3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8"/>
        <v/>
      </c>
      <c r="M106" s="19" t="str">
        <f t="shared" si="39"/>
        <v/>
      </c>
      <c r="N106" s="19" t="str">
        <f t="shared" si="27"/>
        <v/>
      </c>
      <c r="O106" s="19" t="str">
        <f t="shared" si="35"/>
        <v/>
      </c>
      <c r="P106" s="19" t="str">
        <f t="shared" si="36"/>
        <v/>
      </c>
      <c r="Q106" s="19" t="str">
        <f t="shared" si="37"/>
        <v/>
      </c>
      <c r="R106" s="19" t="str">
        <f t="shared" si="28"/>
        <v/>
      </c>
      <c r="S106" s="27" t="str">
        <f t="shared" si="29"/>
        <v/>
      </c>
      <c r="T106" s="28" t="str">
        <f t="shared" si="30"/>
        <v/>
      </c>
      <c r="U106" s="28" t="str">
        <f t="shared" si="31"/>
        <v/>
      </c>
      <c r="V106" s="28" t="str">
        <f t="shared" si="32"/>
        <v/>
      </c>
      <c r="W106" s="28" t="str">
        <f t="shared" si="33"/>
        <v/>
      </c>
      <c r="X106" s="29" t="str">
        <f t="shared" si="3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8"/>
        <v/>
      </c>
      <c r="M107" s="19" t="str">
        <f t="shared" si="39"/>
        <v/>
      </c>
      <c r="N107" s="19" t="str">
        <f t="shared" si="27"/>
        <v/>
      </c>
      <c r="O107" s="19" t="str">
        <f t="shared" si="35"/>
        <v/>
      </c>
      <c r="P107" s="19" t="str">
        <f t="shared" si="36"/>
        <v/>
      </c>
      <c r="Q107" s="19" t="str">
        <f t="shared" si="37"/>
        <v/>
      </c>
      <c r="R107" s="19" t="str">
        <f t="shared" si="28"/>
        <v/>
      </c>
      <c r="S107" s="27" t="str">
        <f t="shared" si="29"/>
        <v/>
      </c>
      <c r="T107" s="28" t="str">
        <f t="shared" si="30"/>
        <v/>
      </c>
      <c r="U107" s="28" t="str">
        <f t="shared" si="31"/>
        <v/>
      </c>
      <c r="V107" s="28" t="str">
        <f t="shared" si="32"/>
        <v/>
      </c>
      <c r="W107" s="28" t="str">
        <f t="shared" si="33"/>
        <v/>
      </c>
      <c r="X107" s="29" t="str">
        <f t="shared" si="3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8"/>
        <v/>
      </c>
      <c r="M108" s="19" t="str">
        <f t="shared" si="39"/>
        <v/>
      </c>
      <c r="N108" s="19" t="str">
        <f t="shared" si="27"/>
        <v/>
      </c>
      <c r="O108" s="19" t="str">
        <f t="shared" si="35"/>
        <v/>
      </c>
      <c r="P108" s="19" t="str">
        <f t="shared" si="36"/>
        <v/>
      </c>
      <c r="Q108" s="19" t="str">
        <f t="shared" si="37"/>
        <v/>
      </c>
      <c r="R108" s="19" t="str">
        <f t="shared" si="28"/>
        <v/>
      </c>
      <c r="S108" s="27" t="str">
        <f t="shared" si="29"/>
        <v/>
      </c>
      <c r="T108" s="28" t="str">
        <f t="shared" si="30"/>
        <v/>
      </c>
      <c r="U108" s="28" t="str">
        <f t="shared" si="31"/>
        <v/>
      </c>
      <c r="V108" s="28" t="str">
        <f t="shared" si="32"/>
        <v/>
      </c>
      <c r="W108" s="28" t="str">
        <f t="shared" si="33"/>
        <v/>
      </c>
      <c r="X108" s="29" t="str">
        <f t="shared" si="3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8"/>
        <v/>
      </c>
      <c r="M109" s="19" t="str">
        <f t="shared" si="39"/>
        <v/>
      </c>
      <c r="N109" s="19" t="str">
        <f t="shared" si="27"/>
        <v/>
      </c>
      <c r="O109" s="19" t="str">
        <f t="shared" si="35"/>
        <v/>
      </c>
      <c r="P109" s="19" t="str">
        <f t="shared" si="36"/>
        <v/>
      </c>
      <c r="Q109" s="19" t="str">
        <f t="shared" si="37"/>
        <v/>
      </c>
      <c r="R109" s="19" t="str">
        <f t="shared" si="28"/>
        <v/>
      </c>
      <c r="S109" s="27" t="str">
        <f t="shared" si="29"/>
        <v/>
      </c>
      <c r="T109" s="28" t="str">
        <f t="shared" si="30"/>
        <v/>
      </c>
      <c r="U109" s="28" t="str">
        <f t="shared" si="31"/>
        <v/>
      </c>
      <c r="V109" s="28" t="str">
        <f t="shared" si="32"/>
        <v/>
      </c>
      <c r="W109" s="28" t="str">
        <f t="shared" si="33"/>
        <v/>
      </c>
      <c r="X109" s="29" t="str">
        <f t="shared" si="3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8"/>
        <v/>
      </c>
      <c r="M110" s="19" t="str">
        <f t="shared" si="39"/>
        <v/>
      </c>
      <c r="N110" s="19" t="str">
        <f t="shared" si="27"/>
        <v/>
      </c>
      <c r="O110" s="19" t="str">
        <f t="shared" si="35"/>
        <v/>
      </c>
      <c r="P110" s="19" t="str">
        <f t="shared" si="36"/>
        <v/>
      </c>
      <c r="Q110" s="19" t="str">
        <f t="shared" si="37"/>
        <v/>
      </c>
      <c r="R110" s="19" t="str">
        <f t="shared" si="28"/>
        <v/>
      </c>
      <c r="S110" s="27" t="str">
        <f t="shared" si="29"/>
        <v/>
      </c>
      <c r="T110" s="28" t="str">
        <f t="shared" si="30"/>
        <v/>
      </c>
      <c r="U110" s="28" t="str">
        <f t="shared" si="31"/>
        <v/>
      </c>
      <c r="V110" s="28" t="str">
        <f t="shared" si="32"/>
        <v/>
      </c>
      <c r="W110" s="28" t="str">
        <f t="shared" si="33"/>
        <v/>
      </c>
      <c r="X110" s="29" t="str">
        <f t="shared" si="3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8"/>
        <v/>
      </c>
      <c r="M111" s="19" t="str">
        <f t="shared" si="39"/>
        <v/>
      </c>
      <c r="N111" s="19" t="str">
        <f t="shared" si="27"/>
        <v/>
      </c>
      <c r="O111" s="19" t="str">
        <f t="shared" si="35"/>
        <v/>
      </c>
      <c r="P111" s="19" t="str">
        <f t="shared" si="36"/>
        <v/>
      </c>
      <c r="Q111" s="19" t="str">
        <f t="shared" si="37"/>
        <v/>
      </c>
      <c r="R111" s="19" t="str">
        <f t="shared" si="28"/>
        <v/>
      </c>
      <c r="S111" s="27" t="str">
        <f t="shared" si="29"/>
        <v/>
      </c>
      <c r="T111" s="28" t="str">
        <f t="shared" si="30"/>
        <v/>
      </c>
      <c r="U111" s="28" t="str">
        <f t="shared" si="31"/>
        <v/>
      </c>
      <c r="V111" s="28" t="str">
        <f t="shared" si="32"/>
        <v/>
      </c>
      <c r="W111" s="28" t="str">
        <f t="shared" si="33"/>
        <v/>
      </c>
      <c r="X111" s="29" t="str">
        <f t="shared" si="3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8"/>
        <v/>
      </c>
      <c r="M112" s="19" t="str">
        <f t="shared" si="39"/>
        <v/>
      </c>
      <c r="N112" s="19" t="str">
        <f t="shared" ref="N112:N143" si="40">IF(ISBLANK(E112),"",(E112-E$16)*1000)</f>
        <v/>
      </c>
      <c r="O112" s="19" t="str">
        <f t="shared" si="35"/>
        <v/>
      </c>
      <c r="P112" s="19" t="str">
        <f t="shared" si="36"/>
        <v/>
      </c>
      <c r="Q112" s="19" t="str">
        <f t="shared" si="37"/>
        <v/>
      </c>
      <c r="R112" s="19" t="str">
        <f t="shared" ref="R112:R143" si="41">IF(ISBLANK(I112),"",(I112-I$16)*1000)</f>
        <v/>
      </c>
      <c r="S112" s="27" t="str">
        <f t="shared" si="29"/>
        <v/>
      </c>
      <c r="T112" s="28" t="str">
        <f t="shared" si="30"/>
        <v/>
      </c>
      <c r="U112" s="28" t="str">
        <f t="shared" si="31"/>
        <v/>
      </c>
      <c r="V112" s="28" t="str">
        <f t="shared" si="32"/>
        <v/>
      </c>
      <c r="W112" s="28" t="str">
        <f t="shared" si="33"/>
        <v/>
      </c>
      <c r="X112" s="29" t="str">
        <f t="shared" si="3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8"/>
        <v/>
      </c>
      <c r="M113" s="19" t="str">
        <f t="shared" si="39"/>
        <v/>
      </c>
      <c r="N113" s="19" t="str">
        <f t="shared" si="40"/>
        <v/>
      </c>
      <c r="O113" s="19" t="str">
        <f t="shared" si="35"/>
        <v/>
      </c>
      <c r="P113" s="19" t="str">
        <f t="shared" si="36"/>
        <v/>
      </c>
      <c r="Q113" s="19" t="str">
        <f t="shared" si="37"/>
        <v/>
      </c>
      <c r="R113" s="19" t="str">
        <f t="shared" si="41"/>
        <v/>
      </c>
      <c r="S113" s="27" t="str">
        <f t="shared" ref="S113:S144" si="42">IF(C113="","",((C113-C112)*1000)/($B113-$B112))</f>
        <v/>
      </c>
      <c r="T113" s="28" t="str">
        <f t="shared" ref="T113:T144" si="43">IF(D113="","",((D113-D112)*1000)/($B113-$B112))</f>
        <v/>
      </c>
      <c r="U113" s="28" t="str">
        <f t="shared" ref="U113:U144" si="44">IF(E113="","",((E113-E112)*1000)/($B113-$B112))</f>
        <v/>
      </c>
      <c r="V113" s="28" t="str">
        <f t="shared" ref="V113:V144" si="45">IF(F113="","",((F113-F112)*1000)/($B113-$B112))</f>
        <v/>
      </c>
      <c r="W113" s="28" t="str">
        <f t="shared" ref="W113:W144" si="46">IF(G113="","",((G113-G112)*1000)/($B113-$B112))</f>
        <v/>
      </c>
      <c r="X113" s="29" t="str">
        <f t="shared" ref="X113:X144" si="47">IF(H113="","",((H113-H112)*1000)/($B113-$B112))</f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8"/>
        <v/>
      </c>
      <c r="M114" s="19" t="str">
        <f t="shared" si="39"/>
        <v/>
      </c>
      <c r="N114" s="19" t="str">
        <f t="shared" si="40"/>
        <v/>
      </c>
      <c r="O114" s="19" t="str">
        <f t="shared" si="35"/>
        <v/>
      </c>
      <c r="P114" s="19" t="str">
        <f t="shared" si="36"/>
        <v/>
      </c>
      <c r="Q114" s="19" t="str">
        <f t="shared" si="37"/>
        <v/>
      </c>
      <c r="R114" s="19" t="str">
        <f t="shared" si="41"/>
        <v/>
      </c>
      <c r="S114" s="27" t="str">
        <f t="shared" si="42"/>
        <v/>
      </c>
      <c r="T114" s="28" t="str">
        <f t="shared" si="43"/>
        <v/>
      </c>
      <c r="U114" s="28" t="str">
        <f t="shared" si="44"/>
        <v/>
      </c>
      <c r="V114" s="28" t="str">
        <f t="shared" si="45"/>
        <v/>
      </c>
      <c r="W114" s="28" t="str">
        <f t="shared" si="46"/>
        <v/>
      </c>
      <c r="X114" s="29" t="str">
        <f t="shared" si="4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8"/>
        <v/>
      </c>
      <c r="M115" s="19" t="str">
        <f t="shared" si="39"/>
        <v/>
      </c>
      <c r="N115" s="19" t="str">
        <f t="shared" si="40"/>
        <v/>
      </c>
      <c r="O115" s="19" t="str">
        <f t="shared" si="35"/>
        <v/>
      </c>
      <c r="P115" s="19" t="str">
        <f t="shared" si="36"/>
        <v/>
      </c>
      <c r="Q115" s="19" t="str">
        <f t="shared" si="37"/>
        <v/>
      </c>
      <c r="R115" s="19" t="str">
        <f t="shared" si="41"/>
        <v/>
      </c>
      <c r="S115" s="27" t="str">
        <f t="shared" si="42"/>
        <v/>
      </c>
      <c r="T115" s="28" t="str">
        <f t="shared" si="43"/>
        <v/>
      </c>
      <c r="U115" s="28" t="str">
        <f t="shared" si="44"/>
        <v/>
      </c>
      <c r="V115" s="28" t="str">
        <f t="shared" si="45"/>
        <v/>
      </c>
      <c r="W115" s="28" t="str">
        <f t="shared" si="46"/>
        <v/>
      </c>
      <c r="X115" s="29" t="str">
        <f t="shared" si="4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8"/>
        <v/>
      </c>
      <c r="M116" s="19" t="str">
        <f t="shared" si="39"/>
        <v/>
      </c>
      <c r="N116" s="19" t="str">
        <f t="shared" si="40"/>
        <v/>
      </c>
      <c r="O116" s="19" t="str">
        <f t="shared" si="35"/>
        <v/>
      </c>
      <c r="P116" s="19" t="str">
        <f t="shared" si="36"/>
        <v/>
      </c>
      <c r="Q116" s="19" t="str">
        <f t="shared" si="37"/>
        <v/>
      </c>
      <c r="R116" s="19" t="str">
        <f t="shared" si="41"/>
        <v/>
      </c>
      <c r="S116" s="27" t="str">
        <f t="shared" si="42"/>
        <v/>
      </c>
      <c r="T116" s="28" t="str">
        <f t="shared" si="43"/>
        <v/>
      </c>
      <c r="U116" s="28" t="str">
        <f t="shared" si="44"/>
        <v/>
      </c>
      <c r="V116" s="28" t="str">
        <f t="shared" si="45"/>
        <v/>
      </c>
      <c r="W116" s="28" t="str">
        <f t="shared" si="46"/>
        <v/>
      </c>
      <c r="X116" s="29" t="str">
        <f t="shared" si="4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8"/>
        <v/>
      </c>
      <c r="M117" s="19" t="str">
        <f t="shared" si="39"/>
        <v/>
      </c>
      <c r="N117" s="19" t="str">
        <f t="shared" si="40"/>
        <v/>
      </c>
      <c r="O117" s="19" t="str">
        <f t="shared" si="35"/>
        <v/>
      </c>
      <c r="P117" s="19" t="str">
        <f t="shared" si="36"/>
        <v/>
      </c>
      <c r="Q117" s="19" t="str">
        <f t="shared" si="37"/>
        <v/>
      </c>
      <c r="R117" s="19" t="str">
        <f t="shared" si="41"/>
        <v/>
      </c>
      <c r="S117" s="27" t="str">
        <f t="shared" si="42"/>
        <v/>
      </c>
      <c r="T117" s="28" t="str">
        <f t="shared" si="43"/>
        <v/>
      </c>
      <c r="U117" s="28" t="str">
        <f t="shared" si="44"/>
        <v/>
      </c>
      <c r="V117" s="28" t="str">
        <f t="shared" si="45"/>
        <v/>
      </c>
      <c r="W117" s="28" t="str">
        <f t="shared" si="46"/>
        <v/>
      </c>
      <c r="X117" s="29" t="str">
        <f t="shared" si="4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8"/>
        <v/>
      </c>
      <c r="M118" s="19" t="str">
        <f t="shared" si="39"/>
        <v/>
      </c>
      <c r="N118" s="19" t="str">
        <f t="shared" si="40"/>
        <v/>
      </c>
      <c r="O118" s="19" t="str">
        <f t="shared" si="35"/>
        <v/>
      </c>
      <c r="P118" s="19" t="str">
        <f t="shared" si="36"/>
        <v/>
      </c>
      <c r="Q118" s="19" t="str">
        <f t="shared" si="37"/>
        <v/>
      </c>
      <c r="R118" s="19" t="str">
        <f t="shared" si="41"/>
        <v/>
      </c>
      <c r="S118" s="27" t="str">
        <f t="shared" si="42"/>
        <v/>
      </c>
      <c r="T118" s="28" t="str">
        <f t="shared" si="43"/>
        <v/>
      </c>
      <c r="U118" s="28" t="str">
        <f t="shared" si="44"/>
        <v/>
      </c>
      <c r="V118" s="28" t="str">
        <f t="shared" si="45"/>
        <v/>
      </c>
      <c r="W118" s="28" t="str">
        <f t="shared" si="46"/>
        <v/>
      </c>
      <c r="X118" s="29" t="str">
        <f t="shared" si="4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8"/>
        <v/>
      </c>
      <c r="M119" s="19" t="str">
        <f t="shared" si="39"/>
        <v/>
      </c>
      <c r="N119" s="19" t="str">
        <f t="shared" si="40"/>
        <v/>
      </c>
      <c r="O119" s="19" t="str">
        <f t="shared" si="35"/>
        <v/>
      </c>
      <c r="P119" s="19" t="str">
        <f t="shared" si="36"/>
        <v/>
      </c>
      <c r="Q119" s="19" t="str">
        <f t="shared" si="37"/>
        <v/>
      </c>
      <c r="R119" s="19" t="str">
        <f t="shared" si="41"/>
        <v/>
      </c>
      <c r="S119" s="27" t="str">
        <f t="shared" si="42"/>
        <v/>
      </c>
      <c r="T119" s="28" t="str">
        <f t="shared" si="43"/>
        <v/>
      </c>
      <c r="U119" s="28" t="str">
        <f t="shared" si="44"/>
        <v/>
      </c>
      <c r="V119" s="28" t="str">
        <f t="shared" si="45"/>
        <v/>
      </c>
      <c r="W119" s="28" t="str">
        <f t="shared" si="46"/>
        <v/>
      </c>
      <c r="X119" s="29" t="str">
        <f t="shared" si="4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8"/>
        <v/>
      </c>
      <c r="M120" s="19" t="str">
        <f t="shared" si="39"/>
        <v/>
      </c>
      <c r="N120" s="19" t="str">
        <f t="shared" si="40"/>
        <v/>
      </c>
      <c r="O120" s="19" t="str">
        <f t="shared" si="35"/>
        <v/>
      </c>
      <c r="P120" s="19" t="str">
        <f t="shared" si="36"/>
        <v/>
      </c>
      <c r="Q120" s="19" t="str">
        <f t="shared" si="37"/>
        <v/>
      </c>
      <c r="R120" s="19" t="str">
        <f t="shared" si="41"/>
        <v/>
      </c>
      <c r="S120" s="27" t="str">
        <f t="shared" si="42"/>
        <v/>
      </c>
      <c r="T120" s="28" t="str">
        <f t="shared" si="43"/>
        <v/>
      </c>
      <c r="U120" s="28" t="str">
        <f t="shared" si="44"/>
        <v/>
      </c>
      <c r="V120" s="28" t="str">
        <f t="shared" si="45"/>
        <v/>
      </c>
      <c r="W120" s="28" t="str">
        <f t="shared" si="46"/>
        <v/>
      </c>
      <c r="X120" s="29" t="str">
        <f t="shared" si="4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8"/>
        <v/>
      </c>
      <c r="M121" s="19" t="str">
        <f t="shared" si="39"/>
        <v/>
      </c>
      <c r="N121" s="19" t="str">
        <f t="shared" si="40"/>
        <v/>
      </c>
      <c r="O121" s="19" t="str">
        <f t="shared" si="35"/>
        <v/>
      </c>
      <c r="P121" s="19" t="str">
        <f t="shared" si="36"/>
        <v/>
      </c>
      <c r="Q121" s="19" t="str">
        <f t="shared" si="37"/>
        <v/>
      </c>
      <c r="R121" s="19" t="str">
        <f t="shared" si="41"/>
        <v/>
      </c>
      <c r="S121" s="27" t="str">
        <f t="shared" si="42"/>
        <v/>
      </c>
      <c r="T121" s="28" t="str">
        <f t="shared" si="43"/>
        <v/>
      </c>
      <c r="U121" s="28" t="str">
        <f t="shared" si="44"/>
        <v/>
      </c>
      <c r="V121" s="28" t="str">
        <f t="shared" si="45"/>
        <v/>
      </c>
      <c r="W121" s="28" t="str">
        <f t="shared" si="46"/>
        <v/>
      </c>
      <c r="X121" s="29" t="str">
        <f t="shared" si="4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8"/>
        <v/>
      </c>
      <c r="M122" s="19" t="str">
        <f t="shared" si="39"/>
        <v/>
      </c>
      <c r="N122" s="19" t="str">
        <f t="shared" si="40"/>
        <v/>
      </c>
      <c r="O122" s="19" t="str">
        <f t="shared" si="35"/>
        <v/>
      </c>
      <c r="P122" s="19" t="str">
        <f t="shared" si="36"/>
        <v/>
      </c>
      <c r="Q122" s="19" t="str">
        <f t="shared" si="37"/>
        <v/>
      </c>
      <c r="R122" s="19" t="str">
        <f t="shared" si="41"/>
        <v/>
      </c>
      <c r="S122" s="27" t="str">
        <f t="shared" si="42"/>
        <v/>
      </c>
      <c r="T122" s="28" t="str">
        <f t="shared" si="43"/>
        <v/>
      </c>
      <c r="U122" s="28" t="str">
        <f t="shared" si="44"/>
        <v/>
      </c>
      <c r="V122" s="28" t="str">
        <f t="shared" si="45"/>
        <v/>
      </c>
      <c r="W122" s="28" t="str">
        <f t="shared" si="46"/>
        <v/>
      </c>
      <c r="X122" s="29" t="str">
        <f t="shared" si="4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8"/>
        <v/>
      </c>
      <c r="M123" s="19" t="str">
        <f t="shared" si="39"/>
        <v/>
      </c>
      <c r="N123" s="19" t="str">
        <f t="shared" si="40"/>
        <v/>
      </c>
      <c r="O123" s="19" t="str">
        <f t="shared" si="35"/>
        <v/>
      </c>
      <c r="P123" s="19" t="str">
        <f t="shared" si="36"/>
        <v/>
      </c>
      <c r="Q123" s="19" t="str">
        <f t="shared" si="37"/>
        <v/>
      </c>
      <c r="R123" s="19" t="str">
        <f t="shared" si="41"/>
        <v/>
      </c>
      <c r="S123" s="27" t="str">
        <f t="shared" si="42"/>
        <v/>
      </c>
      <c r="T123" s="28" t="str">
        <f t="shared" si="43"/>
        <v/>
      </c>
      <c r="U123" s="28" t="str">
        <f t="shared" si="44"/>
        <v/>
      </c>
      <c r="V123" s="28" t="str">
        <f t="shared" si="45"/>
        <v/>
      </c>
      <c r="W123" s="28" t="str">
        <f t="shared" si="46"/>
        <v/>
      </c>
      <c r="X123" s="29" t="str">
        <f t="shared" si="4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8"/>
        <v/>
      </c>
      <c r="M124" s="19" t="str">
        <f t="shared" si="39"/>
        <v/>
      </c>
      <c r="N124" s="19" t="str">
        <f t="shared" si="40"/>
        <v/>
      </c>
      <c r="O124" s="19" t="str">
        <f t="shared" si="35"/>
        <v/>
      </c>
      <c r="P124" s="19" t="str">
        <f t="shared" si="36"/>
        <v/>
      </c>
      <c r="Q124" s="19" t="str">
        <f t="shared" si="37"/>
        <v/>
      </c>
      <c r="R124" s="19" t="str">
        <f t="shared" si="41"/>
        <v/>
      </c>
      <c r="S124" s="27" t="str">
        <f t="shared" si="42"/>
        <v/>
      </c>
      <c r="T124" s="28" t="str">
        <f t="shared" si="43"/>
        <v/>
      </c>
      <c r="U124" s="28" t="str">
        <f t="shared" si="44"/>
        <v/>
      </c>
      <c r="V124" s="28" t="str">
        <f t="shared" si="45"/>
        <v/>
      </c>
      <c r="W124" s="28" t="str">
        <f t="shared" si="46"/>
        <v/>
      </c>
      <c r="X124" s="29" t="str">
        <f t="shared" si="4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8"/>
        <v/>
      </c>
      <c r="M125" s="19" t="str">
        <f t="shared" si="39"/>
        <v/>
      </c>
      <c r="N125" s="19" t="str">
        <f t="shared" si="40"/>
        <v/>
      </c>
      <c r="O125" s="19" t="str">
        <f t="shared" si="35"/>
        <v/>
      </c>
      <c r="P125" s="19" t="str">
        <f t="shared" si="36"/>
        <v/>
      </c>
      <c r="Q125" s="19" t="str">
        <f t="shared" si="37"/>
        <v/>
      </c>
      <c r="R125" s="19" t="str">
        <f t="shared" si="41"/>
        <v/>
      </c>
      <c r="S125" s="27" t="str">
        <f t="shared" si="42"/>
        <v/>
      </c>
      <c r="T125" s="28" t="str">
        <f t="shared" si="43"/>
        <v/>
      </c>
      <c r="U125" s="28" t="str">
        <f t="shared" si="44"/>
        <v/>
      </c>
      <c r="V125" s="28" t="str">
        <f t="shared" si="45"/>
        <v/>
      </c>
      <c r="W125" s="28" t="str">
        <f t="shared" si="46"/>
        <v/>
      </c>
      <c r="X125" s="29" t="str">
        <f t="shared" si="4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8"/>
        <v/>
      </c>
      <c r="M126" s="19" t="str">
        <f t="shared" si="39"/>
        <v/>
      </c>
      <c r="N126" s="19" t="str">
        <f t="shared" si="40"/>
        <v/>
      </c>
      <c r="O126" s="19" t="str">
        <f t="shared" si="35"/>
        <v/>
      </c>
      <c r="P126" s="19" t="str">
        <f t="shared" si="36"/>
        <v/>
      </c>
      <c r="Q126" s="19" t="str">
        <f t="shared" si="37"/>
        <v/>
      </c>
      <c r="R126" s="19" t="str">
        <f t="shared" si="41"/>
        <v/>
      </c>
      <c r="S126" s="27" t="str">
        <f t="shared" si="42"/>
        <v/>
      </c>
      <c r="T126" s="28" t="str">
        <f t="shared" si="43"/>
        <v/>
      </c>
      <c r="U126" s="28" t="str">
        <f t="shared" si="44"/>
        <v/>
      </c>
      <c r="V126" s="28" t="str">
        <f t="shared" si="45"/>
        <v/>
      </c>
      <c r="W126" s="28" t="str">
        <f t="shared" si="46"/>
        <v/>
      </c>
      <c r="X126" s="29" t="str">
        <f t="shared" si="4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8"/>
        <v/>
      </c>
      <c r="M127" s="19" t="str">
        <f t="shared" si="39"/>
        <v/>
      </c>
      <c r="N127" s="19" t="str">
        <f t="shared" si="40"/>
        <v/>
      </c>
      <c r="O127" s="19" t="str">
        <f t="shared" si="35"/>
        <v/>
      </c>
      <c r="P127" s="19" t="str">
        <f t="shared" si="36"/>
        <v/>
      </c>
      <c r="Q127" s="19" t="str">
        <f t="shared" si="37"/>
        <v/>
      </c>
      <c r="R127" s="19" t="str">
        <f t="shared" si="41"/>
        <v/>
      </c>
      <c r="S127" s="27" t="str">
        <f t="shared" si="42"/>
        <v/>
      </c>
      <c r="T127" s="28" t="str">
        <f t="shared" si="43"/>
        <v/>
      </c>
      <c r="U127" s="28" t="str">
        <f t="shared" si="44"/>
        <v/>
      </c>
      <c r="V127" s="28" t="str">
        <f t="shared" si="45"/>
        <v/>
      </c>
      <c r="W127" s="28" t="str">
        <f t="shared" si="46"/>
        <v/>
      </c>
      <c r="X127" s="29" t="str">
        <f t="shared" si="4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8"/>
        <v/>
      </c>
      <c r="M128" s="19" t="str">
        <f t="shared" si="39"/>
        <v/>
      </c>
      <c r="N128" s="19" t="str">
        <f t="shared" si="40"/>
        <v/>
      </c>
      <c r="O128" s="19" t="str">
        <f t="shared" si="35"/>
        <v/>
      </c>
      <c r="P128" s="19" t="str">
        <f t="shared" si="36"/>
        <v/>
      </c>
      <c r="Q128" s="19" t="str">
        <f t="shared" si="37"/>
        <v/>
      </c>
      <c r="R128" s="19" t="str">
        <f t="shared" si="41"/>
        <v/>
      </c>
      <c r="S128" s="27" t="str">
        <f t="shared" si="42"/>
        <v/>
      </c>
      <c r="T128" s="28" t="str">
        <f t="shared" si="43"/>
        <v/>
      </c>
      <c r="U128" s="28" t="str">
        <f t="shared" si="44"/>
        <v/>
      </c>
      <c r="V128" s="28" t="str">
        <f t="shared" si="45"/>
        <v/>
      </c>
      <c r="W128" s="28" t="str">
        <f t="shared" si="46"/>
        <v/>
      </c>
      <c r="X128" s="29" t="str">
        <f t="shared" si="4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8"/>
        <v/>
      </c>
      <c r="M129" s="19" t="str">
        <f t="shared" si="39"/>
        <v/>
      </c>
      <c r="N129" s="19" t="str">
        <f t="shared" si="40"/>
        <v/>
      </c>
      <c r="O129" s="19" t="str">
        <f t="shared" si="35"/>
        <v/>
      </c>
      <c r="P129" s="19" t="str">
        <f t="shared" si="36"/>
        <v/>
      </c>
      <c r="Q129" s="19" t="str">
        <f t="shared" si="37"/>
        <v/>
      </c>
      <c r="R129" s="19" t="str">
        <f t="shared" si="41"/>
        <v/>
      </c>
      <c r="S129" s="27" t="str">
        <f t="shared" si="42"/>
        <v/>
      </c>
      <c r="T129" s="28" t="str">
        <f t="shared" si="43"/>
        <v/>
      </c>
      <c r="U129" s="28" t="str">
        <f t="shared" si="44"/>
        <v/>
      </c>
      <c r="V129" s="28" t="str">
        <f t="shared" si="45"/>
        <v/>
      </c>
      <c r="W129" s="28" t="str">
        <f t="shared" si="46"/>
        <v/>
      </c>
      <c r="X129" s="29" t="str">
        <f t="shared" si="4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8"/>
        <v/>
      </c>
      <c r="M130" s="19" t="str">
        <f t="shared" si="39"/>
        <v/>
      </c>
      <c r="N130" s="19" t="str">
        <f t="shared" si="40"/>
        <v/>
      </c>
      <c r="O130" s="19" t="str">
        <f t="shared" si="35"/>
        <v/>
      </c>
      <c r="P130" s="19" t="str">
        <f t="shared" si="36"/>
        <v/>
      </c>
      <c r="Q130" s="19" t="str">
        <f t="shared" si="37"/>
        <v/>
      </c>
      <c r="R130" s="19" t="str">
        <f t="shared" si="41"/>
        <v/>
      </c>
      <c r="S130" s="27" t="str">
        <f t="shared" si="42"/>
        <v/>
      </c>
      <c r="T130" s="28" t="str">
        <f t="shared" si="43"/>
        <v/>
      </c>
      <c r="U130" s="28" t="str">
        <f t="shared" si="44"/>
        <v/>
      </c>
      <c r="V130" s="28" t="str">
        <f t="shared" si="45"/>
        <v/>
      </c>
      <c r="W130" s="28" t="str">
        <f t="shared" si="46"/>
        <v/>
      </c>
      <c r="X130" s="29" t="str">
        <f t="shared" si="4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8"/>
        <v/>
      </c>
      <c r="M131" s="19" t="str">
        <f t="shared" si="39"/>
        <v/>
      </c>
      <c r="N131" s="19" t="str">
        <f t="shared" si="40"/>
        <v/>
      </c>
      <c r="O131" s="19" t="str">
        <f t="shared" si="35"/>
        <v/>
      </c>
      <c r="P131" s="19" t="str">
        <f t="shared" si="36"/>
        <v/>
      </c>
      <c r="Q131" s="19" t="str">
        <f t="shared" si="37"/>
        <v/>
      </c>
      <c r="R131" s="19" t="str">
        <f t="shared" si="41"/>
        <v/>
      </c>
      <c r="S131" s="27" t="str">
        <f t="shared" si="42"/>
        <v/>
      </c>
      <c r="T131" s="28" t="str">
        <f t="shared" si="43"/>
        <v/>
      </c>
      <c r="U131" s="28" t="str">
        <f t="shared" si="44"/>
        <v/>
      </c>
      <c r="V131" s="28" t="str">
        <f t="shared" si="45"/>
        <v/>
      </c>
      <c r="W131" s="28" t="str">
        <f t="shared" si="46"/>
        <v/>
      </c>
      <c r="X131" s="29" t="str">
        <f t="shared" si="4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8"/>
        <v/>
      </c>
      <c r="M132" s="19" t="str">
        <f t="shared" si="39"/>
        <v/>
      </c>
      <c r="N132" s="19" t="str">
        <f t="shared" si="40"/>
        <v/>
      </c>
      <c r="O132" s="19" t="str">
        <f t="shared" si="35"/>
        <v/>
      </c>
      <c r="P132" s="19" t="str">
        <f t="shared" si="36"/>
        <v/>
      </c>
      <c r="Q132" s="19" t="str">
        <f t="shared" si="37"/>
        <v/>
      </c>
      <c r="R132" s="19" t="str">
        <f t="shared" si="41"/>
        <v/>
      </c>
      <c r="S132" s="27" t="str">
        <f t="shared" si="42"/>
        <v/>
      </c>
      <c r="T132" s="28" t="str">
        <f t="shared" si="43"/>
        <v/>
      </c>
      <c r="U132" s="28" t="str">
        <f t="shared" si="44"/>
        <v/>
      </c>
      <c r="V132" s="28" t="str">
        <f t="shared" si="45"/>
        <v/>
      </c>
      <c r="W132" s="28" t="str">
        <f t="shared" si="46"/>
        <v/>
      </c>
      <c r="X132" s="29" t="str">
        <f t="shared" si="4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8"/>
        <v/>
      </c>
      <c r="M133" s="19" t="str">
        <f t="shared" si="39"/>
        <v/>
      </c>
      <c r="N133" s="19" t="str">
        <f t="shared" si="40"/>
        <v/>
      </c>
      <c r="O133" s="19" t="str">
        <f t="shared" si="35"/>
        <v/>
      </c>
      <c r="P133" s="19" t="str">
        <f t="shared" si="36"/>
        <v/>
      </c>
      <c r="Q133" s="19" t="str">
        <f t="shared" si="37"/>
        <v/>
      </c>
      <c r="R133" s="19" t="str">
        <f t="shared" si="41"/>
        <v/>
      </c>
      <c r="S133" s="27" t="str">
        <f t="shared" si="42"/>
        <v/>
      </c>
      <c r="T133" s="28" t="str">
        <f t="shared" si="43"/>
        <v/>
      </c>
      <c r="U133" s="28" t="str">
        <f t="shared" si="44"/>
        <v/>
      </c>
      <c r="V133" s="28" t="str">
        <f t="shared" si="45"/>
        <v/>
      </c>
      <c r="W133" s="28" t="str">
        <f t="shared" si="46"/>
        <v/>
      </c>
      <c r="X133" s="29" t="str">
        <f t="shared" si="4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8"/>
        <v/>
      </c>
      <c r="M134" s="19" t="str">
        <f t="shared" si="39"/>
        <v/>
      </c>
      <c r="N134" s="19" t="str">
        <f t="shared" si="40"/>
        <v/>
      </c>
      <c r="O134" s="19" t="str">
        <f t="shared" si="35"/>
        <v/>
      </c>
      <c r="P134" s="19" t="str">
        <f t="shared" si="36"/>
        <v/>
      </c>
      <c r="Q134" s="19" t="str">
        <f t="shared" si="37"/>
        <v/>
      </c>
      <c r="R134" s="19" t="str">
        <f t="shared" si="41"/>
        <v/>
      </c>
      <c r="S134" s="27" t="str">
        <f t="shared" si="42"/>
        <v/>
      </c>
      <c r="T134" s="28" t="str">
        <f t="shared" si="43"/>
        <v/>
      </c>
      <c r="U134" s="28" t="str">
        <f t="shared" si="44"/>
        <v/>
      </c>
      <c r="V134" s="28" t="str">
        <f t="shared" si="45"/>
        <v/>
      </c>
      <c r="W134" s="28" t="str">
        <f t="shared" si="46"/>
        <v/>
      </c>
      <c r="X134" s="29" t="str">
        <f t="shared" si="4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8"/>
        <v/>
      </c>
      <c r="M135" s="19" t="str">
        <f t="shared" si="39"/>
        <v/>
      </c>
      <c r="N135" s="19" t="str">
        <f t="shared" si="40"/>
        <v/>
      </c>
      <c r="O135" s="19" t="str">
        <f t="shared" si="35"/>
        <v/>
      </c>
      <c r="P135" s="19" t="str">
        <f t="shared" si="36"/>
        <v/>
      </c>
      <c r="Q135" s="19" t="str">
        <f t="shared" si="37"/>
        <v/>
      </c>
      <c r="R135" s="19" t="str">
        <f t="shared" si="41"/>
        <v/>
      </c>
      <c r="S135" s="27" t="str">
        <f t="shared" si="42"/>
        <v/>
      </c>
      <c r="T135" s="28" t="str">
        <f t="shared" si="43"/>
        <v/>
      </c>
      <c r="U135" s="28" t="str">
        <f t="shared" si="44"/>
        <v/>
      </c>
      <c r="V135" s="28" t="str">
        <f t="shared" si="45"/>
        <v/>
      </c>
      <c r="W135" s="28" t="str">
        <f t="shared" si="46"/>
        <v/>
      </c>
      <c r="X135" s="29" t="str">
        <f t="shared" si="4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8"/>
        <v/>
      </c>
      <c r="M136" s="19" t="str">
        <f t="shared" si="39"/>
        <v/>
      </c>
      <c r="N136" s="19" t="str">
        <f t="shared" si="40"/>
        <v/>
      </c>
      <c r="O136" s="19" t="str">
        <f t="shared" si="35"/>
        <v/>
      </c>
      <c r="P136" s="19" t="str">
        <f t="shared" si="36"/>
        <v/>
      </c>
      <c r="Q136" s="19" t="str">
        <f t="shared" si="37"/>
        <v/>
      </c>
      <c r="R136" s="19" t="str">
        <f t="shared" si="41"/>
        <v/>
      </c>
      <c r="S136" s="27" t="str">
        <f t="shared" si="42"/>
        <v/>
      </c>
      <c r="T136" s="28" t="str">
        <f t="shared" si="43"/>
        <v/>
      </c>
      <c r="U136" s="28" t="str">
        <f t="shared" si="44"/>
        <v/>
      </c>
      <c r="V136" s="28" t="str">
        <f t="shared" si="45"/>
        <v/>
      </c>
      <c r="W136" s="28" t="str">
        <f t="shared" si="46"/>
        <v/>
      </c>
      <c r="X136" s="29" t="str">
        <f t="shared" si="4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8"/>
        <v/>
      </c>
      <c r="M137" s="19" t="str">
        <f t="shared" si="39"/>
        <v/>
      </c>
      <c r="N137" s="19" t="str">
        <f t="shared" si="40"/>
        <v/>
      </c>
      <c r="O137" s="19" t="str">
        <f t="shared" si="35"/>
        <v/>
      </c>
      <c r="P137" s="19" t="str">
        <f t="shared" si="36"/>
        <v/>
      </c>
      <c r="Q137" s="19" t="str">
        <f t="shared" si="37"/>
        <v/>
      </c>
      <c r="R137" s="19" t="str">
        <f t="shared" si="41"/>
        <v/>
      </c>
      <c r="S137" s="27" t="str">
        <f t="shared" si="42"/>
        <v/>
      </c>
      <c r="T137" s="28" t="str">
        <f t="shared" si="43"/>
        <v/>
      </c>
      <c r="U137" s="28" t="str">
        <f t="shared" si="44"/>
        <v/>
      </c>
      <c r="V137" s="28" t="str">
        <f t="shared" si="45"/>
        <v/>
      </c>
      <c r="W137" s="28" t="str">
        <f t="shared" si="46"/>
        <v/>
      </c>
      <c r="X137" s="29" t="str">
        <f t="shared" si="4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8"/>
        <v/>
      </c>
      <c r="M138" s="19" t="str">
        <f t="shared" si="39"/>
        <v/>
      </c>
      <c r="N138" s="19" t="str">
        <f t="shared" si="40"/>
        <v/>
      </c>
      <c r="O138" s="19" t="str">
        <f t="shared" si="35"/>
        <v/>
      </c>
      <c r="P138" s="19" t="str">
        <f t="shared" si="36"/>
        <v/>
      </c>
      <c r="Q138" s="19" t="str">
        <f t="shared" si="37"/>
        <v/>
      </c>
      <c r="R138" s="19" t="str">
        <f t="shared" si="41"/>
        <v/>
      </c>
      <c r="S138" s="27" t="str">
        <f t="shared" si="42"/>
        <v/>
      </c>
      <c r="T138" s="28" t="str">
        <f t="shared" si="43"/>
        <v/>
      </c>
      <c r="U138" s="28" t="str">
        <f t="shared" si="44"/>
        <v/>
      </c>
      <c r="V138" s="28" t="str">
        <f t="shared" si="45"/>
        <v/>
      </c>
      <c r="W138" s="28" t="str">
        <f t="shared" si="46"/>
        <v/>
      </c>
      <c r="X138" s="29" t="str">
        <f t="shared" si="4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8"/>
        <v/>
      </c>
      <c r="M139" s="19" t="str">
        <f t="shared" si="39"/>
        <v/>
      </c>
      <c r="N139" s="19" t="str">
        <f t="shared" si="40"/>
        <v/>
      </c>
      <c r="O139" s="19" t="str">
        <f t="shared" si="35"/>
        <v/>
      </c>
      <c r="P139" s="19" t="str">
        <f t="shared" si="36"/>
        <v/>
      </c>
      <c r="Q139" s="19" t="str">
        <f t="shared" si="37"/>
        <v/>
      </c>
      <c r="R139" s="19" t="str">
        <f t="shared" si="41"/>
        <v/>
      </c>
      <c r="S139" s="27" t="str">
        <f t="shared" si="42"/>
        <v/>
      </c>
      <c r="T139" s="28" t="str">
        <f t="shared" si="43"/>
        <v/>
      </c>
      <c r="U139" s="28" t="str">
        <f t="shared" si="44"/>
        <v/>
      </c>
      <c r="V139" s="28" t="str">
        <f t="shared" si="45"/>
        <v/>
      </c>
      <c r="W139" s="28" t="str">
        <f t="shared" si="46"/>
        <v/>
      </c>
      <c r="X139" s="29" t="str">
        <f t="shared" si="4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8"/>
        <v/>
      </c>
      <c r="M140" s="19" t="str">
        <f t="shared" si="39"/>
        <v/>
      </c>
      <c r="N140" s="19" t="str">
        <f t="shared" si="40"/>
        <v/>
      </c>
      <c r="O140" s="19" t="str">
        <f t="shared" si="35"/>
        <v/>
      </c>
      <c r="P140" s="19" t="str">
        <f t="shared" si="36"/>
        <v/>
      </c>
      <c r="Q140" s="19" t="str">
        <f t="shared" si="37"/>
        <v/>
      </c>
      <c r="R140" s="19" t="str">
        <f t="shared" si="41"/>
        <v/>
      </c>
      <c r="S140" s="27" t="str">
        <f t="shared" si="42"/>
        <v/>
      </c>
      <c r="T140" s="28" t="str">
        <f t="shared" si="43"/>
        <v/>
      </c>
      <c r="U140" s="28" t="str">
        <f t="shared" si="44"/>
        <v/>
      </c>
      <c r="V140" s="28" t="str">
        <f t="shared" si="45"/>
        <v/>
      </c>
      <c r="W140" s="28" t="str">
        <f t="shared" si="46"/>
        <v/>
      </c>
      <c r="X140" s="29" t="str">
        <f t="shared" si="4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8"/>
        <v/>
      </c>
      <c r="M141" s="19" t="str">
        <f t="shared" si="39"/>
        <v/>
      </c>
      <c r="N141" s="19" t="str">
        <f t="shared" si="40"/>
        <v/>
      </c>
      <c r="O141" s="19" t="str">
        <f t="shared" si="35"/>
        <v/>
      </c>
      <c r="P141" s="19" t="str">
        <f t="shared" si="36"/>
        <v/>
      </c>
      <c r="Q141" s="19" t="str">
        <f t="shared" si="37"/>
        <v/>
      </c>
      <c r="R141" s="19" t="str">
        <f t="shared" si="41"/>
        <v/>
      </c>
      <c r="S141" s="27" t="str">
        <f t="shared" si="42"/>
        <v/>
      </c>
      <c r="T141" s="28" t="str">
        <f t="shared" si="43"/>
        <v/>
      </c>
      <c r="U141" s="28" t="str">
        <f t="shared" si="44"/>
        <v/>
      </c>
      <c r="V141" s="28" t="str">
        <f t="shared" si="45"/>
        <v/>
      </c>
      <c r="W141" s="28" t="str">
        <f t="shared" si="46"/>
        <v/>
      </c>
      <c r="X141" s="29" t="str">
        <f t="shared" si="4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8"/>
        <v/>
      </c>
      <c r="M142" s="19" t="str">
        <f t="shared" si="39"/>
        <v/>
      </c>
      <c r="N142" s="19" t="str">
        <f t="shared" si="40"/>
        <v/>
      </c>
      <c r="O142" s="19" t="str">
        <f t="shared" si="35"/>
        <v/>
      </c>
      <c r="P142" s="19" t="str">
        <f t="shared" si="36"/>
        <v/>
      </c>
      <c r="Q142" s="19" t="str">
        <f t="shared" si="37"/>
        <v/>
      </c>
      <c r="R142" s="19" t="str">
        <f t="shared" si="41"/>
        <v/>
      </c>
      <c r="S142" s="27" t="str">
        <f t="shared" si="42"/>
        <v/>
      </c>
      <c r="T142" s="28" t="str">
        <f t="shared" si="43"/>
        <v/>
      </c>
      <c r="U142" s="28" t="str">
        <f t="shared" si="44"/>
        <v/>
      </c>
      <c r="V142" s="28" t="str">
        <f t="shared" si="45"/>
        <v/>
      </c>
      <c r="W142" s="28" t="str">
        <f t="shared" si="46"/>
        <v/>
      </c>
      <c r="X142" s="29" t="str">
        <f t="shared" si="4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8"/>
        <v/>
      </c>
      <c r="M143" s="19" t="str">
        <f t="shared" si="39"/>
        <v/>
      </c>
      <c r="N143" s="19" t="str">
        <f t="shared" si="40"/>
        <v/>
      </c>
      <c r="O143" s="19" t="str">
        <f t="shared" si="35"/>
        <v/>
      </c>
      <c r="P143" s="19" t="str">
        <f t="shared" si="36"/>
        <v/>
      </c>
      <c r="Q143" s="19" t="str">
        <f t="shared" si="37"/>
        <v/>
      </c>
      <c r="R143" s="19" t="str">
        <f t="shared" si="41"/>
        <v/>
      </c>
      <c r="S143" s="27" t="str">
        <f t="shared" si="42"/>
        <v/>
      </c>
      <c r="T143" s="28" t="str">
        <f t="shared" si="43"/>
        <v/>
      </c>
      <c r="U143" s="28" t="str">
        <f t="shared" si="44"/>
        <v/>
      </c>
      <c r="V143" s="28" t="str">
        <f t="shared" si="45"/>
        <v/>
      </c>
      <c r="W143" s="28" t="str">
        <f t="shared" si="46"/>
        <v/>
      </c>
      <c r="X143" s="29" t="str">
        <f t="shared" si="4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8"/>
        <v/>
      </c>
      <c r="M144" s="19" t="str">
        <f t="shared" si="39"/>
        <v/>
      </c>
      <c r="N144" s="19" t="str">
        <f t="shared" ref="N144:N153" si="48">IF(ISBLANK(E144),"",(E144-E$16)*1000)</f>
        <v/>
      </c>
      <c r="O144" s="19" t="str">
        <f t="shared" si="35"/>
        <v/>
      </c>
      <c r="P144" s="19" t="str">
        <f t="shared" si="36"/>
        <v/>
      </c>
      <c r="Q144" s="19" t="str">
        <f t="shared" si="37"/>
        <v/>
      </c>
      <c r="R144" s="19" t="str">
        <f t="shared" ref="R144:R153" si="49">IF(ISBLANK(I144),"",(I144-I$16)*1000)</f>
        <v/>
      </c>
      <c r="S144" s="27" t="str">
        <f t="shared" si="42"/>
        <v/>
      </c>
      <c r="T144" s="28" t="str">
        <f t="shared" si="43"/>
        <v/>
      </c>
      <c r="U144" s="28" t="str">
        <f t="shared" si="44"/>
        <v/>
      </c>
      <c r="V144" s="28" t="str">
        <f t="shared" si="45"/>
        <v/>
      </c>
      <c r="W144" s="28" t="str">
        <f t="shared" si="46"/>
        <v/>
      </c>
      <c r="X144" s="29" t="str">
        <f t="shared" si="4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8"/>
        <v/>
      </c>
      <c r="M145" s="19" t="str">
        <f t="shared" si="39"/>
        <v/>
      </c>
      <c r="N145" s="19" t="str">
        <f t="shared" si="48"/>
        <v/>
      </c>
      <c r="O145" s="19" t="str">
        <f t="shared" si="35"/>
        <v/>
      </c>
      <c r="P145" s="19" t="str">
        <f t="shared" si="36"/>
        <v/>
      </c>
      <c r="Q145" s="19" t="str">
        <f t="shared" si="37"/>
        <v/>
      </c>
      <c r="R145" s="19" t="str">
        <f t="shared" si="49"/>
        <v/>
      </c>
      <c r="S145" s="27" t="str">
        <f t="shared" ref="S145:S153" si="50">IF(C145="","",((C145-C144)*1000)/($B145-$B144))</f>
        <v/>
      </c>
      <c r="T145" s="28" t="str">
        <f t="shared" ref="T145:T153" si="51">IF(D145="","",((D145-D144)*1000)/($B145-$B144))</f>
        <v/>
      </c>
      <c r="U145" s="28" t="str">
        <f t="shared" ref="U145:U153" si="52">IF(E145="","",((E145-E144)*1000)/($B145-$B144))</f>
        <v/>
      </c>
      <c r="V145" s="28" t="str">
        <f t="shared" ref="V145:V153" si="53">IF(F145="","",((F145-F144)*1000)/($B145-$B144))</f>
        <v/>
      </c>
      <c r="W145" s="28" t="str">
        <f t="shared" ref="W145:W153" si="54">IF(G145="","",((G145-G144)*1000)/($B145-$B144))</f>
        <v/>
      </c>
      <c r="X145" s="29" t="str">
        <f t="shared" ref="X145:X153" si="55">IF(H145="","",((H145-H144)*1000)/($B145-$B144))</f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8"/>
        <v/>
      </c>
      <c r="M146" s="19" t="str">
        <f t="shared" si="39"/>
        <v/>
      </c>
      <c r="N146" s="19" t="str">
        <f t="shared" si="48"/>
        <v/>
      </c>
      <c r="O146" s="19" t="str">
        <f t="shared" si="35"/>
        <v/>
      </c>
      <c r="P146" s="19" t="str">
        <f t="shared" si="36"/>
        <v/>
      </c>
      <c r="Q146" s="19" t="str">
        <f t="shared" si="37"/>
        <v/>
      </c>
      <c r="R146" s="19" t="str">
        <f t="shared" si="49"/>
        <v/>
      </c>
      <c r="S146" s="27" t="str">
        <f t="shared" si="50"/>
        <v/>
      </c>
      <c r="T146" s="28" t="str">
        <f t="shared" si="51"/>
        <v/>
      </c>
      <c r="U146" s="28" t="str">
        <f t="shared" si="52"/>
        <v/>
      </c>
      <c r="V146" s="28" t="str">
        <f t="shared" si="53"/>
        <v/>
      </c>
      <c r="W146" s="28" t="str">
        <f t="shared" si="54"/>
        <v/>
      </c>
      <c r="X146" s="29" t="str">
        <f t="shared" si="55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8"/>
        <v/>
      </c>
      <c r="M147" s="19" t="str">
        <f t="shared" si="39"/>
        <v/>
      </c>
      <c r="N147" s="19" t="str">
        <f t="shared" si="48"/>
        <v/>
      </c>
      <c r="O147" s="19" t="str">
        <f t="shared" si="35"/>
        <v/>
      </c>
      <c r="P147" s="19" t="str">
        <f t="shared" si="36"/>
        <v/>
      </c>
      <c r="Q147" s="19" t="str">
        <f t="shared" si="37"/>
        <v/>
      </c>
      <c r="R147" s="19" t="str">
        <f t="shared" si="49"/>
        <v/>
      </c>
      <c r="S147" s="27" t="str">
        <f t="shared" si="50"/>
        <v/>
      </c>
      <c r="T147" s="28" t="str">
        <f t="shared" si="51"/>
        <v/>
      </c>
      <c r="U147" s="28" t="str">
        <f t="shared" si="52"/>
        <v/>
      </c>
      <c r="V147" s="28" t="str">
        <f t="shared" si="53"/>
        <v/>
      </c>
      <c r="W147" s="28" t="str">
        <f t="shared" si="54"/>
        <v/>
      </c>
      <c r="X147" s="29" t="str">
        <f t="shared" si="55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8"/>
        <v/>
      </c>
      <c r="M148" s="19" t="str">
        <f t="shared" si="39"/>
        <v/>
      </c>
      <c r="N148" s="19" t="str">
        <f t="shared" si="48"/>
        <v/>
      </c>
      <c r="O148" s="19" t="str">
        <f t="shared" si="35"/>
        <v/>
      </c>
      <c r="P148" s="19" t="str">
        <f t="shared" si="36"/>
        <v/>
      </c>
      <c r="Q148" s="19" t="str">
        <f t="shared" si="37"/>
        <v/>
      </c>
      <c r="R148" s="19" t="str">
        <f t="shared" si="49"/>
        <v/>
      </c>
      <c r="S148" s="27" t="str">
        <f t="shared" si="50"/>
        <v/>
      </c>
      <c r="T148" s="28" t="str">
        <f t="shared" si="51"/>
        <v/>
      </c>
      <c r="U148" s="28" t="str">
        <f t="shared" si="52"/>
        <v/>
      </c>
      <c r="V148" s="28" t="str">
        <f t="shared" si="53"/>
        <v/>
      </c>
      <c r="W148" s="28" t="str">
        <f t="shared" si="54"/>
        <v/>
      </c>
      <c r="X148" s="29" t="str">
        <f t="shared" si="55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8"/>
        <v/>
      </c>
      <c r="M149" s="19" t="str">
        <f t="shared" si="39"/>
        <v/>
      </c>
      <c r="N149" s="19" t="str">
        <f t="shared" si="48"/>
        <v/>
      </c>
      <c r="O149" s="19" t="str">
        <f t="shared" si="35"/>
        <v/>
      </c>
      <c r="P149" s="19" t="str">
        <f t="shared" si="36"/>
        <v/>
      </c>
      <c r="Q149" s="19" t="str">
        <f t="shared" si="37"/>
        <v/>
      </c>
      <c r="R149" s="19" t="str">
        <f t="shared" si="49"/>
        <v/>
      </c>
      <c r="S149" s="27" t="str">
        <f t="shared" si="50"/>
        <v/>
      </c>
      <c r="T149" s="28" t="str">
        <f t="shared" si="51"/>
        <v/>
      </c>
      <c r="U149" s="28" t="str">
        <f t="shared" si="52"/>
        <v/>
      </c>
      <c r="V149" s="28" t="str">
        <f t="shared" si="53"/>
        <v/>
      </c>
      <c r="W149" s="28" t="str">
        <f t="shared" si="54"/>
        <v/>
      </c>
      <c r="X149" s="29" t="str">
        <f t="shared" si="55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8"/>
        <v/>
      </c>
      <c r="M150" s="19" t="str">
        <f t="shared" si="39"/>
        <v/>
      </c>
      <c r="N150" s="19" t="str">
        <f t="shared" si="48"/>
        <v/>
      </c>
      <c r="O150" s="19" t="str">
        <f t="shared" si="35"/>
        <v/>
      </c>
      <c r="P150" s="19" t="str">
        <f t="shared" si="36"/>
        <v/>
      </c>
      <c r="Q150" s="19" t="str">
        <f t="shared" si="37"/>
        <v/>
      </c>
      <c r="R150" s="19" t="str">
        <f t="shared" si="49"/>
        <v/>
      </c>
      <c r="S150" s="27" t="str">
        <f t="shared" si="50"/>
        <v/>
      </c>
      <c r="T150" s="28" t="str">
        <f t="shared" si="51"/>
        <v/>
      </c>
      <c r="U150" s="28" t="str">
        <f t="shared" si="52"/>
        <v/>
      </c>
      <c r="V150" s="28" t="str">
        <f t="shared" si="53"/>
        <v/>
      </c>
      <c r="W150" s="28" t="str">
        <f t="shared" si="54"/>
        <v/>
      </c>
      <c r="X150" s="29" t="str">
        <f t="shared" si="55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8"/>
        <v/>
      </c>
      <c r="M151" s="19" t="str">
        <f t="shared" si="39"/>
        <v/>
      </c>
      <c r="N151" s="19" t="str">
        <f t="shared" si="48"/>
        <v/>
      </c>
      <c r="O151" s="19" t="str">
        <f t="shared" ref="O151:Q153" si="56">IF(ISBLANK(F151),"",((F151-F$22)*1000)+L$22)</f>
        <v/>
      </c>
      <c r="P151" s="19" t="str">
        <f t="shared" si="56"/>
        <v/>
      </c>
      <c r="Q151" s="19" t="str">
        <f t="shared" si="56"/>
        <v/>
      </c>
      <c r="R151" s="19" t="str">
        <f t="shared" si="49"/>
        <v/>
      </c>
      <c r="S151" s="27" t="str">
        <f t="shared" si="50"/>
        <v/>
      </c>
      <c r="T151" s="28" t="str">
        <f t="shared" si="51"/>
        <v/>
      </c>
      <c r="U151" s="28" t="str">
        <f t="shared" si="52"/>
        <v/>
      </c>
      <c r="V151" s="28" t="str">
        <f t="shared" si="53"/>
        <v/>
      </c>
      <c r="W151" s="28" t="str">
        <f t="shared" si="54"/>
        <v/>
      </c>
      <c r="X151" s="29" t="str">
        <f t="shared" si="55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>IF(ISBLANK(C152),"",((C152-C$23)*1000)+L$22)</f>
        <v/>
      </c>
      <c r="M152" s="19" t="str">
        <f>IF(ISBLANK(D152),"",((D152-D$23)*1000)+M$22)</f>
        <v/>
      </c>
      <c r="N152" s="19" t="str">
        <f t="shared" si="48"/>
        <v/>
      </c>
      <c r="O152" s="19" t="str">
        <f t="shared" si="56"/>
        <v/>
      </c>
      <c r="P152" s="19" t="str">
        <f t="shared" si="56"/>
        <v/>
      </c>
      <c r="Q152" s="19" t="str">
        <f t="shared" si="56"/>
        <v/>
      </c>
      <c r="R152" s="19" t="str">
        <f t="shared" si="49"/>
        <v/>
      </c>
      <c r="S152" s="27" t="str">
        <f t="shared" si="50"/>
        <v/>
      </c>
      <c r="T152" s="28" t="str">
        <f t="shared" si="51"/>
        <v/>
      </c>
      <c r="U152" s="28" t="str">
        <f t="shared" si="52"/>
        <v/>
      </c>
      <c r="V152" s="28" t="str">
        <f t="shared" si="53"/>
        <v/>
      </c>
      <c r="W152" s="28" t="str">
        <f t="shared" si="54"/>
        <v/>
      </c>
      <c r="X152" s="29" t="str">
        <f t="shared" si="55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>IF(ISBLANK(C153),"",((C153-C$23)*1000)+L$22)</f>
        <v/>
      </c>
      <c r="M153" s="19" t="str">
        <f>IF(ISBLANK(D153),"",((D153-D$23)*1000)+M$22)</f>
        <v/>
      </c>
      <c r="N153" s="19" t="str">
        <f t="shared" si="48"/>
        <v/>
      </c>
      <c r="O153" s="19" t="str">
        <f t="shared" si="56"/>
        <v/>
      </c>
      <c r="P153" s="19" t="str">
        <f t="shared" si="56"/>
        <v/>
      </c>
      <c r="Q153" s="19" t="str">
        <f t="shared" si="56"/>
        <v/>
      </c>
      <c r="R153" s="19" t="str">
        <f t="shared" si="49"/>
        <v/>
      </c>
      <c r="S153" s="27" t="str">
        <f t="shared" si="50"/>
        <v/>
      </c>
      <c r="T153" s="28" t="str">
        <f t="shared" si="51"/>
        <v/>
      </c>
      <c r="U153" s="28" t="str">
        <f t="shared" si="52"/>
        <v/>
      </c>
      <c r="V153" s="28" t="str">
        <f t="shared" si="53"/>
        <v/>
      </c>
      <c r="W153" s="28" t="str">
        <f t="shared" si="54"/>
        <v/>
      </c>
      <c r="X153" s="29" t="str">
        <f t="shared" si="55"/>
        <v/>
      </c>
      <c r="Y153" s="24"/>
    </row>
  </sheetData>
  <sheetProtection selectLockedCells="1"/>
  <mergeCells count="38">
    <mergeCell ref="Y13:Y15"/>
    <mergeCell ref="B10:J12"/>
    <mergeCell ref="K10:S12"/>
    <mergeCell ref="T10:Y12"/>
    <mergeCell ref="B9:O9"/>
    <mergeCell ref="P9:Y9"/>
    <mergeCell ref="R5:V5"/>
    <mergeCell ref="E6:I6"/>
    <mergeCell ref="R6:V6"/>
    <mergeCell ref="AA9:AI9"/>
    <mergeCell ref="B13:B15"/>
    <mergeCell ref="C13:K13"/>
    <mergeCell ref="L13:R14"/>
    <mergeCell ref="S13:X14"/>
    <mergeCell ref="W8:Y8"/>
    <mergeCell ref="F14:H14"/>
    <mergeCell ref="I14:I15"/>
    <mergeCell ref="J14:K14"/>
    <mergeCell ref="R7:V7"/>
    <mergeCell ref="E8:I8"/>
    <mergeCell ref="J7:Q7"/>
    <mergeCell ref="C14:E14"/>
    <mergeCell ref="W7:Y7"/>
    <mergeCell ref="J6:Q6"/>
    <mergeCell ref="A1:J1"/>
    <mergeCell ref="E2:Q2"/>
    <mergeCell ref="R2:X4"/>
    <mergeCell ref="B5:D8"/>
    <mergeCell ref="J8:Q8"/>
    <mergeCell ref="R8:V8"/>
    <mergeCell ref="E7:I7"/>
    <mergeCell ref="J5:Q5"/>
    <mergeCell ref="Y2:Y4"/>
    <mergeCell ref="E3:Q3"/>
    <mergeCell ref="E4:Q4"/>
    <mergeCell ref="W6:Y6"/>
    <mergeCell ref="E5:I5"/>
    <mergeCell ref="W5:Y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6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TZ-26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54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41765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41767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410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668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55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41767</v>
      </c>
      <c r="C16" s="14">
        <v>13.177</v>
      </c>
      <c r="D16" s="15">
        <v>7.8280000000000003</v>
      </c>
      <c r="E16" s="15">
        <v>8.7110000000000003</v>
      </c>
      <c r="F16" s="42"/>
      <c r="G16" s="42"/>
      <c r="H16" s="42"/>
      <c r="I16" s="41">
        <v>103.78400000000001</v>
      </c>
      <c r="J16" s="62">
        <v>689</v>
      </c>
      <c r="K16" s="51">
        <f>IF(ISBLANK(J16),"",(J16-$J$8))</f>
        <v>21</v>
      </c>
      <c r="L16" s="19">
        <f t="shared" ref="L16:Q29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41768</v>
      </c>
      <c r="C17" s="25">
        <v>13.175000000000001</v>
      </c>
      <c r="D17" s="26">
        <v>7.827</v>
      </c>
      <c r="E17" s="26">
        <v>8.7100000000000009</v>
      </c>
      <c r="F17" s="16"/>
      <c r="G17" s="16"/>
      <c r="H17" s="16"/>
      <c r="I17" s="17">
        <v>103.78400000000001</v>
      </c>
      <c r="J17" s="58">
        <v>698</v>
      </c>
      <c r="K17" s="18">
        <f>IF(ISBLANK(J17),"",(J17-$J$8))</f>
        <v>30</v>
      </c>
      <c r="L17" s="19">
        <f t="shared" si="0"/>
        <v>-1.9999999999988916</v>
      </c>
      <c r="M17" s="19">
        <f t="shared" si="0"/>
        <v>-1.000000000000334</v>
      </c>
      <c r="N17" s="19">
        <f t="shared" si="0"/>
        <v>-0.99999999999944578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0</v>
      </c>
      <c r="S17" s="27">
        <f t="shared" ref="S17:X32" si="2">IF(C17="","",((C17-C16)*1000)/($B17-$B16))</f>
        <v>-1.9999999999988916</v>
      </c>
      <c r="T17" s="28">
        <f t="shared" si="2"/>
        <v>-1.000000000000334</v>
      </c>
      <c r="U17" s="28">
        <f t="shared" si="2"/>
        <v>-0.99999999999944578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41771</v>
      </c>
      <c r="C18" s="25">
        <v>13.176</v>
      </c>
      <c r="D18" s="26">
        <v>7.8259999999999996</v>
      </c>
      <c r="E18" s="26">
        <v>8.7100000000000009</v>
      </c>
      <c r="F18" s="16"/>
      <c r="G18" s="16"/>
      <c r="H18" s="16"/>
      <c r="I18" s="17">
        <v>103.78400000000001</v>
      </c>
      <c r="J18" s="58">
        <v>709</v>
      </c>
      <c r="K18" s="18">
        <f t="shared" ref="K18:K24" si="3">IF(ISBLANK(J18),"",(J18-$J$8))</f>
        <v>41</v>
      </c>
      <c r="L18" s="19">
        <f t="shared" si="0"/>
        <v>-0.99999999999944578</v>
      </c>
      <c r="M18" s="19">
        <f t="shared" si="0"/>
        <v>-2.0000000000006679</v>
      </c>
      <c r="N18" s="19">
        <f t="shared" si="0"/>
        <v>-0.99999999999944578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0</v>
      </c>
      <c r="S18" s="27">
        <f t="shared" si="2"/>
        <v>0.33333333333314857</v>
      </c>
      <c r="T18" s="28">
        <f t="shared" si="2"/>
        <v>-0.33333333333344467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41772</v>
      </c>
      <c r="C19" s="25">
        <v>13.176</v>
      </c>
      <c r="D19" s="26">
        <v>7.827</v>
      </c>
      <c r="E19" s="26">
        <v>8.7100000000000009</v>
      </c>
      <c r="F19" s="16"/>
      <c r="G19" s="16"/>
      <c r="H19" s="16"/>
      <c r="I19" s="17">
        <v>103.78400000000001</v>
      </c>
      <c r="J19" s="58">
        <v>722</v>
      </c>
      <c r="K19" s="18">
        <f t="shared" si="3"/>
        <v>54</v>
      </c>
      <c r="L19" s="19">
        <f t="shared" si="0"/>
        <v>-0.99999999999944578</v>
      </c>
      <c r="M19" s="19">
        <f t="shared" si="0"/>
        <v>-1.000000000000334</v>
      </c>
      <c r="N19" s="19">
        <f t="shared" si="0"/>
        <v>-0.99999999999944578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0</v>
      </c>
      <c r="S19" s="27">
        <f t="shared" si="2"/>
        <v>0</v>
      </c>
      <c r="T19" s="28">
        <f t="shared" si="2"/>
        <v>1.000000000000334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41773</v>
      </c>
      <c r="C20" s="25">
        <v>13.176</v>
      </c>
      <c r="D20" s="26">
        <v>7.8259999999999996</v>
      </c>
      <c r="E20" s="26">
        <v>8.7100000000000009</v>
      </c>
      <c r="F20" s="16"/>
      <c r="G20" s="16"/>
      <c r="H20" s="16"/>
      <c r="I20" s="17">
        <v>103.78400000000001</v>
      </c>
      <c r="J20" s="58">
        <v>730</v>
      </c>
      <c r="K20" s="18">
        <f t="shared" si="3"/>
        <v>62</v>
      </c>
      <c r="L20" s="19">
        <f t="shared" si="0"/>
        <v>-0.99999999999944578</v>
      </c>
      <c r="M20" s="19">
        <f t="shared" si="0"/>
        <v>-2.0000000000006679</v>
      </c>
      <c r="N20" s="19">
        <f t="shared" si="0"/>
        <v>-0.99999999999944578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0</v>
      </c>
      <c r="S20" s="27">
        <f t="shared" si="2"/>
        <v>0</v>
      </c>
      <c r="T20" s="28">
        <f t="shared" si="2"/>
        <v>-1.000000000000334</v>
      </c>
      <c r="U20" s="28">
        <f t="shared" si="2"/>
        <v>0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41774</v>
      </c>
      <c r="C21" s="25">
        <v>13.175000000000001</v>
      </c>
      <c r="D21" s="26">
        <v>7.827</v>
      </c>
      <c r="E21" s="26">
        <v>8.7089999999999996</v>
      </c>
      <c r="F21" s="16"/>
      <c r="G21" s="16"/>
      <c r="H21" s="16"/>
      <c r="I21" s="17">
        <v>103.78400000000001</v>
      </c>
      <c r="J21" s="58">
        <v>743</v>
      </c>
      <c r="K21" s="18">
        <f t="shared" si="3"/>
        <v>75</v>
      </c>
      <c r="L21" s="19">
        <f t="shared" si="0"/>
        <v>-1.9999999999988916</v>
      </c>
      <c r="M21" s="19">
        <f t="shared" si="0"/>
        <v>-1.000000000000334</v>
      </c>
      <c r="N21" s="19">
        <f t="shared" si="0"/>
        <v>-2.0000000000006679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-0.99999999999944578</v>
      </c>
      <c r="T21" s="28">
        <f t="shared" si="2"/>
        <v>1.000000000000334</v>
      </c>
      <c r="U21" s="28">
        <f t="shared" si="2"/>
        <v>-1.0000000000012221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41775</v>
      </c>
      <c r="C22" s="25">
        <v>13.176</v>
      </c>
      <c r="D22" s="26">
        <v>7.827</v>
      </c>
      <c r="E22" s="26">
        <v>8.7100000000000009</v>
      </c>
      <c r="F22" s="16"/>
      <c r="G22" s="16"/>
      <c r="H22" s="16"/>
      <c r="I22" s="17">
        <v>103.78400000000001</v>
      </c>
      <c r="J22" s="58">
        <v>750</v>
      </c>
      <c r="K22" s="18">
        <f t="shared" si="3"/>
        <v>82</v>
      </c>
      <c r="L22" s="19">
        <f t="shared" si="0"/>
        <v>-0.99999999999944578</v>
      </c>
      <c r="M22" s="19">
        <f t="shared" si="0"/>
        <v>-1.000000000000334</v>
      </c>
      <c r="N22" s="19">
        <f t="shared" si="0"/>
        <v>-0.99999999999944578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0.99999999999944578</v>
      </c>
      <c r="T22" s="28">
        <f t="shared" si="2"/>
        <v>0</v>
      </c>
      <c r="U22" s="28">
        <f t="shared" si="2"/>
        <v>1.0000000000012221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41778</v>
      </c>
      <c r="C23" s="25">
        <v>13.176</v>
      </c>
      <c r="D23" s="26">
        <v>7.827</v>
      </c>
      <c r="E23" s="26">
        <v>8.7100000000000009</v>
      </c>
      <c r="F23" s="16"/>
      <c r="G23" s="16"/>
      <c r="H23" s="16"/>
      <c r="I23" s="17">
        <v>103.78400000000001</v>
      </c>
      <c r="J23" s="58">
        <v>763</v>
      </c>
      <c r="K23" s="18">
        <f t="shared" si="3"/>
        <v>95</v>
      </c>
      <c r="L23" s="19">
        <f t="shared" si="0"/>
        <v>-0.99999999999944578</v>
      </c>
      <c r="M23" s="19">
        <f t="shared" si="0"/>
        <v>-1.000000000000334</v>
      </c>
      <c r="N23" s="19">
        <f t="shared" si="0"/>
        <v>-0.99999999999944578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41779</v>
      </c>
      <c r="C24" s="25">
        <v>13.175000000000001</v>
      </c>
      <c r="D24" s="26">
        <v>7.827</v>
      </c>
      <c r="E24" s="26">
        <v>8.7089999999999996</v>
      </c>
      <c r="F24" s="16"/>
      <c r="G24" s="16"/>
      <c r="H24" s="16"/>
      <c r="I24" s="17">
        <v>103.78400000000001</v>
      </c>
      <c r="J24" s="58">
        <v>774</v>
      </c>
      <c r="K24" s="18">
        <f t="shared" si="3"/>
        <v>106</v>
      </c>
      <c r="L24" s="19">
        <f t="shared" si="0"/>
        <v>-1.9999999999988916</v>
      </c>
      <c r="M24" s="19">
        <f t="shared" si="0"/>
        <v>-1.000000000000334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0</v>
      </c>
      <c r="S24" s="27">
        <f t="shared" si="2"/>
        <v>-0.99999999999944578</v>
      </c>
      <c r="T24" s="28">
        <f t="shared" si="2"/>
        <v>0</v>
      </c>
      <c r="U24" s="28">
        <f t="shared" si="2"/>
        <v>-1.0000000000012221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41781</v>
      </c>
      <c r="C25" s="25">
        <v>13.175000000000001</v>
      </c>
      <c r="D25" s="26">
        <v>7.827</v>
      </c>
      <c r="E25" s="26">
        <v>8.7100000000000009</v>
      </c>
      <c r="F25" s="16"/>
      <c r="G25" s="16"/>
      <c r="H25" s="16"/>
      <c r="I25" s="17">
        <v>103.78400000000001</v>
      </c>
      <c r="J25" s="58">
        <v>792</v>
      </c>
      <c r="K25" s="18">
        <f>IF(ISBLANK(J25),"",(J25-$J$8))</f>
        <v>124</v>
      </c>
      <c r="L25" s="19">
        <f t="shared" si="0"/>
        <v>-1.9999999999988916</v>
      </c>
      <c r="M25" s="19">
        <f t="shared" si="0"/>
        <v>-1.000000000000334</v>
      </c>
      <c r="N25" s="19">
        <f t="shared" si="0"/>
        <v>-0.99999999999944578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0</v>
      </c>
      <c r="S25" s="27">
        <f t="shared" si="2"/>
        <v>0</v>
      </c>
      <c r="T25" s="28">
        <f t="shared" si="2"/>
        <v>0</v>
      </c>
      <c r="U25" s="28">
        <f t="shared" si="2"/>
        <v>0.50000000000061107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41822</v>
      </c>
      <c r="C26" s="25">
        <v>13.175000000000001</v>
      </c>
      <c r="D26" s="26">
        <v>7.827</v>
      </c>
      <c r="E26" s="26">
        <v>8.7100000000000009</v>
      </c>
      <c r="F26" s="16"/>
      <c r="G26" s="16"/>
      <c r="H26" s="16"/>
      <c r="I26" s="17">
        <v>103.783</v>
      </c>
      <c r="J26" s="58">
        <v>686</v>
      </c>
      <c r="K26" s="18">
        <f t="shared" ref="K26:K32" si="4">IF(ISBLANK(J26),"",(J26-$J$8))</f>
        <v>18</v>
      </c>
      <c r="L26" s="19">
        <f t="shared" si="0"/>
        <v>-1.9999999999988916</v>
      </c>
      <c r="M26" s="19">
        <f t="shared" si="0"/>
        <v>-1.000000000000334</v>
      </c>
      <c r="N26" s="19">
        <f t="shared" si="0"/>
        <v>-0.99999999999944578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0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41823</v>
      </c>
      <c r="C27" s="25">
        <v>13.176</v>
      </c>
      <c r="D27" s="26">
        <v>7.827</v>
      </c>
      <c r="E27" s="26">
        <v>8.7100000000000009</v>
      </c>
      <c r="F27" s="16"/>
      <c r="G27" s="16"/>
      <c r="H27" s="16"/>
      <c r="I27" s="17">
        <v>103.783</v>
      </c>
      <c r="J27" s="58">
        <v>703</v>
      </c>
      <c r="K27" s="18">
        <f t="shared" si="4"/>
        <v>35</v>
      </c>
      <c r="L27" s="19">
        <f t="shared" si="0"/>
        <v>-0.99999999999944578</v>
      </c>
      <c r="M27" s="19">
        <f t="shared" si="0"/>
        <v>-1.000000000000334</v>
      </c>
      <c r="N27" s="19">
        <f t="shared" si="0"/>
        <v>-0.99999999999944578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0.99999999999944578</v>
      </c>
      <c r="T27" s="28">
        <f t="shared" si="2"/>
        <v>0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41824</v>
      </c>
      <c r="C28" s="25">
        <v>13.175000000000001</v>
      </c>
      <c r="D28" s="26">
        <v>7.8280000000000003</v>
      </c>
      <c r="E28" s="26">
        <v>8.7100000000000009</v>
      </c>
      <c r="F28" s="16">
        <v>13.97</v>
      </c>
      <c r="G28" s="16">
        <v>10.069000000000001</v>
      </c>
      <c r="H28" s="16">
        <v>10.847</v>
      </c>
      <c r="I28" s="17">
        <v>103.783</v>
      </c>
      <c r="J28" s="58">
        <v>725</v>
      </c>
      <c r="K28" s="18">
        <f t="shared" si="4"/>
        <v>57</v>
      </c>
      <c r="L28" s="19">
        <f t="shared" si="0"/>
        <v>-1.9999999999988916</v>
      </c>
      <c r="M28" s="19">
        <f t="shared" si="0"/>
        <v>0</v>
      </c>
      <c r="N28" s="19">
        <f t="shared" si="0"/>
        <v>-0.99999999999944578</v>
      </c>
      <c r="O28" s="19">
        <f>IF(ISBLANK(F28),"",((F28-F$28)*1000)+L$28)</f>
        <v>-1.9999999999988916</v>
      </c>
      <c r="P28" s="19">
        <f>IF(ISBLANK(G28),"",((G28-G$28)*1000)+M$28)</f>
        <v>0</v>
      </c>
      <c r="Q28" s="19">
        <f>IF(ISBLANK(H28),"",((H28-H$28)*1000)+N$28)</f>
        <v>-0.99999999999944578</v>
      </c>
      <c r="R28" s="19">
        <f t="shared" si="1"/>
        <v>-1.0000000000047748</v>
      </c>
      <c r="S28" s="27">
        <f t="shared" si="2"/>
        <v>-0.99999999999944578</v>
      </c>
      <c r="T28" s="28">
        <f t="shared" si="2"/>
        <v>1.000000000000334</v>
      </c>
      <c r="U28" s="28">
        <f t="shared" si="2"/>
        <v>0</v>
      </c>
      <c r="V28" s="28"/>
      <c r="W28" s="28"/>
      <c r="X28" s="29"/>
      <c r="Y28" s="24"/>
    </row>
    <row r="29" spans="2:25" ht="15" customHeight="1" x14ac:dyDescent="0.2">
      <c r="B29" s="31">
        <v>41829</v>
      </c>
      <c r="C29" s="25">
        <v>13.175000000000001</v>
      </c>
      <c r="D29" s="26">
        <v>7.827</v>
      </c>
      <c r="E29" s="26">
        <v>8.7100000000000009</v>
      </c>
      <c r="F29" s="16">
        <v>13.968</v>
      </c>
      <c r="G29" s="16">
        <v>10.069000000000001</v>
      </c>
      <c r="H29" s="16">
        <v>10.846</v>
      </c>
      <c r="I29" s="17">
        <v>103.782</v>
      </c>
      <c r="J29" s="58">
        <v>793</v>
      </c>
      <c r="K29" s="18">
        <f t="shared" si="4"/>
        <v>125</v>
      </c>
      <c r="L29" s="19">
        <f t="shared" si="0"/>
        <v>-1.9999999999988916</v>
      </c>
      <c r="M29" s="19">
        <f t="shared" si="0"/>
        <v>-1.000000000000334</v>
      </c>
      <c r="N29" s="19">
        <f t="shared" si="0"/>
        <v>-0.99999999999944578</v>
      </c>
      <c r="O29" s="19">
        <f t="shared" ref="O29:O92" si="5">IF(ISBLANK(F29),"",((F29-F$28)*1000)+L$28)</f>
        <v>-3.9999999999995595</v>
      </c>
      <c r="P29" s="19">
        <f t="shared" ref="P29:P92" si="6">IF(ISBLANK(G29),"",((G29-G$28)*1000)+M$28)</f>
        <v>0</v>
      </c>
      <c r="Q29" s="19">
        <f t="shared" ref="Q29:Q92" si="7">IF(ISBLANK(H29),"",((H29-H$28)*1000)+N$28)</f>
        <v>-1.9999999999988916</v>
      </c>
      <c r="R29" s="19">
        <f t="shared" si="1"/>
        <v>-2.0000000000095497</v>
      </c>
      <c r="S29" s="27">
        <f t="shared" si="2"/>
        <v>0</v>
      </c>
      <c r="T29" s="28">
        <f t="shared" si="2"/>
        <v>-0.20000000000006679</v>
      </c>
      <c r="U29" s="28">
        <f t="shared" si="2"/>
        <v>0</v>
      </c>
      <c r="V29" s="28">
        <f t="shared" si="2"/>
        <v>-0.40000000000013358</v>
      </c>
      <c r="W29" s="28">
        <f t="shared" si="2"/>
        <v>0</v>
      </c>
      <c r="X29" s="29">
        <f t="shared" si="2"/>
        <v>-0.19999999999988916</v>
      </c>
      <c r="Y29" s="24"/>
    </row>
    <row r="30" spans="2:25" ht="15" customHeight="1" x14ac:dyDescent="0.2">
      <c r="B30" s="31">
        <v>41830</v>
      </c>
      <c r="C30" s="82">
        <v>13.393000000000001</v>
      </c>
      <c r="D30" s="45">
        <v>7.8120000000000003</v>
      </c>
      <c r="E30" s="45">
        <v>8.9359999999999999</v>
      </c>
      <c r="F30" s="16">
        <v>13.968999999999999</v>
      </c>
      <c r="G30" s="16">
        <v>10.067</v>
      </c>
      <c r="H30" s="16">
        <v>10.846</v>
      </c>
      <c r="I30" s="17">
        <v>103.783</v>
      </c>
      <c r="J30" s="58">
        <v>808</v>
      </c>
      <c r="K30" s="18">
        <f t="shared" si="4"/>
        <v>140</v>
      </c>
      <c r="L30" s="19">
        <f>IF(ISBLANK(C30),"",((C30-C$30)*1000)+L$29)</f>
        <v>-1.9999999999988916</v>
      </c>
      <c r="M30" s="19">
        <f>IF(ISBLANK(D30),"",((D30-D$30)*1000)+M$29)</f>
        <v>-1.000000000000334</v>
      </c>
      <c r="N30" s="19">
        <f>IF(ISBLANK(E30),"",((E30-E$30)*1000)+N$29)</f>
        <v>-0.99999999999944578</v>
      </c>
      <c r="O30" s="19">
        <f t="shared" si="5"/>
        <v>-3.0000000000001137</v>
      </c>
      <c r="P30" s="19">
        <f t="shared" si="6"/>
        <v>-2.0000000000006679</v>
      </c>
      <c r="Q30" s="19">
        <f t="shared" si="7"/>
        <v>-1.9999999999988916</v>
      </c>
      <c r="R30" s="19">
        <f t="shared" si="1"/>
        <v>-1.0000000000047748</v>
      </c>
      <c r="S30" s="27">
        <f t="shared" si="2"/>
        <v>217.99999999999997</v>
      </c>
      <c r="T30" s="28">
        <f t="shared" si="2"/>
        <v>-14.99999999999968</v>
      </c>
      <c r="U30" s="28">
        <f t="shared" si="2"/>
        <v>225.99999999999909</v>
      </c>
      <c r="V30" s="28">
        <f t="shared" si="2"/>
        <v>0.99999999999944578</v>
      </c>
      <c r="W30" s="28">
        <f t="shared" si="2"/>
        <v>-2.0000000000006679</v>
      </c>
      <c r="X30" s="29">
        <f t="shared" si="2"/>
        <v>0</v>
      </c>
      <c r="Y30" s="49" t="s">
        <v>53</v>
      </c>
    </row>
    <row r="31" spans="2:25" ht="15" customHeight="1" x14ac:dyDescent="0.2">
      <c r="B31" s="31">
        <v>41834</v>
      </c>
      <c r="C31" s="25">
        <v>13.391999999999999</v>
      </c>
      <c r="D31" s="26">
        <v>7.8120000000000003</v>
      </c>
      <c r="E31" s="26">
        <v>8.9359999999999999</v>
      </c>
      <c r="F31" s="16">
        <v>13.968999999999999</v>
      </c>
      <c r="G31" s="16">
        <v>10.067</v>
      </c>
      <c r="H31" s="16">
        <v>10.846</v>
      </c>
      <c r="I31" s="17">
        <v>103.782</v>
      </c>
      <c r="J31" s="58">
        <v>845</v>
      </c>
      <c r="K31" s="18">
        <f t="shared" si="4"/>
        <v>177</v>
      </c>
      <c r="L31" s="19">
        <f t="shared" ref="L31:L94" si="8">IF(ISBLANK(C31),"",((C31-C$30)*1000)+L$29)</f>
        <v>-3.0000000000001137</v>
      </c>
      <c r="M31" s="19">
        <f t="shared" ref="M31:M94" si="9">IF(ISBLANK(D31),"",((D31-D$30)*1000)+M$29)</f>
        <v>-1.000000000000334</v>
      </c>
      <c r="N31" s="19">
        <f t="shared" ref="N31:N94" si="10">IF(ISBLANK(E31),"",((E31-E$30)*1000)+N$29)</f>
        <v>-0.99999999999944578</v>
      </c>
      <c r="O31" s="19">
        <f t="shared" si="5"/>
        <v>-3.0000000000001137</v>
      </c>
      <c r="P31" s="19">
        <f t="shared" si="6"/>
        <v>-2.0000000000006679</v>
      </c>
      <c r="Q31" s="19">
        <f t="shared" si="7"/>
        <v>-1.9999999999988916</v>
      </c>
      <c r="R31" s="19">
        <f t="shared" si="1"/>
        <v>-2.0000000000095497</v>
      </c>
      <c r="S31" s="27">
        <f t="shared" si="2"/>
        <v>-0.25000000000030553</v>
      </c>
      <c r="T31" s="28">
        <f t="shared" si="2"/>
        <v>0</v>
      </c>
      <c r="U31" s="28">
        <f t="shared" si="2"/>
        <v>0</v>
      </c>
      <c r="V31" s="28">
        <f t="shared" si="2"/>
        <v>0</v>
      </c>
      <c r="W31" s="28">
        <f t="shared" si="2"/>
        <v>0</v>
      </c>
      <c r="X31" s="29">
        <f t="shared" si="2"/>
        <v>0</v>
      </c>
      <c r="Y31" s="24"/>
    </row>
    <row r="32" spans="2:25" ht="15" customHeight="1" x14ac:dyDescent="0.2">
      <c r="B32" s="31">
        <v>41835</v>
      </c>
      <c r="C32" s="25">
        <v>13.391</v>
      </c>
      <c r="D32" s="26">
        <v>7.8120000000000003</v>
      </c>
      <c r="E32" s="26">
        <v>8.9350000000000005</v>
      </c>
      <c r="F32" s="16">
        <v>13.968999999999999</v>
      </c>
      <c r="G32" s="16">
        <v>10.067</v>
      </c>
      <c r="H32" s="16">
        <v>10.846</v>
      </c>
      <c r="I32" s="17">
        <v>103.782</v>
      </c>
      <c r="J32" s="58">
        <v>857</v>
      </c>
      <c r="K32" s="18">
        <f t="shared" si="4"/>
        <v>189</v>
      </c>
      <c r="L32" s="19">
        <f t="shared" si="8"/>
        <v>-3.9999999999995595</v>
      </c>
      <c r="M32" s="19">
        <f t="shared" si="9"/>
        <v>-1.000000000000334</v>
      </c>
      <c r="N32" s="19">
        <f t="shared" si="10"/>
        <v>-1.9999999999988916</v>
      </c>
      <c r="O32" s="19">
        <f t="shared" si="5"/>
        <v>-3.0000000000001137</v>
      </c>
      <c r="P32" s="19">
        <f t="shared" si="6"/>
        <v>-2.0000000000006679</v>
      </c>
      <c r="Q32" s="19">
        <f t="shared" si="7"/>
        <v>-1.9999999999988916</v>
      </c>
      <c r="R32" s="19">
        <f t="shared" si="1"/>
        <v>-2.0000000000095497</v>
      </c>
      <c r="S32" s="27">
        <f t="shared" si="2"/>
        <v>-0.99999999999944578</v>
      </c>
      <c r="T32" s="28">
        <f t="shared" si="2"/>
        <v>0</v>
      </c>
      <c r="U32" s="28">
        <f t="shared" si="2"/>
        <v>-0.99999999999944578</v>
      </c>
      <c r="V32" s="28">
        <f t="shared" si="2"/>
        <v>0</v>
      </c>
      <c r="W32" s="28">
        <f t="shared" si="2"/>
        <v>0</v>
      </c>
      <c r="X32" s="29">
        <f t="shared" si="2"/>
        <v>0</v>
      </c>
      <c r="Y32" s="24"/>
    </row>
    <row r="33" spans="2:25" ht="15" customHeight="1" x14ac:dyDescent="0.2">
      <c r="B33" s="31">
        <v>41879</v>
      </c>
      <c r="C33" s="25"/>
      <c r="D33" s="26"/>
      <c r="E33" s="26"/>
      <c r="F33" s="16">
        <v>13.968</v>
      </c>
      <c r="G33" s="16">
        <v>10.067</v>
      </c>
      <c r="H33" s="16">
        <v>10.845000000000001</v>
      </c>
      <c r="I33" s="17">
        <v>103.782</v>
      </c>
      <c r="J33" s="58">
        <v>943</v>
      </c>
      <c r="K33" s="18">
        <f>IF(ISBLANK(J33),"",(J33-$J$8))</f>
        <v>275</v>
      </c>
      <c r="L33" s="19" t="str">
        <f t="shared" si="8"/>
        <v/>
      </c>
      <c r="M33" s="19" t="str">
        <f t="shared" si="9"/>
        <v/>
      </c>
      <c r="N33" s="19" t="str">
        <f t="shared" si="10"/>
        <v/>
      </c>
      <c r="O33" s="19">
        <f t="shared" si="5"/>
        <v>-3.9999999999995595</v>
      </c>
      <c r="P33" s="19">
        <f t="shared" si="6"/>
        <v>-2.0000000000006679</v>
      </c>
      <c r="Q33" s="19">
        <f t="shared" si="7"/>
        <v>-2.9999999999983373</v>
      </c>
      <c r="R33" s="19">
        <f t="shared" si="1"/>
        <v>-2.0000000000095497</v>
      </c>
      <c r="S33" s="27" t="str">
        <f t="shared" ref="S33:X48" si="11">IF(C33="","",((C33-C32)*1000)/($B33-$B32))</f>
        <v/>
      </c>
      <c r="T33" s="28" t="str">
        <f t="shared" si="11"/>
        <v/>
      </c>
      <c r="U33" s="28" t="str">
        <f t="shared" si="11"/>
        <v/>
      </c>
      <c r="V33" s="28">
        <f t="shared" si="11"/>
        <v>-2.272727272726013E-2</v>
      </c>
      <c r="W33" s="28">
        <f t="shared" si="11"/>
        <v>0</v>
      </c>
      <c r="X33" s="29">
        <f t="shared" si="11"/>
        <v>-2.272727272726013E-2</v>
      </c>
      <c r="Y33" s="24"/>
    </row>
    <row r="34" spans="2:25" ht="15" customHeight="1" x14ac:dyDescent="0.2">
      <c r="B34" s="31">
        <v>41913</v>
      </c>
      <c r="C34" s="25"/>
      <c r="D34" s="26"/>
      <c r="E34" s="26"/>
      <c r="F34" s="16">
        <v>13.968</v>
      </c>
      <c r="G34" s="16">
        <v>10.067</v>
      </c>
      <c r="H34" s="16">
        <v>10.845000000000001</v>
      </c>
      <c r="I34" s="17">
        <v>103.782</v>
      </c>
      <c r="J34" s="58">
        <v>943</v>
      </c>
      <c r="K34" s="18">
        <f>IF(ISBLANK(J34),"",(J34-$J$8))</f>
        <v>275</v>
      </c>
      <c r="L34" s="19" t="str">
        <f t="shared" si="8"/>
        <v/>
      </c>
      <c r="M34" s="19" t="str">
        <f t="shared" si="9"/>
        <v/>
      </c>
      <c r="N34" s="19" t="str">
        <f t="shared" si="10"/>
        <v/>
      </c>
      <c r="O34" s="19">
        <f t="shared" si="5"/>
        <v>-3.9999999999995595</v>
      </c>
      <c r="P34" s="19">
        <f t="shared" si="6"/>
        <v>-2.0000000000006679</v>
      </c>
      <c r="Q34" s="19">
        <f t="shared" si="7"/>
        <v>-2.9999999999983373</v>
      </c>
      <c r="R34" s="19">
        <f t="shared" si="1"/>
        <v>-2.0000000000095497</v>
      </c>
      <c r="S34" s="27" t="str">
        <f t="shared" si="11"/>
        <v/>
      </c>
      <c r="T34" s="28" t="str">
        <f t="shared" si="11"/>
        <v/>
      </c>
      <c r="U34" s="28" t="str">
        <f t="shared" si="11"/>
        <v/>
      </c>
      <c r="V34" s="28">
        <f t="shared" si="11"/>
        <v>0</v>
      </c>
      <c r="W34" s="28">
        <f t="shared" si="11"/>
        <v>0</v>
      </c>
      <c r="X34" s="29">
        <f t="shared" si="11"/>
        <v>0</v>
      </c>
      <c r="Y34" s="24"/>
    </row>
    <row r="35" spans="2:25" ht="15" customHeight="1" x14ac:dyDescent="0.2">
      <c r="B35" s="31">
        <v>42032</v>
      </c>
      <c r="C35" s="25"/>
      <c r="D35" s="26"/>
      <c r="E35" s="26"/>
      <c r="F35" s="16">
        <v>13.968999999999999</v>
      </c>
      <c r="G35" s="16">
        <v>10.067</v>
      </c>
      <c r="H35" s="16">
        <v>10.843999999999999</v>
      </c>
      <c r="I35" s="17">
        <v>103.782</v>
      </c>
      <c r="J35" s="58">
        <v>943</v>
      </c>
      <c r="K35" s="18">
        <f>IF(ISBLANK(J35),"",(J35-$J$8))</f>
        <v>275</v>
      </c>
      <c r="L35" s="19" t="str">
        <f t="shared" si="8"/>
        <v/>
      </c>
      <c r="M35" s="19" t="str">
        <f t="shared" si="9"/>
        <v/>
      </c>
      <c r="N35" s="19" t="str">
        <f t="shared" si="10"/>
        <v/>
      </c>
      <c r="O35" s="19">
        <f t="shared" si="5"/>
        <v>-3.0000000000001137</v>
      </c>
      <c r="P35" s="19">
        <f t="shared" si="6"/>
        <v>-2.0000000000006679</v>
      </c>
      <c r="Q35" s="19">
        <f t="shared" si="7"/>
        <v>-3.9999999999995595</v>
      </c>
      <c r="R35" s="19">
        <f t="shared" si="1"/>
        <v>-2.0000000000095497</v>
      </c>
      <c r="S35" s="27" t="str">
        <f t="shared" si="11"/>
        <v/>
      </c>
      <c r="T35" s="28" t="str">
        <f t="shared" si="11"/>
        <v/>
      </c>
      <c r="U35" s="28" t="str">
        <f t="shared" si="11"/>
        <v/>
      </c>
      <c r="V35" s="28">
        <f t="shared" si="11"/>
        <v>8.403361344533157E-3</v>
      </c>
      <c r="W35" s="28">
        <f t="shared" si="11"/>
        <v>0</v>
      </c>
      <c r="X35" s="29">
        <f t="shared" si="11"/>
        <v>-8.4033613445480843E-3</v>
      </c>
      <c r="Y35" s="24"/>
    </row>
    <row r="36" spans="2:25" ht="15" customHeight="1" x14ac:dyDescent="0.2">
      <c r="B36" s="31">
        <v>42121</v>
      </c>
      <c r="C36" s="25"/>
      <c r="D36" s="26"/>
      <c r="E36" s="26"/>
      <c r="F36" s="16">
        <v>13.968</v>
      </c>
      <c r="G36" s="16">
        <v>10.067</v>
      </c>
      <c r="H36" s="16">
        <v>10.845000000000001</v>
      </c>
      <c r="I36" s="17">
        <v>103.782</v>
      </c>
      <c r="J36" s="58">
        <v>943</v>
      </c>
      <c r="K36" s="18">
        <f>IF(ISBLANK(J36),"",(J36-$J$8))</f>
        <v>275</v>
      </c>
      <c r="L36" s="19" t="str">
        <f t="shared" si="8"/>
        <v/>
      </c>
      <c r="M36" s="19" t="str">
        <f t="shared" si="9"/>
        <v/>
      </c>
      <c r="N36" s="19" t="str">
        <f t="shared" si="10"/>
        <v/>
      </c>
      <c r="O36" s="19">
        <f t="shared" si="5"/>
        <v>-3.9999999999995595</v>
      </c>
      <c r="P36" s="19">
        <f t="shared" si="6"/>
        <v>-2.0000000000006679</v>
      </c>
      <c r="Q36" s="19">
        <f t="shared" si="7"/>
        <v>-2.9999999999983373</v>
      </c>
      <c r="R36" s="19">
        <f t="shared" si="1"/>
        <v>-2.0000000000095497</v>
      </c>
      <c r="S36" s="27" t="str">
        <f t="shared" si="11"/>
        <v/>
      </c>
      <c r="T36" s="28" t="str">
        <f t="shared" si="11"/>
        <v/>
      </c>
      <c r="U36" s="28" t="str">
        <f t="shared" si="11"/>
        <v/>
      </c>
      <c r="V36" s="28">
        <f t="shared" si="11"/>
        <v>-1.1235955056173547E-2</v>
      </c>
      <c r="W36" s="28">
        <f t="shared" si="11"/>
        <v>0</v>
      </c>
      <c r="X36" s="29">
        <f t="shared" si="11"/>
        <v>1.1235955056193507E-2</v>
      </c>
      <c r="Y36" s="24"/>
    </row>
    <row r="37" spans="2:25" ht="15" customHeight="1" x14ac:dyDescent="0.2">
      <c r="B37" s="31">
        <v>42222</v>
      </c>
      <c r="C37" s="25"/>
      <c r="D37" s="26"/>
      <c r="E37" s="26"/>
      <c r="F37" s="16">
        <v>13.97</v>
      </c>
      <c r="G37" s="16">
        <v>10.067</v>
      </c>
      <c r="H37" s="16">
        <v>10.845000000000001</v>
      </c>
      <c r="I37" s="17">
        <v>103.78100000000001</v>
      </c>
      <c r="J37" s="58">
        <v>1278</v>
      </c>
      <c r="K37" s="18">
        <f>IF(ISBLANK(J37),"",(J37-$J$8))</f>
        <v>610</v>
      </c>
      <c r="L37" s="19" t="str">
        <f t="shared" si="8"/>
        <v/>
      </c>
      <c r="M37" s="19" t="str">
        <f t="shared" si="9"/>
        <v/>
      </c>
      <c r="N37" s="19" t="str">
        <f t="shared" si="10"/>
        <v/>
      </c>
      <c r="O37" s="19">
        <f t="shared" si="5"/>
        <v>-1.9999999999988916</v>
      </c>
      <c r="P37" s="19">
        <f t="shared" si="6"/>
        <v>-2.0000000000006679</v>
      </c>
      <c r="Q37" s="19">
        <f t="shared" si="7"/>
        <v>-2.9999999999983373</v>
      </c>
      <c r="R37" s="19">
        <f t="shared" si="1"/>
        <v>-3.0000000000001137</v>
      </c>
      <c r="S37" s="27" t="str">
        <f t="shared" si="11"/>
        <v/>
      </c>
      <c r="T37" s="28" t="str">
        <f t="shared" si="11"/>
        <v/>
      </c>
      <c r="U37" s="28" t="str">
        <f t="shared" si="11"/>
        <v/>
      </c>
      <c r="V37" s="28">
        <f t="shared" si="11"/>
        <v>1.9801980198026415E-2</v>
      </c>
      <c r="W37" s="28">
        <f t="shared" si="11"/>
        <v>0</v>
      </c>
      <c r="X37" s="29">
        <f t="shared" si="11"/>
        <v>0</v>
      </c>
      <c r="Y37" s="24"/>
    </row>
    <row r="38" spans="2:25" ht="15" customHeight="1" x14ac:dyDescent="0.2">
      <c r="B38" s="31">
        <v>42326</v>
      </c>
      <c r="C38" s="25"/>
      <c r="D38" s="26"/>
      <c r="E38" s="26"/>
      <c r="F38" s="16">
        <v>13.968999999999999</v>
      </c>
      <c r="G38" s="16">
        <v>10.066000000000001</v>
      </c>
      <c r="H38" s="16">
        <v>10.843999999999999</v>
      </c>
      <c r="I38" s="17">
        <v>103.78100000000001</v>
      </c>
      <c r="J38" s="32">
        <v>2248</v>
      </c>
      <c r="K38" s="18">
        <f t="shared" ref="K38:K40" si="12">IF(ISBLANK(J38),"",(J38-$J$8))</f>
        <v>1580</v>
      </c>
      <c r="L38" s="19" t="str">
        <f t="shared" si="8"/>
        <v/>
      </c>
      <c r="M38" s="19" t="str">
        <f t="shared" si="9"/>
        <v/>
      </c>
      <c r="N38" s="19" t="str">
        <f t="shared" si="10"/>
        <v/>
      </c>
      <c r="O38" s="19">
        <f t="shared" si="5"/>
        <v>-3.0000000000001137</v>
      </c>
      <c r="P38" s="19">
        <f t="shared" si="6"/>
        <v>-3.0000000000001137</v>
      </c>
      <c r="Q38" s="19">
        <f t="shared" si="7"/>
        <v>-3.9999999999995595</v>
      </c>
      <c r="R38" s="19">
        <f t="shared" si="1"/>
        <v>-3.0000000000001137</v>
      </c>
      <c r="S38" s="27" t="str">
        <f t="shared" si="11"/>
        <v/>
      </c>
      <c r="T38" s="28" t="str">
        <f t="shared" si="11"/>
        <v/>
      </c>
      <c r="U38" s="28" t="str">
        <f t="shared" si="11"/>
        <v/>
      </c>
      <c r="V38" s="28">
        <f t="shared" si="11"/>
        <v>-9.6153846153963669E-3</v>
      </c>
      <c r="W38" s="28">
        <f t="shared" si="11"/>
        <v>-9.6153846153792868E-3</v>
      </c>
      <c r="X38" s="29">
        <f t="shared" si="11"/>
        <v>-9.6153846153963669E-3</v>
      </c>
      <c r="Y38" s="24"/>
    </row>
    <row r="39" spans="2:25" ht="15" customHeight="1" x14ac:dyDescent="0.2">
      <c r="B39" s="31">
        <v>42416</v>
      </c>
      <c r="C39" s="25">
        <v>13.391999999999999</v>
      </c>
      <c r="D39" s="26">
        <v>7.8140000000000001</v>
      </c>
      <c r="E39" s="26">
        <v>8.9329999999999998</v>
      </c>
      <c r="F39" s="16">
        <v>13.968999999999999</v>
      </c>
      <c r="G39" s="16">
        <v>10.068</v>
      </c>
      <c r="H39" s="16">
        <v>10.843999999999999</v>
      </c>
      <c r="I39" s="17">
        <v>103.782</v>
      </c>
      <c r="J39" s="58">
        <v>2519</v>
      </c>
      <c r="K39" s="18">
        <f t="shared" si="12"/>
        <v>1851</v>
      </c>
      <c r="L39" s="19"/>
      <c r="M39" s="19"/>
      <c r="N39" s="19"/>
      <c r="O39" s="19">
        <f t="shared" si="5"/>
        <v>-3.0000000000001137</v>
      </c>
      <c r="P39" s="19">
        <f t="shared" si="6"/>
        <v>-1.0000000000012221</v>
      </c>
      <c r="Q39" s="19">
        <f t="shared" si="7"/>
        <v>-3.9999999999995595</v>
      </c>
      <c r="R39" s="19">
        <f t="shared" si="1"/>
        <v>-2.0000000000095497</v>
      </c>
      <c r="S39" s="27"/>
      <c r="T39" s="28"/>
      <c r="U39" s="28"/>
      <c r="V39" s="28">
        <f t="shared" si="11"/>
        <v>0</v>
      </c>
      <c r="W39" s="28">
        <f t="shared" si="11"/>
        <v>2.2222222222209907E-2</v>
      </c>
      <c r="X39" s="29">
        <f t="shared" si="11"/>
        <v>0</v>
      </c>
      <c r="Y39" s="24"/>
    </row>
    <row r="40" spans="2:25" ht="15" customHeight="1" x14ac:dyDescent="0.2">
      <c r="B40" s="31">
        <v>42530</v>
      </c>
      <c r="C40" s="25"/>
      <c r="D40" s="26"/>
      <c r="E40" s="26"/>
      <c r="F40" s="16">
        <v>13.968999999999999</v>
      </c>
      <c r="G40" s="16">
        <v>10.066000000000001</v>
      </c>
      <c r="H40" s="16">
        <v>10.843999999999999</v>
      </c>
      <c r="I40" s="17">
        <v>103.78100000000001</v>
      </c>
      <c r="J40" s="58">
        <v>2608</v>
      </c>
      <c r="K40" s="18">
        <f t="shared" si="12"/>
        <v>1940</v>
      </c>
      <c r="L40" s="19" t="str">
        <f t="shared" si="8"/>
        <v/>
      </c>
      <c r="M40" s="19" t="str">
        <f t="shared" si="9"/>
        <v/>
      </c>
      <c r="N40" s="19" t="str">
        <f t="shared" si="10"/>
        <v/>
      </c>
      <c r="O40" s="19">
        <f t="shared" si="5"/>
        <v>-3.0000000000001137</v>
      </c>
      <c r="P40" s="19">
        <f t="shared" si="6"/>
        <v>-3.0000000000001137</v>
      </c>
      <c r="Q40" s="19">
        <f t="shared" si="7"/>
        <v>-3.9999999999995595</v>
      </c>
      <c r="R40" s="19">
        <f t="shared" si="1"/>
        <v>-3.0000000000001137</v>
      </c>
      <c r="S40" s="27" t="str">
        <f t="shared" si="11"/>
        <v/>
      </c>
      <c r="T40" s="28" t="str">
        <f t="shared" si="11"/>
        <v/>
      </c>
      <c r="U40" s="28" t="str">
        <f t="shared" si="11"/>
        <v/>
      </c>
      <c r="V40" s="28">
        <f t="shared" si="11"/>
        <v>0</v>
      </c>
      <c r="W40" s="28">
        <f t="shared" si="11"/>
        <v>-1.7543859649113085E-2</v>
      </c>
      <c r="X40" s="29">
        <f t="shared" si="11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8"/>
        <v/>
      </c>
      <c r="M41" s="19" t="str">
        <f t="shared" si="9"/>
        <v/>
      </c>
      <c r="N41" s="19" t="str">
        <f t="shared" si="10"/>
        <v/>
      </c>
      <c r="O41" s="19" t="str">
        <f t="shared" si="5"/>
        <v/>
      </c>
      <c r="P41" s="19" t="str">
        <f t="shared" si="6"/>
        <v/>
      </c>
      <c r="Q41" s="19" t="str">
        <f t="shared" si="7"/>
        <v/>
      </c>
      <c r="R41" s="19" t="str">
        <f t="shared" si="1"/>
        <v/>
      </c>
      <c r="S41" s="27" t="str">
        <f t="shared" si="11"/>
        <v/>
      </c>
      <c r="T41" s="28" t="str">
        <f t="shared" si="11"/>
        <v/>
      </c>
      <c r="U41" s="28" t="str">
        <f t="shared" si="11"/>
        <v/>
      </c>
      <c r="V41" s="28" t="str">
        <f t="shared" si="11"/>
        <v/>
      </c>
      <c r="W41" s="28" t="str">
        <f t="shared" si="11"/>
        <v/>
      </c>
      <c r="X41" s="29" t="str">
        <f t="shared" si="11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8"/>
        <v/>
      </c>
      <c r="M42" s="19" t="str">
        <f t="shared" si="9"/>
        <v/>
      </c>
      <c r="N42" s="19" t="str">
        <f t="shared" si="10"/>
        <v/>
      </c>
      <c r="O42" s="19" t="str">
        <f t="shared" si="5"/>
        <v/>
      </c>
      <c r="P42" s="19" t="str">
        <f t="shared" si="6"/>
        <v/>
      </c>
      <c r="Q42" s="19" t="str">
        <f t="shared" si="7"/>
        <v/>
      </c>
      <c r="R42" s="19" t="str">
        <f t="shared" si="1"/>
        <v/>
      </c>
      <c r="S42" s="27" t="str">
        <f t="shared" si="11"/>
        <v/>
      </c>
      <c r="T42" s="28" t="str">
        <f t="shared" si="11"/>
        <v/>
      </c>
      <c r="U42" s="28" t="str">
        <f t="shared" si="11"/>
        <v/>
      </c>
      <c r="V42" s="28" t="str">
        <f t="shared" si="11"/>
        <v/>
      </c>
      <c r="W42" s="28" t="str">
        <f t="shared" si="11"/>
        <v/>
      </c>
      <c r="X42" s="29" t="str">
        <f t="shared" si="11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8"/>
        <v/>
      </c>
      <c r="M43" s="19" t="str">
        <f t="shared" si="9"/>
        <v/>
      </c>
      <c r="N43" s="19" t="str">
        <f t="shared" si="1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11"/>
        <v/>
      </c>
      <c r="T43" s="28" t="str">
        <f t="shared" si="11"/>
        <v/>
      </c>
      <c r="U43" s="28" t="str">
        <f t="shared" si="11"/>
        <v/>
      </c>
      <c r="V43" s="28" t="str">
        <f t="shared" si="11"/>
        <v/>
      </c>
      <c r="W43" s="28" t="str">
        <f t="shared" si="11"/>
        <v/>
      </c>
      <c r="X43" s="29" t="str">
        <f t="shared" si="11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8"/>
        <v/>
      </c>
      <c r="M44" s="19" t="str">
        <f t="shared" si="9"/>
        <v/>
      </c>
      <c r="N44" s="19" t="str">
        <f t="shared" si="1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11"/>
        <v/>
      </c>
      <c r="T44" s="28" t="str">
        <f t="shared" si="11"/>
        <v/>
      </c>
      <c r="U44" s="28" t="str">
        <f t="shared" si="11"/>
        <v/>
      </c>
      <c r="V44" s="28" t="str">
        <f t="shared" si="11"/>
        <v/>
      </c>
      <c r="W44" s="28" t="str">
        <f t="shared" si="11"/>
        <v/>
      </c>
      <c r="X44" s="29" t="str">
        <f t="shared" si="11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8"/>
        <v/>
      </c>
      <c r="M45" s="19" t="str">
        <f t="shared" si="9"/>
        <v/>
      </c>
      <c r="N45" s="19" t="str">
        <f t="shared" si="1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11"/>
        <v/>
      </c>
      <c r="T45" s="28" t="str">
        <f t="shared" si="11"/>
        <v/>
      </c>
      <c r="U45" s="28" t="str">
        <f t="shared" si="11"/>
        <v/>
      </c>
      <c r="V45" s="28" t="str">
        <f t="shared" si="11"/>
        <v/>
      </c>
      <c r="W45" s="28" t="str">
        <f t="shared" si="11"/>
        <v/>
      </c>
      <c r="X45" s="29" t="str">
        <f t="shared" si="11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8"/>
        <v/>
      </c>
      <c r="M46" s="19" t="str">
        <f t="shared" si="9"/>
        <v/>
      </c>
      <c r="N46" s="19" t="str">
        <f t="shared" si="1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11"/>
        <v/>
      </c>
      <c r="T46" s="28" t="str">
        <f t="shared" si="11"/>
        <v/>
      </c>
      <c r="U46" s="28" t="str">
        <f t="shared" si="11"/>
        <v/>
      </c>
      <c r="V46" s="28" t="str">
        <f t="shared" si="11"/>
        <v/>
      </c>
      <c r="W46" s="28" t="str">
        <f t="shared" si="11"/>
        <v/>
      </c>
      <c r="X46" s="29" t="str">
        <f t="shared" si="1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8"/>
        <v/>
      </c>
      <c r="M47" s="19" t="str">
        <f t="shared" si="9"/>
        <v/>
      </c>
      <c r="N47" s="19" t="str">
        <f t="shared" si="1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11"/>
        <v/>
      </c>
      <c r="T47" s="28" t="str">
        <f t="shared" si="11"/>
        <v/>
      </c>
      <c r="U47" s="28" t="str">
        <f t="shared" si="11"/>
        <v/>
      </c>
      <c r="V47" s="28" t="str">
        <f t="shared" si="11"/>
        <v/>
      </c>
      <c r="W47" s="28" t="str">
        <f t="shared" si="11"/>
        <v/>
      </c>
      <c r="X47" s="29" t="str">
        <f t="shared" si="1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8"/>
        <v/>
      </c>
      <c r="M48" s="19" t="str">
        <f t="shared" si="9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11"/>
        <v/>
      </c>
      <c r="T48" s="28" t="str">
        <f t="shared" si="11"/>
        <v/>
      </c>
      <c r="U48" s="28" t="str">
        <f t="shared" si="11"/>
        <v/>
      </c>
      <c r="V48" s="28" t="str">
        <f t="shared" si="11"/>
        <v/>
      </c>
      <c r="W48" s="28" t="str">
        <f t="shared" si="11"/>
        <v/>
      </c>
      <c r="X48" s="29" t="str">
        <f t="shared" si="1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8"/>
        <v/>
      </c>
      <c r="M49" s="19" t="str">
        <f t="shared" si="9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8"/>
        <v/>
      </c>
      <c r="M50" s="19" t="str">
        <f t="shared" si="9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8"/>
        <v/>
      </c>
      <c r="M51" s="19" t="str">
        <f t="shared" si="9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8"/>
        <v/>
      </c>
      <c r="M52" s="19" t="str">
        <f t="shared" si="9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8"/>
        <v/>
      </c>
      <c r="M53" s="19" t="str">
        <f t="shared" si="9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8"/>
        <v/>
      </c>
      <c r="M54" s="19" t="str">
        <f t="shared" si="9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8"/>
        <v/>
      </c>
      <c r="M55" s="19" t="str">
        <f t="shared" si="9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8"/>
        <v/>
      </c>
      <c r="M56" s="19" t="str">
        <f t="shared" si="9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8"/>
        <v/>
      </c>
      <c r="M57" s="19" t="str">
        <f t="shared" si="9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8"/>
        <v/>
      </c>
      <c r="M58" s="19" t="str">
        <f t="shared" si="9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8"/>
        <v/>
      </c>
      <c r="M59" s="19" t="str">
        <f t="shared" si="9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8"/>
        <v/>
      </c>
      <c r="M60" s="19" t="str">
        <f t="shared" si="9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8"/>
        <v/>
      </c>
      <c r="M61" s="19" t="str">
        <f t="shared" si="9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8"/>
        <v/>
      </c>
      <c r="M62" s="19" t="str">
        <f t="shared" si="9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8"/>
        <v/>
      </c>
      <c r="M63" s="19" t="str">
        <f t="shared" si="9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8"/>
        <v/>
      </c>
      <c r="M64" s="19" t="str">
        <f t="shared" si="9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8"/>
        <v/>
      </c>
      <c r="M65" s="19" t="str">
        <f t="shared" si="9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8"/>
        <v/>
      </c>
      <c r="M66" s="19" t="str">
        <f t="shared" si="9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8"/>
        <v/>
      </c>
      <c r="M67" s="19" t="str">
        <f t="shared" si="9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8"/>
        <v/>
      </c>
      <c r="M68" s="19" t="str">
        <f t="shared" si="9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8"/>
        <v/>
      </c>
      <c r="M69" s="19" t="str">
        <f t="shared" si="9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8"/>
        <v/>
      </c>
      <c r="M70" s="19" t="str">
        <f t="shared" si="9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8"/>
        <v/>
      </c>
      <c r="M71" s="19" t="str">
        <f t="shared" si="9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8"/>
        <v/>
      </c>
      <c r="M72" s="19" t="str">
        <f t="shared" si="9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8"/>
        <v/>
      </c>
      <c r="M73" s="19" t="str">
        <f t="shared" si="9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8"/>
        <v/>
      </c>
      <c r="M74" s="19" t="str">
        <f t="shared" si="9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8"/>
        <v/>
      </c>
      <c r="M75" s="19" t="str">
        <f t="shared" si="9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8"/>
        <v/>
      </c>
      <c r="M76" s="19" t="str">
        <f t="shared" si="9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8"/>
        <v/>
      </c>
      <c r="M77" s="19" t="str">
        <f t="shared" si="9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8"/>
        <v/>
      </c>
      <c r="M78" s="19" t="str">
        <f t="shared" si="9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8"/>
        <v/>
      </c>
      <c r="M79" s="19" t="str">
        <f t="shared" si="9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8"/>
        <v/>
      </c>
      <c r="M80" s="19" t="str">
        <f t="shared" si="9"/>
        <v/>
      </c>
      <c r="N80" s="19" t="str">
        <f t="shared" si="10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8"/>
        <v/>
      </c>
      <c r="M81" s="19" t="str">
        <f t="shared" si="9"/>
        <v/>
      </c>
      <c r="N81" s="19" t="str">
        <f t="shared" si="10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8"/>
        <v/>
      </c>
      <c r="M82" s="19" t="str">
        <f t="shared" si="9"/>
        <v/>
      </c>
      <c r="N82" s="19" t="str">
        <f t="shared" si="10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8"/>
        <v/>
      </c>
      <c r="M83" s="19" t="str">
        <f t="shared" si="9"/>
        <v/>
      </c>
      <c r="N83" s="19" t="str">
        <f t="shared" si="10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8"/>
        <v/>
      </c>
      <c r="M84" s="19" t="str">
        <f t="shared" si="9"/>
        <v/>
      </c>
      <c r="N84" s="19" t="str">
        <f t="shared" si="10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8"/>
        <v/>
      </c>
      <c r="M85" s="19" t="str">
        <f t="shared" si="9"/>
        <v/>
      </c>
      <c r="N85" s="19" t="str">
        <f t="shared" si="10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8"/>
        <v/>
      </c>
      <c r="M86" s="19" t="str">
        <f t="shared" si="9"/>
        <v/>
      </c>
      <c r="N86" s="19" t="str">
        <f t="shared" si="10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8"/>
        <v/>
      </c>
      <c r="M87" s="19" t="str">
        <f t="shared" si="9"/>
        <v/>
      </c>
      <c r="N87" s="19" t="str">
        <f t="shared" si="10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8"/>
        <v/>
      </c>
      <c r="M88" s="19" t="str">
        <f t="shared" si="9"/>
        <v/>
      </c>
      <c r="N88" s="19" t="str">
        <f t="shared" si="10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8"/>
        <v/>
      </c>
      <c r="M89" s="19" t="str">
        <f t="shared" si="9"/>
        <v/>
      </c>
      <c r="N89" s="19" t="str">
        <f t="shared" si="10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8"/>
        <v/>
      </c>
      <c r="M90" s="19" t="str">
        <f t="shared" si="9"/>
        <v/>
      </c>
      <c r="N90" s="19" t="str">
        <f t="shared" si="10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8"/>
        <v/>
      </c>
      <c r="M91" s="19" t="str">
        <f t="shared" si="9"/>
        <v/>
      </c>
      <c r="N91" s="19" t="str">
        <f t="shared" si="10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8"/>
        <v/>
      </c>
      <c r="M92" s="19" t="str">
        <f t="shared" si="9"/>
        <v/>
      </c>
      <c r="N92" s="19" t="str">
        <f t="shared" si="10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8"/>
        <v/>
      </c>
      <c r="M93" s="19" t="str">
        <f t="shared" si="9"/>
        <v/>
      </c>
      <c r="N93" s="19" t="str">
        <f t="shared" si="10"/>
        <v/>
      </c>
      <c r="O93" s="19" t="str">
        <f t="shared" ref="O93:O153" si="17">IF(ISBLANK(F93),"",((F93-F$28)*1000)+L$28)</f>
        <v/>
      </c>
      <c r="P93" s="19" t="str">
        <f t="shared" ref="P93:P153" si="18">IF(ISBLANK(G93),"",((G93-G$28)*1000)+M$28)</f>
        <v/>
      </c>
      <c r="Q93" s="19" t="str">
        <f t="shared" ref="Q93:Q153" si="19">IF(ISBLANK(H93),"",((H93-H$28)*1000)+N$28)</f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8"/>
        <v/>
      </c>
      <c r="M94" s="19" t="str">
        <f t="shared" si="9"/>
        <v/>
      </c>
      <c r="N94" s="19" t="str">
        <f t="shared" si="10"/>
        <v/>
      </c>
      <c r="O94" s="19" t="str">
        <f t="shared" si="17"/>
        <v/>
      </c>
      <c r="P94" s="19" t="str">
        <f t="shared" si="18"/>
        <v/>
      </c>
      <c r="Q94" s="19" t="str">
        <f t="shared" si="19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ref="L95:L153" si="20">IF(ISBLANK(C95),"",((C95-C$30)*1000)+L$29)</f>
        <v/>
      </c>
      <c r="M95" s="19" t="str">
        <f t="shared" ref="M95:M153" si="21">IF(ISBLANK(D95),"",((D95-D$30)*1000)+M$29)</f>
        <v/>
      </c>
      <c r="N95" s="19" t="str">
        <f t="shared" ref="N95:N153" si="22">IF(ISBLANK(E95),"",((E95-E$30)*1000)+N$29)</f>
        <v/>
      </c>
      <c r="O95" s="19" t="str">
        <f t="shared" si="17"/>
        <v/>
      </c>
      <c r="P95" s="19" t="str">
        <f t="shared" si="18"/>
        <v/>
      </c>
      <c r="Q95" s="19" t="str">
        <f t="shared" si="19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0"/>
        <v/>
      </c>
      <c r="M96" s="19" t="str">
        <f t="shared" si="21"/>
        <v/>
      </c>
      <c r="N96" s="19" t="str">
        <f t="shared" si="22"/>
        <v/>
      </c>
      <c r="O96" s="19" t="str">
        <f t="shared" si="17"/>
        <v/>
      </c>
      <c r="P96" s="19" t="str">
        <f t="shared" si="18"/>
        <v/>
      </c>
      <c r="Q96" s="19" t="str">
        <f t="shared" si="19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0"/>
        <v/>
      </c>
      <c r="M97" s="19" t="str">
        <f t="shared" si="21"/>
        <v/>
      </c>
      <c r="N97" s="19" t="str">
        <f t="shared" si="22"/>
        <v/>
      </c>
      <c r="O97" s="19" t="str">
        <f t="shared" si="17"/>
        <v/>
      </c>
      <c r="P97" s="19" t="str">
        <f t="shared" si="18"/>
        <v/>
      </c>
      <c r="Q97" s="19" t="str">
        <f t="shared" si="19"/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0"/>
        <v/>
      </c>
      <c r="M98" s="19" t="str">
        <f t="shared" si="21"/>
        <v/>
      </c>
      <c r="N98" s="19" t="str">
        <f t="shared" si="22"/>
        <v/>
      </c>
      <c r="O98" s="19" t="str">
        <f t="shared" si="17"/>
        <v/>
      </c>
      <c r="P98" s="19" t="str">
        <f t="shared" si="18"/>
        <v/>
      </c>
      <c r="Q98" s="19" t="str">
        <f t="shared" si="19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0"/>
        <v/>
      </c>
      <c r="M99" s="19" t="str">
        <f t="shared" si="21"/>
        <v/>
      </c>
      <c r="N99" s="19" t="str">
        <f t="shared" si="22"/>
        <v/>
      </c>
      <c r="O99" s="19" t="str">
        <f t="shared" si="17"/>
        <v/>
      </c>
      <c r="P99" s="19" t="str">
        <f t="shared" si="18"/>
        <v/>
      </c>
      <c r="Q99" s="19" t="str">
        <f t="shared" si="19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0"/>
        <v/>
      </c>
      <c r="M100" s="19" t="str">
        <f t="shared" si="21"/>
        <v/>
      </c>
      <c r="N100" s="19" t="str">
        <f t="shared" si="22"/>
        <v/>
      </c>
      <c r="O100" s="19" t="str">
        <f t="shared" si="17"/>
        <v/>
      </c>
      <c r="P100" s="19" t="str">
        <f t="shared" si="18"/>
        <v/>
      </c>
      <c r="Q100" s="19" t="str">
        <f t="shared" si="19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0"/>
        <v/>
      </c>
      <c r="M101" s="19" t="str">
        <f t="shared" si="21"/>
        <v/>
      </c>
      <c r="N101" s="19" t="str">
        <f t="shared" si="22"/>
        <v/>
      </c>
      <c r="O101" s="19" t="str">
        <f t="shared" si="17"/>
        <v/>
      </c>
      <c r="P101" s="19" t="str">
        <f t="shared" si="18"/>
        <v/>
      </c>
      <c r="Q101" s="19" t="str">
        <f t="shared" si="19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0"/>
        <v/>
      </c>
      <c r="M102" s="19" t="str">
        <f t="shared" si="21"/>
        <v/>
      </c>
      <c r="N102" s="19" t="str">
        <f t="shared" si="22"/>
        <v/>
      </c>
      <c r="O102" s="19" t="str">
        <f t="shared" si="17"/>
        <v/>
      </c>
      <c r="P102" s="19" t="str">
        <f t="shared" si="18"/>
        <v/>
      </c>
      <c r="Q102" s="19" t="str">
        <f t="shared" si="19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0"/>
        <v/>
      </c>
      <c r="M103" s="19" t="str">
        <f t="shared" si="21"/>
        <v/>
      </c>
      <c r="N103" s="19" t="str">
        <f t="shared" si="22"/>
        <v/>
      </c>
      <c r="O103" s="19" t="str">
        <f t="shared" si="17"/>
        <v/>
      </c>
      <c r="P103" s="19" t="str">
        <f t="shared" si="18"/>
        <v/>
      </c>
      <c r="Q103" s="19" t="str">
        <f t="shared" si="19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0"/>
        <v/>
      </c>
      <c r="M104" s="19" t="str">
        <f t="shared" si="21"/>
        <v/>
      </c>
      <c r="N104" s="19" t="str">
        <f t="shared" si="22"/>
        <v/>
      </c>
      <c r="O104" s="19" t="str">
        <f t="shared" si="17"/>
        <v/>
      </c>
      <c r="P104" s="19" t="str">
        <f t="shared" si="18"/>
        <v/>
      </c>
      <c r="Q104" s="19" t="str">
        <f t="shared" si="19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0"/>
        <v/>
      </c>
      <c r="M105" s="19" t="str">
        <f t="shared" si="21"/>
        <v/>
      </c>
      <c r="N105" s="19" t="str">
        <f t="shared" si="22"/>
        <v/>
      </c>
      <c r="O105" s="19" t="str">
        <f t="shared" si="17"/>
        <v/>
      </c>
      <c r="P105" s="19" t="str">
        <f t="shared" si="18"/>
        <v/>
      </c>
      <c r="Q105" s="19" t="str">
        <f t="shared" si="19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0"/>
        <v/>
      </c>
      <c r="M106" s="19" t="str">
        <f t="shared" si="21"/>
        <v/>
      </c>
      <c r="N106" s="19" t="str">
        <f t="shared" si="22"/>
        <v/>
      </c>
      <c r="O106" s="19" t="str">
        <f t="shared" si="17"/>
        <v/>
      </c>
      <c r="P106" s="19" t="str">
        <f t="shared" si="18"/>
        <v/>
      </c>
      <c r="Q106" s="19" t="str">
        <f t="shared" si="19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0"/>
        <v/>
      </c>
      <c r="M107" s="19" t="str">
        <f t="shared" si="21"/>
        <v/>
      </c>
      <c r="N107" s="19" t="str">
        <f t="shared" si="22"/>
        <v/>
      </c>
      <c r="O107" s="19" t="str">
        <f t="shared" si="17"/>
        <v/>
      </c>
      <c r="P107" s="19" t="str">
        <f t="shared" si="18"/>
        <v/>
      </c>
      <c r="Q107" s="19" t="str">
        <f t="shared" si="19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0"/>
        <v/>
      </c>
      <c r="M108" s="19" t="str">
        <f t="shared" si="21"/>
        <v/>
      </c>
      <c r="N108" s="19" t="str">
        <f t="shared" si="22"/>
        <v/>
      </c>
      <c r="O108" s="19" t="str">
        <f t="shared" si="17"/>
        <v/>
      </c>
      <c r="P108" s="19" t="str">
        <f t="shared" si="18"/>
        <v/>
      </c>
      <c r="Q108" s="19" t="str">
        <f t="shared" si="19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0"/>
        <v/>
      </c>
      <c r="M109" s="19" t="str">
        <f t="shared" si="21"/>
        <v/>
      </c>
      <c r="N109" s="19" t="str">
        <f t="shared" si="22"/>
        <v/>
      </c>
      <c r="O109" s="19" t="str">
        <f t="shared" si="17"/>
        <v/>
      </c>
      <c r="P109" s="19" t="str">
        <f t="shared" si="18"/>
        <v/>
      </c>
      <c r="Q109" s="19" t="str">
        <f t="shared" si="19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0"/>
        <v/>
      </c>
      <c r="M110" s="19" t="str">
        <f t="shared" si="21"/>
        <v/>
      </c>
      <c r="N110" s="19" t="str">
        <f t="shared" si="22"/>
        <v/>
      </c>
      <c r="O110" s="19" t="str">
        <f t="shared" si="17"/>
        <v/>
      </c>
      <c r="P110" s="19" t="str">
        <f t="shared" si="18"/>
        <v/>
      </c>
      <c r="Q110" s="19" t="str">
        <f t="shared" si="19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0"/>
        <v/>
      </c>
      <c r="M111" s="19" t="str">
        <f t="shared" si="21"/>
        <v/>
      </c>
      <c r="N111" s="19" t="str">
        <f t="shared" si="22"/>
        <v/>
      </c>
      <c r="O111" s="19" t="str">
        <f t="shared" si="17"/>
        <v/>
      </c>
      <c r="P111" s="19" t="str">
        <f t="shared" si="18"/>
        <v/>
      </c>
      <c r="Q111" s="19" t="str">
        <f t="shared" si="19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0"/>
        <v/>
      </c>
      <c r="M112" s="19" t="str">
        <f t="shared" si="21"/>
        <v/>
      </c>
      <c r="N112" s="19" t="str">
        <f t="shared" si="22"/>
        <v/>
      </c>
      <c r="O112" s="19" t="str">
        <f t="shared" si="17"/>
        <v/>
      </c>
      <c r="P112" s="19" t="str">
        <f t="shared" si="18"/>
        <v/>
      </c>
      <c r="Q112" s="19" t="str">
        <f t="shared" si="19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0"/>
        <v/>
      </c>
      <c r="M113" s="19" t="str">
        <f t="shared" si="21"/>
        <v/>
      </c>
      <c r="N113" s="19" t="str">
        <f t="shared" si="22"/>
        <v/>
      </c>
      <c r="O113" s="19" t="str">
        <f t="shared" si="17"/>
        <v/>
      </c>
      <c r="P113" s="19" t="str">
        <f t="shared" si="18"/>
        <v/>
      </c>
      <c r="Q113" s="19" t="str">
        <f t="shared" si="19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0"/>
        <v/>
      </c>
      <c r="M114" s="19" t="str">
        <f t="shared" si="21"/>
        <v/>
      </c>
      <c r="N114" s="19" t="str">
        <f t="shared" si="22"/>
        <v/>
      </c>
      <c r="O114" s="19" t="str">
        <f t="shared" si="17"/>
        <v/>
      </c>
      <c r="P114" s="19" t="str">
        <f t="shared" si="18"/>
        <v/>
      </c>
      <c r="Q114" s="19" t="str">
        <f t="shared" si="19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0"/>
        <v/>
      </c>
      <c r="M115" s="19" t="str">
        <f t="shared" si="21"/>
        <v/>
      </c>
      <c r="N115" s="19" t="str">
        <f t="shared" si="22"/>
        <v/>
      </c>
      <c r="O115" s="19" t="str">
        <f t="shared" si="17"/>
        <v/>
      </c>
      <c r="P115" s="19" t="str">
        <f t="shared" si="18"/>
        <v/>
      </c>
      <c r="Q115" s="19" t="str">
        <f t="shared" si="19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0"/>
        <v/>
      </c>
      <c r="M116" s="19" t="str">
        <f t="shared" si="21"/>
        <v/>
      </c>
      <c r="N116" s="19" t="str">
        <f t="shared" si="22"/>
        <v/>
      </c>
      <c r="O116" s="19" t="str">
        <f t="shared" si="17"/>
        <v/>
      </c>
      <c r="P116" s="19" t="str">
        <f t="shared" si="18"/>
        <v/>
      </c>
      <c r="Q116" s="19" t="str">
        <f t="shared" si="19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0"/>
        <v/>
      </c>
      <c r="M117" s="19" t="str">
        <f t="shared" si="21"/>
        <v/>
      </c>
      <c r="N117" s="19" t="str">
        <f t="shared" si="22"/>
        <v/>
      </c>
      <c r="O117" s="19" t="str">
        <f t="shared" si="17"/>
        <v/>
      </c>
      <c r="P117" s="19" t="str">
        <f t="shared" si="18"/>
        <v/>
      </c>
      <c r="Q117" s="19" t="str">
        <f t="shared" si="19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0"/>
        <v/>
      </c>
      <c r="M118" s="19" t="str">
        <f t="shared" si="21"/>
        <v/>
      </c>
      <c r="N118" s="19" t="str">
        <f t="shared" si="22"/>
        <v/>
      </c>
      <c r="O118" s="19" t="str">
        <f t="shared" si="17"/>
        <v/>
      </c>
      <c r="P118" s="19" t="str">
        <f t="shared" si="18"/>
        <v/>
      </c>
      <c r="Q118" s="19" t="str">
        <f t="shared" si="19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0"/>
        <v/>
      </c>
      <c r="M119" s="19" t="str">
        <f t="shared" si="21"/>
        <v/>
      </c>
      <c r="N119" s="19" t="str">
        <f t="shared" si="22"/>
        <v/>
      </c>
      <c r="O119" s="19" t="str">
        <f t="shared" si="17"/>
        <v/>
      </c>
      <c r="P119" s="19" t="str">
        <f t="shared" si="18"/>
        <v/>
      </c>
      <c r="Q119" s="19" t="str">
        <f t="shared" si="19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0"/>
        <v/>
      </c>
      <c r="M120" s="19" t="str">
        <f t="shared" si="21"/>
        <v/>
      </c>
      <c r="N120" s="19" t="str">
        <f t="shared" si="22"/>
        <v/>
      </c>
      <c r="O120" s="19" t="str">
        <f t="shared" si="17"/>
        <v/>
      </c>
      <c r="P120" s="19" t="str">
        <f t="shared" si="18"/>
        <v/>
      </c>
      <c r="Q120" s="19" t="str">
        <f t="shared" si="19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0"/>
        <v/>
      </c>
      <c r="M121" s="19" t="str">
        <f t="shared" si="21"/>
        <v/>
      </c>
      <c r="N121" s="19" t="str">
        <f t="shared" si="22"/>
        <v/>
      </c>
      <c r="O121" s="19" t="str">
        <f t="shared" si="17"/>
        <v/>
      </c>
      <c r="P121" s="19" t="str">
        <f t="shared" si="18"/>
        <v/>
      </c>
      <c r="Q121" s="19" t="str">
        <f t="shared" si="19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0"/>
        <v/>
      </c>
      <c r="M122" s="19" t="str">
        <f t="shared" si="21"/>
        <v/>
      </c>
      <c r="N122" s="19" t="str">
        <f t="shared" si="22"/>
        <v/>
      </c>
      <c r="O122" s="19" t="str">
        <f t="shared" si="17"/>
        <v/>
      </c>
      <c r="P122" s="19" t="str">
        <f t="shared" si="18"/>
        <v/>
      </c>
      <c r="Q122" s="19" t="str">
        <f t="shared" si="19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0"/>
        <v/>
      </c>
      <c r="M123" s="19" t="str">
        <f t="shared" si="21"/>
        <v/>
      </c>
      <c r="N123" s="19" t="str">
        <f t="shared" si="22"/>
        <v/>
      </c>
      <c r="O123" s="19" t="str">
        <f t="shared" si="17"/>
        <v/>
      </c>
      <c r="P123" s="19" t="str">
        <f t="shared" si="18"/>
        <v/>
      </c>
      <c r="Q123" s="19" t="str">
        <f t="shared" si="19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0"/>
        <v/>
      </c>
      <c r="M124" s="19" t="str">
        <f t="shared" si="21"/>
        <v/>
      </c>
      <c r="N124" s="19" t="str">
        <f t="shared" si="22"/>
        <v/>
      </c>
      <c r="O124" s="19" t="str">
        <f t="shared" si="17"/>
        <v/>
      </c>
      <c r="P124" s="19" t="str">
        <f t="shared" si="18"/>
        <v/>
      </c>
      <c r="Q124" s="19" t="str">
        <f t="shared" si="19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0"/>
        <v/>
      </c>
      <c r="M125" s="19" t="str">
        <f t="shared" si="21"/>
        <v/>
      </c>
      <c r="N125" s="19" t="str">
        <f t="shared" si="22"/>
        <v/>
      </c>
      <c r="O125" s="19" t="str">
        <f t="shared" si="17"/>
        <v/>
      </c>
      <c r="P125" s="19" t="str">
        <f t="shared" si="18"/>
        <v/>
      </c>
      <c r="Q125" s="19" t="str">
        <f t="shared" si="19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0"/>
        <v/>
      </c>
      <c r="M126" s="19" t="str">
        <f t="shared" si="21"/>
        <v/>
      </c>
      <c r="N126" s="19" t="str">
        <f t="shared" si="22"/>
        <v/>
      </c>
      <c r="O126" s="19" t="str">
        <f t="shared" si="17"/>
        <v/>
      </c>
      <c r="P126" s="19" t="str">
        <f t="shared" si="18"/>
        <v/>
      </c>
      <c r="Q126" s="19" t="str">
        <f t="shared" si="19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0"/>
        <v/>
      </c>
      <c r="M127" s="19" t="str">
        <f t="shared" si="21"/>
        <v/>
      </c>
      <c r="N127" s="19" t="str">
        <f t="shared" si="22"/>
        <v/>
      </c>
      <c r="O127" s="19" t="str">
        <f t="shared" si="17"/>
        <v/>
      </c>
      <c r="P127" s="19" t="str">
        <f t="shared" si="18"/>
        <v/>
      </c>
      <c r="Q127" s="19" t="str">
        <f t="shared" si="19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0"/>
        <v/>
      </c>
      <c r="M128" s="19" t="str">
        <f t="shared" si="21"/>
        <v/>
      </c>
      <c r="N128" s="19" t="str">
        <f t="shared" si="22"/>
        <v/>
      </c>
      <c r="O128" s="19" t="str">
        <f t="shared" si="17"/>
        <v/>
      </c>
      <c r="P128" s="19" t="str">
        <f t="shared" si="18"/>
        <v/>
      </c>
      <c r="Q128" s="19" t="str">
        <f t="shared" si="19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0"/>
        <v/>
      </c>
      <c r="M129" s="19" t="str">
        <f t="shared" si="21"/>
        <v/>
      </c>
      <c r="N129" s="19" t="str">
        <f t="shared" si="22"/>
        <v/>
      </c>
      <c r="O129" s="19" t="str">
        <f t="shared" si="17"/>
        <v/>
      </c>
      <c r="P129" s="19" t="str">
        <f t="shared" si="18"/>
        <v/>
      </c>
      <c r="Q129" s="19" t="str">
        <f t="shared" si="19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0"/>
        <v/>
      </c>
      <c r="M130" s="19" t="str">
        <f t="shared" si="21"/>
        <v/>
      </c>
      <c r="N130" s="19" t="str">
        <f t="shared" si="22"/>
        <v/>
      </c>
      <c r="O130" s="19" t="str">
        <f t="shared" si="17"/>
        <v/>
      </c>
      <c r="P130" s="19" t="str">
        <f t="shared" si="18"/>
        <v/>
      </c>
      <c r="Q130" s="19" t="str">
        <f t="shared" si="19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0"/>
        <v/>
      </c>
      <c r="M131" s="19" t="str">
        <f t="shared" si="21"/>
        <v/>
      </c>
      <c r="N131" s="19" t="str">
        <f t="shared" si="22"/>
        <v/>
      </c>
      <c r="O131" s="19" t="str">
        <f t="shared" si="17"/>
        <v/>
      </c>
      <c r="P131" s="19" t="str">
        <f t="shared" si="18"/>
        <v/>
      </c>
      <c r="Q131" s="19" t="str">
        <f t="shared" si="19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0"/>
        <v/>
      </c>
      <c r="M132" s="19" t="str">
        <f t="shared" si="21"/>
        <v/>
      </c>
      <c r="N132" s="19" t="str">
        <f t="shared" si="22"/>
        <v/>
      </c>
      <c r="O132" s="19" t="str">
        <f t="shared" si="17"/>
        <v/>
      </c>
      <c r="P132" s="19" t="str">
        <f t="shared" si="18"/>
        <v/>
      </c>
      <c r="Q132" s="19" t="str">
        <f t="shared" si="19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0"/>
        <v/>
      </c>
      <c r="M133" s="19" t="str">
        <f t="shared" si="21"/>
        <v/>
      </c>
      <c r="N133" s="19" t="str">
        <f t="shared" si="22"/>
        <v/>
      </c>
      <c r="O133" s="19" t="str">
        <f t="shared" si="17"/>
        <v/>
      </c>
      <c r="P133" s="19" t="str">
        <f t="shared" si="18"/>
        <v/>
      </c>
      <c r="Q133" s="19" t="str">
        <f t="shared" si="19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0"/>
        <v/>
      </c>
      <c r="M134" s="19" t="str">
        <f t="shared" si="21"/>
        <v/>
      </c>
      <c r="N134" s="19" t="str">
        <f t="shared" si="22"/>
        <v/>
      </c>
      <c r="O134" s="19" t="str">
        <f t="shared" si="17"/>
        <v/>
      </c>
      <c r="P134" s="19" t="str">
        <f t="shared" si="18"/>
        <v/>
      </c>
      <c r="Q134" s="19" t="str">
        <f t="shared" si="19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0"/>
        <v/>
      </c>
      <c r="M135" s="19" t="str">
        <f t="shared" si="21"/>
        <v/>
      </c>
      <c r="N135" s="19" t="str">
        <f t="shared" si="22"/>
        <v/>
      </c>
      <c r="O135" s="19" t="str">
        <f t="shared" si="17"/>
        <v/>
      </c>
      <c r="P135" s="19" t="str">
        <f t="shared" si="18"/>
        <v/>
      </c>
      <c r="Q135" s="19" t="str">
        <f t="shared" si="19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0"/>
        <v/>
      </c>
      <c r="M136" s="19" t="str">
        <f t="shared" si="21"/>
        <v/>
      </c>
      <c r="N136" s="19" t="str">
        <f t="shared" si="22"/>
        <v/>
      </c>
      <c r="O136" s="19" t="str">
        <f t="shared" si="17"/>
        <v/>
      </c>
      <c r="P136" s="19" t="str">
        <f t="shared" si="18"/>
        <v/>
      </c>
      <c r="Q136" s="19" t="str">
        <f t="shared" si="19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0"/>
        <v/>
      </c>
      <c r="M137" s="19" t="str">
        <f t="shared" si="21"/>
        <v/>
      </c>
      <c r="N137" s="19" t="str">
        <f t="shared" si="22"/>
        <v/>
      </c>
      <c r="O137" s="19" t="str">
        <f t="shared" si="17"/>
        <v/>
      </c>
      <c r="P137" s="19" t="str">
        <f t="shared" si="18"/>
        <v/>
      </c>
      <c r="Q137" s="19" t="str">
        <f t="shared" si="19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0"/>
        <v/>
      </c>
      <c r="M138" s="19" t="str">
        <f t="shared" si="21"/>
        <v/>
      </c>
      <c r="N138" s="19" t="str">
        <f t="shared" si="22"/>
        <v/>
      </c>
      <c r="O138" s="19" t="str">
        <f t="shared" si="17"/>
        <v/>
      </c>
      <c r="P138" s="19" t="str">
        <f t="shared" si="18"/>
        <v/>
      </c>
      <c r="Q138" s="19" t="str">
        <f t="shared" si="19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0"/>
        <v/>
      </c>
      <c r="M139" s="19" t="str">
        <f t="shared" si="21"/>
        <v/>
      </c>
      <c r="N139" s="19" t="str">
        <f t="shared" si="22"/>
        <v/>
      </c>
      <c r="O139" s="19" t="str">
        <f t="shared" si="17"/>
        <v/>
      </c>
      <c r="P139" s="19" t="str">
        <f t="shared" si="18"/>
        <v/>
      </c>
      <c r="Q139" s="19" t="str">
        <f t="shared" si="19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0"/>
        <v/>
      </c>
      <c r="M140" s="19" t="str">
        <f t="shared" si="21"/>
        <v/>
      </c>
      <c r="N140" s="19" t="str">
        <f t="shared" si="22"/>
        <v/>
      </c>
      <c r="O140" s="19" t="str">
        <f t="shared" si="17"/>
        <v/>
      </c>
      <c r="P140" s="19" t="str">
        <f t="shared" si="18"/>
        <v/>
      </c>
      <c r="Q140" s="19" t="str">
        <f t="shared" si="19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0"/>
        <v/>
      </c>
      <c r="M141" s="19" t="str">
        <f t="shared" si="21"/>
        <v/>
      </c>
      <c r="N141" s="19" t="str">
        <f t="shared" si="22"/>
        <v/>
      </c>
      <c r="O141" s="19" t="str">
        <f t="shared" si="17"/>
        <v/>
      </c>
      <c r="P141" s="19" t="str">
        <f t="shared" si="18"/>
        <v/>
      </c>
      <c r="Q141" s="19" t="str">
        <f t="shared" si="19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0"/>
        <v/>
      </c>
      <c r="M142" s="19" t="str">
        <f t="shared" si="21"/>
        <v/>
      </c>
      <c r="N142" s="19" t="str">
        <f t="shared" si="22"/>
        <v/>
      </c>
      <c r="O142" s="19" t="str">
        <f t="shared" si="17"/>
        <v/>
      </c>
      <c r="P142" s="19" t="str">
        <f t="shared" si="18"/>
        <v/>
      </c>
      <c r="Q142" s="19" t="str">
        <f t="shared" si="19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0"/>
        <v/>
      </c>
      <c r="M143" s="19" t="str">
        <f t="shared" si="21"/>
        <v/>
      </c>
      <c r="N143" s="19" t="str">
        <f t="shared" si="22"/>
        <v/>
      </c>
      <c r="O143" s="19" t="str">
        <f t="shared" si="17"/>
        <v/>
      </c>
      <c r="P143" s="19" t="str">
        <f t="shared" si="18"/>
        <v/>
      </c>
      <c r="Q143" s="19" t="str">
        <f t="shared" si="19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0"/>
        <v/>
      </c>
      <c r="M144" s="19" t="str">
        <f t="shared" si="21"/>
        <v/>
      </c>
      <c r="N144" s="19" t="str">
        <f t="shared" si="22"/>
        <v/>
      </c>
      <c r="O144" s="19" t="str">
        <f t="shared" si="17"/>
        <v/>
      </c>
      <c r="P144" s="19" t="str">
        <f t="shared" si="18"/>
        <v/>
      </c>
      <c r="Q144" s="19" t="str">
        <f t="shared" si="19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0"/>
        <v/>
      </c>
      <c r="M145" s="19" t="str">
        <f t="shared" si="21"/>
        <v/>
      </c>
      <c r="N145" s="19" t="str">
        <f t="shared" si="22"/>
        <v/>
      </c>
      <c r="O145" s="19" t="str">
        <f t="shared" si="17"/>
        <v/>
      </c>
      <c r="P145" s="19" t="str">
        <f t="shared" si="18"/>
        <v/>
      </c>
      <c r="Q145" s="19" t="str">
        <f t="shared" si="19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0"/>
        <v/>
      </c>
      <c r="M146" s="19" t="str">
        <f t="shared" si="21"/>
        <v/>
      </c>
      <c r="N146" s="19" t="str">
        <f t="shared" si="22"/>
        <v/>
      </c>
      <c r="O146" s="19" t="str">
        <f t="shared" si="17"/>
        <v/>
      </c>
      <c r="P146" s="19" t="str">
        <f t="shared" si="18"/>
        <v/>
      </c>
      <c r="Q146" s="19" t="str">
        <f t="shared" si="19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0"/>
        <v/>
      </c>
      <c r="M147" s="19" t="str">
        <f t="shared" si="21"/>
        <v/>
      </c>
      <c r="N147" s="19" t="str">
        <f t="shared" si="22"/>
        <v/>
      </c>
      <c r="O147" s="19" t="str">
        <f t="shared" si="17"/>
        <v/>
      </c>
      <c r="P147" s="19" t="str">
        <f t="shared" si="18"/>
        <v/>
      </c>
      <c r="Q147" s="19" t="str">
        <f t="shared" si="19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0"/>
        <v/>
      </c>
      <c r="M148" s="19" t="str">
        <f t="shared" si="21"/>
        <v/>
      </c>
      <c r="N148" s="19" t="str">
        <f t="shared" si="22"/>
        <v/>
      </c>
      <c r="O148" s="19" t="str">
        <f t="shared" si="17"/>
        <v/>
      </c>
      <c r="P148" s="19" t="str">
        <f t="shared" si="18"/>
        <v/>
      </c>
      <c r="Q148" s="19" t="str">
        <f t="shared" si="19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0"/>
        <v/>
      </c>
      <c r="M149" s="19" t="str">
        <f t="shared" si="21"/>
        <v/>
      </c>
      <c r="N149" s="19" t="str">
        <f t="shared" si="22"/>
        <v/>
      </c>
      <c r="O149" s="19" t="str">
        <f t="shared" si="17"/>
        <v/>
      </c>
      <c r="P149" s="19" t="str">
        <f t="shared" si="18"/>
        <v/>
      </c>
      <c r="Q149" s="19" t="str">
        <f t="shared" si="19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0"/>
        <v/>
      </c>
      <c r="M150" s="19" t="str">
        <f t="shared" si="21"/>
        <v/>
      </c>
      <c r="N150" s="19" t="str">
        <f t="shared" si="22"/>
        <v/>
      </c>
      <c r="O150" s="19" t="str">
        <f t="shared" si="17"/>
        <v/>
      </c>
      <c r="P150" s="19" t="str">
        <f t="shared" si="18"/>
        <v/>
      </c>
      <c r="Q150" s="19" t="str">
        <f t="shared" si="19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0"/>
        <v/>
      </c>
      <c r="M151" s="19" t="str">
        <f t="shared" si="21"/>
        <v/>
      </c>
      <c r="N151" s="19" t="str">
        <f t="shared" si="22"/>
        <v/>
      </c>
      <c r="O151" s="19" t="str">
        <f t="shared" si="17"/>
        <v/>
      </c>
      <c r="P151" s="19" t="str">
        <f t="shared" si="18"/>
        <v/>
      </c>
      <c r="Q151" s="19" t="str">
        <f t="shared" si="19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0"/>
        <v/>
      </c>
      <c r="M152" s="19" t="str">
        <f t="shared" si="21"/>
        <v/>
      </c>
      <c r="N152" s="19" t="str">
        <f t="shared" si="22"/>
        <v/>
      </c>
      <c r="O152" s="19" t="str">
        <f t="shared" si="17"/>
        <v/>
      </c>
      <c r="P152" s="19" t="str">
        <f t="shared" si="18"/>
        <v/>
      </c>
      <c r="Q152" s="19" t="str">
        <f t="shared" si="19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0"/>
        <v/>
      </c>
      <c r="M153" s="19" t="str">
        <f t="shared" si="21"/>
        <v/>
      </c>
      <c r="N153" s="19" t="str">
        <f t="shared" si="22"/>
        <v/>
      </c>
      <c r="O153" s="19" t="str">
        <f t="shared" si="17"/>
        <v/>
      </c>
      <c r="P153" s="19" t="str">
        <f t="shared" si="18"/>
        <v/>
      </c>
      <c r="Q153" s="19" t="str">
        <f t="shared" si="19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0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3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TZ-28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 t="s">
        <v>54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41772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41774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471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729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55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41774</v>
      </c>
      <c r="C16" s="14">
        <v>12.981999999999999</v>
      </c>
      <c r="D16" s="15">
        <v>8.4309999999999992</v>
      </c>
      <c r="E16" s="15">
        <v>7.7450000000000001</v>
      </c>
      <c r="F16" s="42"/>
      <c r="G16" s="42"/>
      <c r="H16" s="42"/>
      <c r="I16" s="41">
        <v>104.111</v>
      </c>
      <c r="J16" s="62">
        <v>743</v>
      </c>
      <c r="K16" s="55">
        <f>IF(ISBLANK(J16),"",(J16-$J$8))</f>
        <v>14</v>
      </c>
      <c r="L16" s="19">
        <f t="shared" ref="L16:Q47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41775</v>
      </c>
      <c r="C17" s="25">
        <v>12.98</v>
      </c>
      <c r="D17" s="26">
        <v>8.43</v>
      </c>
      <c r="E17" s="26">
        <v>7.7450000000000001</v>
      </c>
      <c r="F17" s="16"/>
      <c r="G17" s="16"/>
      <c r="H17" s="16"/>
      <c r="I17" s="17">
        <v>104.11</v>
      </c>
      <c r="J17" s="58">
        <v>750</v>
      </c>
      <c r="K17" s="18">
        <f>IF(ISBLANK(J17),"",(J17-$J$8))</f>
        <v>21</v>
      </c>
      <c r="L17" s="19">
        <f t="shared" si="0"/>
        <v>-1.9999999999988916</v>
      </c>
      <c r="M17" s="19">
        <f t="shared" si="0"/>
        <v>-0.99999999999944578</v>
      </c>
      <c r="N17" s="19">
        <f t="shared" si="0"/>
        <v>0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-1.9999999999988916</v>
      </c>
      <c r="T17" s="28">
        <f t="shared" si="2"/>
        <v>-0.99999999999944578</v>
      </c>
      <c r="U17" s="28">
        <f t="shared" si="2"/>
        <v>0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41778</v>
      </c>
      <c r="C18" s="25">
        <v>12.98</v>
      </c>
      <c r="D18" s="26">
        <v>8.43</v>
      </c>
      <c r="E18" s="26">
        <v>7.7450000000000001</v>
      </c>
      <c r="F18" s="16"/>
      <c r="G18" s="16"/>
      <c r="H18" s="16"/>
      <c r="I18" s="17">
        <v>104.11</v>
      </c>
      <c r="J18" s="58">
        <v>763</v>
      </c>
      <c r="K18" s="18">
        <f t="shared" ref="K18:K29" si="3">IF(ISBLANK(J18),"",(J18-$J$8))</f>
        <v>34</v>
      </c>
      <c r="L18" s="19">
        <f t="shared" si="0"/>
        <v>-1.9999999999988916</v>
      </c>
      <c r="M18" s="19">
        <f t="shared" si="0"/>
        <v>-0.99999999999944578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41779</v>
      </c>
      <c r="C19" s="25">
        <v>12.98</v>
      </c>
      <c r="D19" s="26">
        <v>8.43</v>
      </c>
      <c r="E19" s="26">
        <v>7.7450000000000001</v>
      </c>
      <c r="F19" s="16"/>
      <c r="G19" s="16"/>
      <c r="H19" s="16"/>
      <c r="I19" s="17">
        <v>104.11</v>
      </c>
      <c r="J19" s="58">
        <v>774</v>
      </c>
      <c r="K19" s="18">
        <f t="shared" si="3"/>
        <v>45</v>
      </c>
      <c r="L19" s="19">
        <f t="shared" si="0"/>
        <v>-1.9999999999988916</v>
      </c>
      <c r="M19" s="19">
        <f t="shared" si="0"/>
        <v>-0.99999999999944578</v>
      </c>
      <c r="N19" s="19">
        <f t="shared" si="0"/>
        <v>0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41780</v>
      </c>
      <c r="C20" s="25">
        <v>12.98</v>
      </c>
      <c r="D20" s="26">
        <v>8.4309999999999992</v>
      </c>
      <c r="E20" s="26">
        <v>7.7439999999999998</v>
      </c>
      <c r="F20" s="16"/>
      <c r="G20" s="16"/>
      <c r="H20" s="16"/>
      <c r="I20" s="17">
        <v>104.11</v>
      </c>
      <c r="J20" s="58">
        <v>782</v>
      </c>
      <c r="K20" s="18">
        <f t="shared" si="3"/>
        <v>53</v>
      </c>
      <c r="L20" s="19">
        <f t="shared" si="0"/>
        <v>-1.9999999999988916</v>
      </c>
      <c r="M20" s="19">
        <f t="shared" si="0"/>
        <v>0</v>
      </c>
      <c r="N20" s="19">
        <f t="shared" si="0"/>
        <v>-1.000000000000334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0.99999999999944578</v>
      </c>
      <c r="U20" s="28">
        <f t="shared" si="2"/>
        <v>-1.000000000000334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41781</v>
      </c>
      <c r="C21" s="25">
        <v>12.98</v>
      </c>
      <c r="D21" s="26">
        <v>8.4309999999999992</v>
      </c>
      <c r="E21" s="26">
        <v>7.7430000000000003</v>
      </c>
      <c r="F21" s="16"/>
      <c r="G21" s="16"/>
      <c r="H21" s="16"/>
      <c r="I21" s="17">
        <v>104.111</v>
      </c>
      <c r="J21" s="58">
        <v>792</v>
      </c>
      <c r="K21" s="18">
        <f t="shared" si="3"/>
        <v>63</v>
      </c>
      <c r="L21" s="19">
        <f t="shared" si="0"/>
        <v>-1.9999999999988916</v>
      </c>
      <c r="M21" s="19">
        <f t="shared" si="0"/>
        <v>0</v>
      </c>
      <c r="N21" s="19">
        <f t="shared" si="0"/>
        <v>-1.9999999999997797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0</v>
      </c>
      <c r="S21" s="27">
        <f t="shared" si="2"/>
        <v>0</v>
      </c>
      <c r="T21" s="28">
        <f t="shared" si="2"/>
        <v>0</v>
      </c>
      <c r="U21" s="28">
        <f t="shared" si="2"/>
        <v>-0.99999999999944578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41782</v>
      </c>
      <c r="C22" s="25">
        <v>12.978999999999999</v>
      </c>
      <c r="D22" s="26">
        <v>8.43</v>
      </c>
      <c r="E22" s="26">
        <v>7.7439999999999998</v>
      </c>
      <c r="F22" s="16"/>
      <c r="G22" s="16"/>
      <c r="H22" s="16"/>
      <c r="I22" s="17">
        <v>104.111</v>
      </c>
      <c r="J22" s="58">
        <v>801</v>
      </c>
      <c r="K22" s="18">
        <f t="shared" si="3"/>
        <v>72</v>
      </c>
      <c r="L22" s="19">
        <f t="shared" si="0"/>
        <v>-3.0000000000001137</v>
      </c>
      <c r="M22" s="19">
        <f t="shared" si="0"/>
        <v>-0.99999999999944578</v>
      </c>
      <c r="N22" s="19">
        <f t="shared" si="0"/>
        <v>-1.000000000000334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0</v>
      </c>
      <c r="S22" s="27">
        <f t="shared" si="2"/>
        <v>-1.0000000000012221</v>
      </c>
      <c r="T22" s="28">
        <f t="shared" si="2"/>
        <v>-0.99999999999944578</v>
      </c>
      <c r="U22" s="28">
        <f t="shared" si="2"/>
        <v>0.99999999999944578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41785</v>
      </c>
      <c r="C23" s="25">
        <v>12.978999999999999</v>
      </c>
      <c r="D23" s="26">
        <v>8.43</v>
      </c>
      <c r="E23" s="26">
        <v>7.7439999999999998</v>
      </c>
      <c r="F23" s="16"/>
      <c r="G23" s="16"/>
      <c r="H23" s="16"/>
      <c r="I23" s="17">
        <v>104.111</v>
      </c>
      <c r="J23" s="58">
        <v>813</v>
      </c>
      <c r="K23" s="18">
        <f t="shared" si="3"/>
        <v>84</v>
      </c>
      <c r="L23" s="19">
        <f t="shared" si="0"/>
        <v>-3.0000000000001137</v>
      </c>
      <c r="M23" s="19">
        <f t="shared" si="0"/>
        <v>-0.99999999999944578</v>
      </c>
      <c r="N23" s="19">
        <f t="shared" si="0"/>
        <v>-1.000000000000334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0</v>
      </c>
      <c r="S23" s="27">
        <f t="shared" si="2"/>
        <v>0</v>
      </c>
      <c r="T23" s="28">
        <f t="shared" si="2"/>
        <v>0</v>
      </c>
      <c r="U23" s="28">
        <f t="shared" si="2"/>
        <v>0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41786</v>
      </c>
      <c r="C24" s="25">
        <v>12.978999999999999</v>
      </c>
      <c r="D24" s="26">
        <v>8.43</v>
      </c>
      <c r="E24" s="26">
        <v>7.7430000000000003</v>
      </c>
      <c r="F24" s="16"/>
      <c r="G24" s="16"/>
      <c r="H24" s="16"/>
      <c r="I24" s="17">
        <v>104.11</v>
      </c>
      <c r="J24" s="58">
        <v>821</v>
      </c>
      <c r="K24" s="18">
        <f t="shared" si="3"/>
        <v>92</v>
      </c>
      <c r="L24" s="19">
        <f t="shared" si="0"/>
        <v>-3.0000000000001137</v>
      </c>
      <c r="M24" s="19">
        <f t="shared" si="0"/>
        <v>-0.99999999999944578</v>
      </c>
      <c r="N24" s="19">
        <f t="shared" si="0"/>
        <v>-1.9999999999997797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-1.0000000000047748</v>
      </c>
      <c r="S24" s="27">
        <f t="shared" si="2"/>
        <v>0</v>
      </c>
      <c r="T24" s="28">
        <f t="shared" si="2"/>
        <v>0</v>
      </c>
      <c r="U24" s="28">
        <f t="shared" si="2"/>
        <v>-0.99999999999944578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41787</v>
      </c>
      <c r="C25" s="25">
        <v>12.98</v>
      </c>
      <c r="D25" s="26">
        <v>8.4309999999999992</v>
      </c>
      <c r="E25" s="26">
        <v>7.7430000000000003</v>
      </c>
      <c r="F25" s="16"/>
      <c r="G25" s="16"/>
      <c r="H25" s="16"/>
      <c r="I25" s="17">
        <v>104.11</v>
      </c>
      <c r="J25" s="58">
        <v>837</v>
      </c>
      <c r="K25" s="18">
        <f t="shared" si="3"/>
        <v>108</v>
      </c>
      <c r="L25" s="19">
        <f t="shared" si="0"/>
        <v>-1.9999999999988916</v>
      </c>
      <c r="M25" s="19">
        <f t="shared" si="0"/>
        <v>0</v>
      </c>
      <c r="N25" s="19">
        <f t="shared" si="0"/>
        <v>-1.9999999999997797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1.0000000000012221</v>
      </c>
      <c r="T25" s="28">
        <f t="shared" si="2"/>
        <v>0.99999999999944578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41788</v>
      </c>
      <c r="C26" s="25">
        <v>12.98</v>
      </c>
      <c r="D26" s="26">
        <v>8.4290000000000003</v>
      </c>
      <c r="E26" s="26">
        <v>7.7439999999999998</v>
      </c>
      <c r="F26" s="16"/>
      <c r="G26" s="16"/>
      <c r="H26" s="16"/>
      <c r="I26" s="17">
        <v>104.11</v>
      </c>
      <c r="J26" s="58">
        <v>844</v>
      </c>
      <c r="K26" s="18">
        <f t="shared" si="3"/>
        <v>115</v>
      </c>
      <c r="L26" s="19">
        <f t="shared" si="0"/>
        <v>-1.9999999999988916</v>
      </c>
      <c r="M26" s="19">
        <f t="shared" si="0"/>
        <v>-1.9999999999988916</v>
      </c>
      <c r="N26" s="19">
        <f t="shared" si="0"/>
        <v>-1.000000000000334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-1.0000000000047748</v>
      </c>
      <c r="S26" s="27">
        <f t="shared" si="2"/>
        <v>0</v>
      </c>
      <c r="T26" s="28">
        <f t="shared" si="2"/>
        <v>-1.9999999999988916</v>
      </c>
      <c r="U26" s="28">
        <f t="shared" si="2"/>
        <v>0.99999999999944578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41789</v>
      </c>
      <c r="C27" s="25">
        <v>12.978999999999999</v>
      </c>
      <c r="D27" s="26">
        <v>8.43</v>
      </c>
      <c r="E27" s="26">
        <v>7.7439999999999998</v>
      </c>
      <c r="F27" s="16"/>
      <c r="G27" s="16"/>
      <c r="H27" s="16"/>
      <c r="I27" s="17">
        <v>104.11</v>
      </c>
      <c r="J27" s="58">
        <v>851</v>
      </c>
      <c r="K27" s="18">
        <f t="shared" si="3"/>
        <v>122</v>
      </c>
      <c r="L27" s="19">
        <f t="shared" si="0"/>
        <v>-3.0000000000001137</v>
      </c>
      <c r="M27" s="19">
        <f t="shared" si="0"/>
        <v>-0.99999999999944578</v>
      </c>
      <c r="N27" s="19">
        <f t="shared" si="0"/>
        <v>-1.000000000000334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-1.0000000000012221</v>
      </c>
      <c r="T27" s="28">
        <f t="shared" si="2"/>
        <v>0.99999999999944578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41792</v>
      </c>
      <c r="C28" s="25">
        <v>12.98</v>
      </c>
      <c r="D28" s="26">
        <v>8.43</v>
      </c>
      <c r="E28" s="26">
        <v>7.7430000000000003</v>
      </c>
      <c r="F28" s="16"/>
      <c r="G28" s="16"/>
      <c r="H28" s="16"/>
      <c r="I28" s="17">
        <v>104.11</v>
      </c>
      <c r="J28" s="58">
        <v>865</v>
      </c>
      <c r="K28" s="18">
        <f t="shared" si="3"/>
        <v>136</v>
      </c>
      <c r="L28" s="19">
        <f t="shared" si="0"/>
        <v>-1.9999999999988916</v>
      </c>
      <c r="M28" s="19">
        <f t="shared" si="0"/>
        <v>-0.99999999999944578</v>
      </c>
      <c r="N28" s="19">
        <f t="shared" si="0"/>
        <v>-1.9999999999997797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0.33333333333374071</v>
      </c>
      <c r="T28" s="28">
        <f t="shared" si="2"/>
        <v>0</v>
      </c>
      <c r="U28" s="28">
        <f t="shared" si="2"/>
        <v>-0.33333333333314857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41793</v>
      </c>
      <c r="C29" s="25">
        <v>12.98</v>
      </c>
      <c r="D29" s="26">
        <v>8.43</v>
      </c>
      <c r="E29" s="26">
        <v>7.7430000000000003</v>
      </c>
      <c r="F29" s="16"/>
      <c r="G29" s="16"/>
      <c r="H29" s="16"/>
      <c r="I29" s="17">
        <v>104.11</v>
      </c>
      <c r="J29" s="58">
        <v>874</v>
      </c>
      <c r="K29" s="18">
        <f t="shared" si="3"/>
        <v>145</v>
      </c>
      <c r="L29" s="19">
        <f t="shared" si="0"/>
        <v>-1.9999999999988916</v>
      </c>
      <c r="M29" s="19">
        <f t="shared" si="0"/>
        <v>-0.99999999999944578</v>
      </c>
      <c r="N29" s="19">
        <f t="shared" si="0"/>
        <v>-1.9999999999997797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-1.0000000000047748</v>
      </c>
      <c r="S29" s="27">
        <f t="shared" si="2"/>
        <v>0</v>
      </c>
      <c r="T29" s="28">
        <f t="shared" si="2"/>
        <v>0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41800</v>
      </c>
      <c r="C30" s="25">
        <v>12.978</v>
      </c>
      <c r="D30" s="26">
        <v>8.43</v>
      </c>
      <c r="E30" s="26">
        <v>7.742</v>
      </c>
      <c r="F30" s="16"/>
      <c r="G30" s="16"/>
      <c r="H30" s="16"/>
      <c r="I30" s="17">
        <v>104.10899999999999</v>
      </c>
      <c r="J30" s="58">
        <v>929</v>
      </c>
      <c r="K30" s="18">
        <f t="shared" ref="K30:K36" si="4">IF(ISBLANK(J30),"",(J30-$J$8))</f>
        <v>200</v>
      </c>
      <c r="L30" s="19">
        <f t="shared" si="0"/>
        <v>-3.9999999999995595</v>
      </c>
      <c r="M30" s="19">
        <f t="shared" si="0"/>
        <v>-0.99999999999944578</v>
      </c>
      <c r="N30" s="19">
        <f t="shared" si="0"/>
        <v>-3.0000000000001137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-2.0000000000095497</v>
      </c>
      <c r="S30" s="27">
        <f t="shared" si="2"/>
        <v>-0.28571428571438112</v>
      </c>
      <c r="T30" s="28">
        <f t="shared" si="2"/>
        <v>0</v>
      </c>
      <c r="U30" s="28">
        <f t="shared" si="2"/>
        <v>-0.14285714285719056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41829</v>
      </c>
      <c r="C31" s="64">
        <v>12.978</v>
      </c>
      <c r="D31" s="65">
        <v>8.43</v>
      </c>
      <c r="E31" s="26">
        <v>7.742</v>
      </c>
      <c r="F31" s="16">
        <v>13.657</v>
      </c>
      <c r="G31" s="16">
        <v>10.128</v>
      </c>
      <c r="H31" s="16">
        <v>10.231999999999999</v>
      </c>
      <c r="I31" s="17">
        <v>104.1</v>
      </c>
      <c r="J31" s="58">
        <v>793</v>
      </c>
      <c r="K31" s="18">
        <f t="shared" si="4"/>
        <v>64</v>
      </c>
      <c r="L31" s="19">
        <f t="shared" si="0"/>
        <v>-3.9999999999995595</v>
      </c>
      <c r="M31" s="19">
        <f t="shared" si="0"/>
        <v>-0.99999999999944578</v>
      </c>
      <c r="N31" s="19">
        <f t="shared" si="0"/>
        <v>-3.0000000000001137</v>
      </c>
      <c r="O31" s="19">
        <f>IF(ISBLANK(F31),"",((F31-F$31)*1000)+L$31)</f>
        <v>-3.9999999999995595</v>
      </c>
      <c r="P31" s="19">
        <f>IF(ISBLANK(G31),"",((G31-G$31)*1000)+M$31)</f>
        <v>-0.99999999999944578</v>
      </c>
      <c r="Q31" s="19">
        <f>IF(ISBLANK(H31),"",((H31-H$31)*1000)+N$31)</f>
        <v>-3.0000000000001137</v>
      </c>
      <c r="R31" s="19">
        <f t="shared" si="1"/>
        <v>-11.000000000009891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41830</v>
      </c>
      <c r="C32" s="64">
        <v>12.978</v>
      </c>
      <c r="D32" s="65">
        <v>8.43</v>
      </c>
      <c r="E32" s="65">
        <v>7.742</v>
      </c>
      <c r="F32" s="16">
        <v>13.656000000000001</v>
      </c>
      <c r="G32" s="16">
        <v>10.127000000000001</v>
      </c>
      <c r="H32" s="16">
        <v>10.23</v>
      </c>
      <c r="I32" s="66">
        <v>104.1</v>
      </c>
      <c r="J32" s="58">
        <v>808</v>
      </c>
      <c r="K32" s="18">
        <f t="shared" si="4"/>
        <v>79</v>
      </c>
      <c r="L32" s="19">
        <f t="shared" si="0"/>
        <v>-3.9999999999995595</v>
      </c>
      <c r="M32" s="19">
        <f t="shared" si="0"/>
        <v>-0.99999999999944578</v>
      </c>
      <c r="N32" s="19">
        <f t="shared" si="0"/>
        <v>-3.0000000000001137</v>
      </c>
      <c r="O32" s="19">
        <f t="shared" ref="O32:O95" si="5">IF(ISBLANK(F32),"",((F32-F$31)*1000)+L$31)</f>
        <v>-4.9999999999990052</v>
      </c>
      <c r="P32" s="19">
        <f t="shared" ref="P32:P95" si="6">IF(ISBLANK(G32),"",((G32-G$31)*1000)+M$31)</f>
        <v>-1.9999999999988916</v>
      </c>
      <c r="Q32" s="19">
        <f t="shared" ref="Q32:Q95" si="7">IF(ISBLANK(H32),"",((H32-H$31)*1000)+N$31)</f>
        <v>-4.9999999999990052</v>
      </c>
      <c r="R32" s="19">
        <f t="shared" si="1"/>
        <v>-11.000000000009891</v>
      </c>
      <c r="S32" s="27">
        <f t="shared" si="2"/>
        <v>0</v>
      </c>
      <c r="T32" s="28">
        <f t="shared" si="2"/>
        <v>0</v>
      </c>
      <c r="U32" s="28">
        <f t="shared" si="2"/>
        <v>0</v>
      </c>
      <c r="V32" s="28">
        <f t="shared" si="2"/>
        <v>-0.99999999999944578</v>
      </c>
      <c r="W32" s="28">
        <f t="shared" si="2"/>
        <v>-0.99999999999944578</v>
      </c>
      <c r="X32" s="29">
        <f t="shared" si="2"/>
        <v>-1.9999999999988916</v>
      </c>
      <c r="Y32" s="24"/>
    </row>
    <row r="33" spans="2:25" ht="15" customHeight="1" x14ac:dyDescent="0.2">
      <c r="B33" s="31">
        <v>41834</v>
      </c>
      <c r="C33" s="64">
        <v>12.978</v>
      </c>
      <c r="D33" s="45">
        <v>7.7430000000000003</v>
      </c>
      <c r="E33" s="65">
        <v>7.742</v>
      </c>
      <c r="F33" s="16">
        <v>13.657</v>
      </c>
      <c r="G33" s="16">
        <v>10.127000000000001</v>
      </c>
      <c r="H33" s="16">
        <v>10.23</v>
      </c>
      <c r="I33" s="17">
        <v>104.098</v>
      </c>
      <c r="J33" s="58">
        <v>845</v>
      </c>
      <c r="K33" s="18">
        <f t="shared" si="4"/>
        <v>116</v>
      </c>
      <c r="L33" s="19">
        <f t="shared" si="0"/>
        <v>-3.9999999999995595</v>
      </c>
      <c r="M33" s="19">
        <f>IF(ISBLANK(D33),"",((D33-D$33)*1000)+M$32)</f>
        <v>-0.99999999999944578</v>
      </c>
      <c r="N33" s="19">
        <f t="shared" si="0"/>
        <v>-3.0000000000001137</v>
      </c>
      <c r="O33" s="19">
        <f t="shared" si="5"/>
        <v>-3.9999999999995595</v>
      </c>
      <c r="P33" s="19">
        <f t="shared" si="6"/>
        <v>-1.9999999999988916</v>
      </c>
      <c r="Q33" s="19">
        <f t="shared" si="7"/>
        <v>-4.9999999999990052</v>
      </c>
      <c r="R33" s="19">
        <f t="shared" si="1"/>
        <v>-13.00000000000523</v>
      </c>
      <c r="S33" s="27">
        <f t="shared" ref="S33:X48" si="8">IF(C33="","",((C33-C32)*1000)/($B33-$B32))</f>
        <v>0</v>
      </c>
      <c r="T33" s="28">
        <f t="shared" si="8"/>
        <v>-171.74999999999986</v>
      </c>
      <c r="U33" s="28">
        <f t="shared" si="8"/>
        <v>0</v>
      </c>
      <c r="V33" s="28">
        <f t="shared" si="8"/>
        <v>0.24999999999986144</v>
      </c>
      <c r="W33" s="28">
        <f t="shared" si="8"/>
        <v>0</v>
      </c>
      <c r="X33" s="29">
        <f t="shared" si="8"/>
        <v>0</v>
      </c>
      <c r="Y33" s="24"/>
    </row>
    <row r="34" spans="2:25" ht="15" customHeight="1" x14ac:dyDescent="0.2">
      <c r="B34" s="31">
        <v>41835</v>
      </c>
      <c r="C34" s="64">
        <v>12.978</v>
      </c>
      <c r="D34" s="26">
        <v>7.742</v>
      </c>
      <c r="E34" s="65">
        <v>7.742</v>
      </c>
      <c r="F34" s="16">
        <v>13.656000000000001</v>
      </c>
      <c r="G34" s="16">
        <v>10.125999999999999</v>
      </c>
      <c r="H34" s="16">
        <v>10.23</v>
      </c>
      <c r="I34" s="17">
        <v>104.098</v>
      </c>
      <c r="J34" s="58">
        <v>857</v>
      </c>
      <c r="K34" s="18">
        <f t="shared" si="4"/>
        <v>128</v>
      </c>
      <c r="L34" s="19">
        <f t="shared" si="0"/>
        <v>-3.9999999999995595</v>
      </c>
      <c r="M34" s="19">
        <f t="shared" ref="M34:M97" si="9">IF(ISBLANK(D34),"",((D34-D$33)*1000)+M$32)</f>
        <v>-1.9999999999997797</v>
      </c>
      <c r="N34" s="19">
        <f t="shared" si="0"/>
        <v>-3.0000000000001137</v>
      </c>
      <c r="O34" s="19">
        <f t="shared" si="5"/>
        <v>-4.9999999999990052</v>
      </c>
      <c r="P34" s="19">
        <f t="shared" si="6"/>
        <v>-3.0000000000001137</v>
      </c>
      <c r="Q34" s="19">
        <f t="shared" si="7"/>
        <v>-4.9999999999990052</v>
      </c>
      <c r="R34" s="19">
        <f t="shared" si="1"/>
        <v>-13.00000000000523</v>
      </c>
      <c r="S34" s="27">
        <f t="shared" si="8"/>
        <v>0</v>
      </c>
      <c r="T34" s="28">
        <f t="shared" si="8"/>
        <v>-1.000000000000334</v>
      </c>
      <c r="U34" s="28">
        <f t="shared" si="8"/>
        <v>0</v>
      </c>
      <c r="V34" s="28">
        <f t="shared" si="8"/>
        <v>-0.99999999999944578</v>
      </c>
      <c r="W34" s="28">
        <f t="shared" si="8"/>
        <v>-1.0000000000012221</v>
      </c>
      <c r="X34" s="29">
        <f t="shared" si="8"/>
        <v>0</v>
      </c>
      <c r="Y34" s="24"/>
    </row>
    <row r="35" spans="2:25" ht="15" customHeight="1" x14ac:dyDescent="0.2">
      <c r="B35" s="31">
        <v>41879</v>
      </c>
      <c r="C35" s="64"/>
      <c r="D35" s="26"/>
      <c r="E35" s="65"/>
      <c r="F35" s="16">
        <v>13.657</v>
      </c>
      <c r="G35" s="16">
        <v>10.125999999999999</v>
      </c>
      <c r="H35" s="16">
        <v>10.23</v>
      </c>
      <c r="I35" s="17">
        <v>104.098</v>
      </c>
      <c r="J35" s="58">
        <v>943</v>
      </c>
      <c r="K35" s="18">
        <f t="shared" si="4"/>
        <v>214</v>
      </c>
      <c r="L35" s="19" t="str">
        <f t="shared" si="0"/>
        <v/>
      </c>
      <c r="M35" s="19" t="str">
        <f t="shared" si="9"/>
        <v/>
      </c>
      <c r="N35" s="19" t="str">
        <f t="shared" si="0"/>
        <v/>
      </c>
      <c r="O35" s="19">
        <f t="shared" si="5"/>
        <v>-3.9999999999995595</v>
      </c>
      <c r="P35" s="19">
        <f t="shared" si="6"/>
        <v>-3.0000000000001137</v>
      </c>
      <c r="Q35" s="19">
        <f t="shared" si="7"/>
        <v>-4.9999999999990052</v>
      </c>
      <c r="R35" s="19">
        <f t="shared" si="1"/>
        <v>-13.00000000000523</v>
      </c>
      <c r="S35" s="27" t="str">
        <f t="shared" si="8"/>
        <v/>
      </c>
      <c r="T35" s="28" t="str">
        <f t="shared" si="8"/>
        <v/>
      </c>
      <c r="U35" s="28" t="str">
        <f t="shared" si="8"/>
        <v/>
      </c>
      <c r="V35" s="28">
        <f t="shared" si="8"/>
        <v>2.272727272726013E-2</v>
      </c>
      <c r="W35" s="28">
        <f t="shared" si="8"/>
        <v>0</v>
      </c>
      <c r="X35" s="29">
        <f t="shared" si="8"/>
        <v>0</v>
      </c>
      <c r="Y35" s="24"/>
    </row>
    <row r="36" spans="2:25" ht="15" customHeight="1" x14ac:dyDescent="0.2">
      <c r="B36" s="31">
        <v>41913</v>
      </c>
      <c r="C36" s="64"/>
      <c r="D36" s="26"/>
      <c r="E36" s="65"/>
      <c r="F36" s="16">
        <v>13.657</v>
      </c>
      <c r="G36" s="16">
        <v>10.125</v>
      </c>
      <c r="H36" s="16">
        <v>10.231</v>
      </c>
      <c r="I36" s="17">
        <v>104.098</v>
      </c>
      <c r="J36" s="58">
        <v>943</v>
      </c>
      <c r="K36" s="18">
        <f t="shared" si="4"/>
        <v>214</v>
      </c>
      <c r="L36" s="19" t="str">
        <f t="shared" si="0"/>
        <v/>
      </c>
      <c r="M36" s="19" t="str">
        <f t="shared" si="9"/>
        <v/>
      </c>
      <c r="N36" s="19" t="str">
        <f t="shared" si="0"/>
        <v/>
      </c>
      <c r="O36" s="19">
        <f t="shared" si="5"/>
        <v>-3.9999999999995595</v>
      </c>
      <c r="P36" s="19">
        <f t="shared" si="6"/>
        <v>-3.9999999999995595</v>
      </c>
      <c r="Q36" s="19">
        <f t="shared" si="7"/>
        <v>-3.9999999999995595</v>
      </c>
      <c r="R36" s="19">
        <f t="shared" si="1"/>
        <v>-13.00000000000523</v>
      </c>
      <c r="S36" s="27" t="str">
        <f t="shared" si="8"/>
        <v/>
      </c>
      <c r="T36" s="28" t="str">
        <f t="shared" si="8"/>
        <v/>
      </c>
      <c r="U36" s="28" t="str">
        <f t="shared" si="8"/>
        <v/>
      </c>
      <c r="V36" s="28">
        <f t="shared" si="8"/>
        <v>0</v>
      </c>
      <c r="W36" s="28">
        <f t="shared" si="8"/>
        <v>-2.9411764705866053E-2</v>
      </c>
      <c r="X36" s="29">
        <f t="shared" si="8"/>
        <v>2.9411764705866053E-2</v>
      </c>
      <c r="Y36" s="24"/>
    </row>
    <row r="37" spans="2:25" ht="15" customHeight="1" x14ac:dyDescent="0.2">
      <c r="B37" s="31">
        <v>42032</v>
      </c>
      <c r="C37" s="64"/>
      <c r="D37" s="26"/>
      <c r="E37" s="65"/>
      <c r="F37" s="16">
        <v>13.656000000000001</v>
      </c>
      <c r="G37" s="16">
        <v>10.124000000000001</v>
      </c>
      <c r="H37" s="16">
        <v>10.231</v>
      </c>
      <c r="I37" s="17">
        <v>104.098</v>
      </c>
      <c r="J37" s="58">
        <v>943</v>
      </c>
      <c r="K37" s="18">
        <f>IF(ISBLANK(J37),"",(J37-$J$8))</f>
        <v>214</v>
      </c>
      <c r="L37" s="19" t="str">
        <f t="shared" si="0"/>
        <v/>
      </c>
      <c r="M37" s="19" t="str">
        <f t="shared" si="9"/>
        <v/>
      </c>
      <c r="N37" s="19" t="str">
        <f t="shared" si="0"/>
        <v/>
      </c>
      <c r="O37" s="19">
        <f t="shared" si="5"/>
        <v>-4.9999999999990052</v>
      </c>
      <c r="P37" s="19">
        <f t="shared" si="6"/>
        <v>-4.9999999999990052</v>
      </c>
      <c r="Q37" s="19">
        <f t="shared" si="7"/>
        <v>-3.9999999999995595</v>
      </c>
      <c r="R37" s="19">
        <f t="shared" si="1"/>
        <v>-13.00000000000523</v>
      </c>
      <c r="S37" s="27" t="str">
        <f t="shared" si="8"/>
        <v/>
      </c>
      <c r="T37" s="28" t="str">
        <f t="shared" si="8"/>
        <v/>
      </c>
      <c r="U37" s="28" t="str">
        <f t="shared" si="8"/>
        <v/>
      </c>
      <c r="V37" s="28">
        <f t="shared" si="8"/>
        <v>-8.403361344533157E-3</v>
      </c>
      <c r="W37" s="28">
        <f t="shared" si="8"/>
        <v>-8.403361344533157E-3</v>
      </c>
      <c r="X37" s="29">
        <f t="shared" si="8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16">
        <v>13.656000000000001</v>
      </c>
      <c r="G38" s="16">
        <v>10.125</v>
      </c>
      <c r="H38" s="16">
        <v>10.23</v>
      </c>
      <c r="I38" s="17">
        <v>104.09699999999999</v>
      </c>
      <c r="J38" s="58">
        <v>943</v>
      </c>
      <c r="K38" s="18">
        <f>IF(ISBLANK(J38),"",(J38-$J$8))</f>
        <v>214</v>
      </c>
      <c r="L38" s="19" t="str">
        <f t="shared" si="0"/>
        <v/>
      </c>
      <c r="M38" s="19" t="str">
        <f t="shared" si="9"/>
        <v/>
      </c>
      <c r="N38" s="19" t="str">
        <f t="shared" si="0"/>
        <v/>
      </c>
      <c r="O38" s="19">
        <f t="shared" si="5"/>
        <v>-4.9999999999990052</v>
      </c>
      <c r="P38" s="19">
        <f t="shared" si="6"/>
        <v>-3.9999999999995595</v>
      </c>
      <c r="Q38" s="19">
        <f t="shared" si="7"/>
        <v>-4.9999999999990052</v>
      </c>
      <c r="R38" s="19">
        <f t="shared" si="1"/>
        <v>-14.000000000010004</v>
      </c>
      <c r="S38" s="27" t="str">
        <f t="shared" si="8"/>
        <v/>
      </c>
      <c r="T38" s="28" t="str">
        <f t="shared" si="8"/>
        <v/>
      </c>
      <c r="U38" s="28" t="str">
        <f t="shared" si="8"/>
        <v/>
      </c>
      <c r="V38" s="28">
        <f t="shared" si="8"/>
        <v>0</v>
      </c>
      <c r="W38" s="28">
        <f t="shared" si="8"/>
        <v>1.1235955056173547E-2</v>
      </c>
      <c r="X38" s="29">
        <f t="shared" si="8"/>
        <v>-1.1235955056173547E-2</v>
      </c>
      <c r="Y38" s="24"/>
    </row>
    <row r="39" spans="2:25" ht="15" customHeight="1" x14ac:dyDescent="0.2">
      <c r="B39" s="31">
        <v>42223</v>
      </c>
      <c r="C39" s="64"/>
      <c r="D39" s="26"/>
      <c r="E39" s="65"/>
      <c r="F39" s="16">
        <v>13.656000000000001</v>
      </c>
      <c r="G39" s="16">
        <v>10.125</v>
      </c>
      <c r="H39" s="16">
        <v>10.23</v>
      </c>
      <c r="I39" s="17">
        <v>104.098</v>
      </c>
      <c r="J39" s="32">
        <v>1304</v>
      </c>
      <c r="K39" s="18">
        <f t="shared" ref="K39:K102" si="10">IF(ISBLANK(J39),"",(J39-$J$8))</f>
        <v>575</v>
      </c>
      <c r="L39" s="19" t="str">
        <f t="shared" si="0"/>
        <v/>
      </c>
      <c r="M39" s="19" t="str">
        <f t="shared" si="9"/>
        <v/>
      </c>
      <c r="N39" s="19" t="str">
        <f t="shared" si="0"/>
        <v/>
      </c>
      <c r="O39" s="19">
        <f t="shared" si="5"/>
        <v>-4.9999999999990052</v>
      </c>
      <c r="P39" s="19">
        <f t="shared" si="6"/>
        <v>-3.9999999999995595</v>
      </c>
      <c r="Q39" s="19">
        <f t="shared" si="7"/>
        <v>-4.9999999999990052</v>
      </c>
      <c r="R39" s="19">
        <f t="shared" si="1"/>
        <v>-13.00000000000523</v>
      </c>
      <c r="S39" s="27" t="str">
        <f t="shared" si="8"/>
        <v/>
      </c>
      <c r="T39" s="28" t="str">
        <f t="shared" si="8"/>
        <v/>
      </c>
      <c r="U39" s="28" t="str">
        <f t="shared" si="8"/>
        <v/>
      </c>
      <c r="V39" s="28">
        <f t="shared" si="8"/>
        <v>0</v>
      </c>
      <c r="W39" s="28">
        <f t="shared" si="8"/>
        <v>0</v>
      </c>
      <c r="X39" s="29">
        <f t="shared" si="8"/>
        <v>0</v>
      </c>
      <c r="Y39" s="24"/>
    </row>
    <row r="40" spans="2:25" ht="15" customHeight="1" x14ac:dyDescent="0.2">
      <c r="B40" s="31">
        <v>42326</v>
      </c>
      <c r="C40" s="25"/>
      <c r="D40" s="26"/>
      <c r="E40" s="26"/>
      <c r="F40" s="16">
        <v>13.657</v>
      </c>
      <c r="G40" s="16">
        <v>10.125</v>
      </c>
      <c r="H40" s="16">
        <v>10.231999999999999</v>
      </c>
      <c r="I40" s="17">
        <v>104.098</v>
      </c>
      <c r="J40" s="32">
        <v>2248</v>
      </c>
      <c r="K40" s="18">
        <f t="shared" si="10"/>
        <v>1519</v>
      </c>
      <c r="L40" s="19" t="str">
        <f t="shared" si="0"/>
        <v/>
      </c>
      <c r="M40" s="19" t="str">
        <f t="shared" si="9"/>
        <v/>
      </c>
      <c r="N40" s="19" t="str">
        <f t="shared" si="0"/>
        <v/>
      </c>
      <c r="O40" s="19">
        <f t="shared" si="5"/>
        <v>-3.9999999999995595</v>
      </c>
      <c r="P40" s="19">
        <f t="shared" si="6"/>
        <v>-3.9999999999995595</v>
      </c>
      <c r="Q40" s="19">
        <f t="shared" si="7"/>
        <v>-3.0000000000001137</v>
      </c>
      <c r="R40" s="19">
        <f t="shared" si="1"/>
        <v>-13.00000000000523</v>
      </c>
      <c r="S40" s="27" t="str">
        <f t="shared" si="8"/>
        <v/>
      </c>
      <c r="T40" s="28" t="str">
        <f t="shared" si="8"/>
        <v/>
      </c>
      <c r="U40" s="28" t="str">
        <f t="shared" si="8"/>
        <v/>
      </c>
      <c r="V40" s="28">
        <f t="shared" si="8"/>
        <v>9.7087378640722897E-3</v>
      </c>
      <c r="W40" s="28">
        <f t="shared" si="8"/>
        <v>0</v>
      </c>
      <c r="X40" s="29">
        <f t="shared" si="8"/>
        <v>1.9417475728144579E-2</v>
      </c>
      <c r="Y40" s="24"/>
    </row>
    <row r="41" spans="2:25" ht="15" customHeight="1" x14ac:dyDescent="0.2">
      <c r="B41" s="31">
        <v>42416</v>
      </c>
      <c r="C41" s="64">
        <v>12.978</v>
      </c>
      <c r="D41" s="26">
        <v>7.7450000000000001</v>
      </c>
      <c r="E41" s="65">
        <v>7.742</v>
      </c>
      <c r="F41" s="16">
        <v>13.657</v>
      </c>
      <c r="G41" s="16">
        <v>10.125</v>
      </c>
      <c r="H41" s="16">
        <v>10.23</v>
      </c>
      <c r="I41" s="17">
        <v>104.09699999999999</v>
      </c>
      <c r="J41" s="58">
        <v>2519</v>
      </c>
      <c r="K41" s="18">
        <f t="shared" si="10"/>
        <v>1790</v>
      </c>
      <c r="L41" s="19"/>
      <c r="M41" s="19"/>
      <c r="N41" s="19"/>
      <c r="O41" s="19">
        <f t="shared" si="5"/>
        <v>-3.9999999999995595</v>
      </c>
      <c r="P41" s="19">
        <f t="shared" si="6"/>
        <v>-3.9999999999995595</v>
      </c>
      <c r="Q41" s="19">
        <f t="shared" si="7"/>
        <v>-4.9999999999990052</v>
      </c>
      <c r="R41" s="19">
        <f t="shared" si="1"/>
        <v>-14.000000000010004</v>
      </c>
      <c r="S41" s="27"/>
      <c r="T41" s="28"/>
      <c r="U41" s="28"/>
      <c r="V41" s="28">
        <f t="shared" si="8"/>
        <v>0</v>
      </c>
      <c r="W41" s="28">
        <f t="shared" si="8"/>
        <v>0</v>
      </c>
      <c r="X41" s="29">
        <f t="shared" si="8"/>
        <v>-2.2222222222209907E-2</v>
      </c>
      <c r="Y41" s="24"/>
    </row>
    <row r="42" spans="2:25" ht="15" customHeight="1" x14ac:dyDescent="0.2">
      <c r="B42" s="31">
        <v>42530</v>
      </c>
      <c r="C42" s="64"/>
      <c r="D42" s="26"/>
      <c r="E42" s="65"/>
      <c r="F42" s="16">
        <v>13.656000000000001</v>
      </c>
      <c r="G42" s="16">
        <v>10.125</v>
      </c>
      <c r="H42" s="16">
        <v>10.228</v>
      </c>
      <c r="I42" s="17">
        <v>104.096</v>
      </c>
      <c r="J42" s="58">
        <v>2608</v>
      </c>
      <c r="K42" s="18">
        <f t="shared" si="10"/>
        <v>1879</v>
      </c>
      <c r="L42" s="19" t="str">
        <f t="shared" si="0"/>
        <v/>
      </c>
      <c r="M42" s="19" t="str">
        <f t="shared" si="9"/>
        <v/>
      </c>
      <c r="N42" s="19" t="str">
        <f t="shared" si="0"/>
        <v/>
      </c>
      <c r="O42" s="19">
        <f t="shared" si="5"/>
        <v>-4.9999999999990052</v>
      </c>
      <c r="P42" s="19">
        <f t="shared" si="6"/>
        <v>-3.9999999999995595</v>
      </c>
      <c r="Q42" s="19">
        <f t="shared" si="7"/>
        <v>-6.9999999999996732</v>
      </c>
      <c r="R42" s="19">
        <f t="shared" si="1"/>
        <v>-15.000000000000568</v>
      </c>
      <c r="S42" s="27" t="str">
        <f t="shared" si="8"/>
        <v/>
      </c>
      <c r="T42" s="28" t="str">
        <f t="shared" si="8"/>
        <v/>
      </c>
      <c r="U42" s="28" t="str">
        <f t="shared" si="8"/>
        <v/>
      </c>
      <c r="V42" s="28">
        <f t="shared" si="8"/>
        <v>-8.7719298245565423E-3</v>
      </c>
      <c r="W42" s="28">
        <f t="shared" si="8"/>
        <v>0</v>
      </c>
      <c r="X42" s="29">
        <f t="shared" si="8"/>
        <v>-1.7543859649128666E-2</v>
      </c>
      <c r="Y42" s="24"/>
    </row>
    <row r="43" spans="2:25" ht="15" customHeight="1" x14ac:dyDescent="0.2">
      <c r="B43" s="31"/>
      <c r="C43" s="64"/>
      <c r="D43" s="26"/>
      <c r="E43" s="65"/>
      <c r="F43" s="16"/>
      <c r="G43" s="16"/>
      <c r="H43" s="16"/>
      <c r="I43" s="17"/>
      <c r="J43" s="58"/>
      <c r="K43" s="18" t="str">
        <f t="shared" si="10"/>
        <v/>
      </c>
      <c r="L43" s="19" t="str">
        <f t="shared" si="0"/>
        <v/>
      </c>
      <c r="M43" s="19" t="str">
        <f t="shared" si="9"/>
        <v/>
      </c>
      <c r="N43" s="19" t="str">
        <f t="shared" si="0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1"/>
        <v/>
      </c>
      <c r="S43" s="27" t="str">
        <f t="shared" si="8"/>
        <v/>
      </c>
      <c r="T43" s="28" t="str">
        <f t="shared" si="8"/>
        <v/>
      </c>
      <c r="U43" s="28" t="str">
        <f t="shared" si="8"/>
        <v/>
      </c>
      <c r="V43" s="28" t="str">
        <f t="shared" si="8"/>
        <v/>
      </c>
      <c r="W43" s="28" t="str">
        <f t="shared" si="8"/>
        <v/>
      </c>
      <c r="X43" s="29" t="str">
        <f t="shared" si="8"/>
        <v/>
      </c>
      <c r="Y43" s="24"/>
    </row>
    <row r="44" spans="2:25" ht="15" customHeight="1" x14ac:dyDescent="0.2">
      <c r="B44" s="31"/>
      <c r="C44" s="64"/>
      <c r="D44" s="26"/>
      <c r="E44" s="65"/>
      <c r="F44" s="16"/>
      <c r="G44" s="16"/>
      <c r="H44" s="16"/>
      <c r="I44" s="17"/>
      <c r="J44" s="58"/>
      <c r="K44" s="18" t="str">
        <f t="shared" si="10"/>
        <v/>
      </c>
      <c r="L44" s="19" t="str">
        <f t="shared" si="0"/>
        <v/>
      </c>
      <c r="M44" s="19" t="str">
        <f t="shared" si="9"/>
        <v/>
      </c>
      <c r="N44" s="19" t="str">
        <f t="shared" si="0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1"/>
        <v/>
      </c>
      <c r="S44" s="27" t="str">
        <f t="shared" si="8"/>
        <v/>
      </c>
      <c r="T44" s="28" t="str">
        <f t="shared" si="8"/>
        <v/>
      </c>
      <c r="U44" s="28" t="str">
        <f t="shared" si="8"/>
        <v/>
      </c>
      <c r="V44" s="28" t="str">
        <f t="shared" si="8"/>
        <v/>
      </c>
      <c r="W44" s="28" t="str">
        <f t="shared" si="8"/>
        <v/>
      </c>
      <c r="X44" s="29" t="str">
        <f t="shared" si="8"/>
        <v/>
      </c>
      <c r="Y44" s="24"/>
    </row>
    <row r="45" spans="2:25" ht="15" customHeight="1" x14ac:dyDescent="0.2">
      <c r="B45" s="31"/>
      <c r="C45" s="64"/>
      <c r="D45" s="26"/>
      <c r="E45" s="65"/>
      <c r="F45" s="16"/>
      <c r="G45" s="16"/>
      <c r="H45" s="16"/>
      <c r="I45" s="17"/>
      <c r="J45" s="58"/>
      <c r="K45" s="18" t="str">
        <f t="shared" si="10"/>
        <v/>
      </c>
      <c r="L45" s="19" t="str">
        <f t="shared" si="0"/>
        <v/>
      </c>
      <c r="M45" s="19" t="str">
        <f t="shared" si="9"/>
        <v/>
      </c>
      <c r="N45" s="19" t="str">
        <f t="shared" si="0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1"/>
        <v/>
      </c>
      <c r="S45" s="27" t="str">
        <f t="shared" si="8"/>
        <v/>
      </c>
      <c r="T45" s="28" t="str">
        <f t="shared" si="8"/>
        <v/>
      </c>
      <c r="U45" s="28" t="str">
        <f t="shared" si="8"/>
        <v/>
      </c>
      <c r="V45" s="28" t="str">
        <f t="shared" si="8"/>
        <v/>
      </c>
      <c r="W45" s="28" t="str">
        <f t="shared" si="8"/>
        <v/>
      </c>
      <c r="X45" s="29" t="str">
        <f t="shared" si="8"/>
        <v/>
      </c>
      <c r="Y45" s="24"/>
    </row>
    <row r="46" spans="2:25" ht="15" customHeight="1" x14ac:dyDescent="0.2">
      <c r="B46" s="31"/>
      <c r="C46" s="64"/>
      <c r="D46" s="26"/>
      <c r="E46" s="65"/>
      <c r="F46" s="16"/>
      <c r="G46" s="16"/>
      <c r="H46" s="16"/>
      <c r="I46" s="17"/>
      <c r="J46" s="58"/>
      <c r="K46" s="18" t="str">
        <f t="shared" si="10"/>
        <v/>
      </c>
      <c r="L46" s="19" t="str">
        <f t="shared" si="0"/>
        <v/>
      </c>
      <c r="M46" s="19" t="str">
        <f t="shared" si="9"/>
        <v/>
      </c>
      <c r="N46" s="19" t="str">
        <f t="shared" si="0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1"/>
        <v/>
      </c>
      <c r="S46" s="27" t="str">
        <f t="shared" si="8"/>
        <v/>
      </c>
      <c r="T46" s="28" t="str">
        <f t="shared" si="8"/>
        <v/>
      </c>
      <c r="U46" s="28" t="str">
        <f t="shared" si="8"/>
        <v/>
      </c>
      <c r="V46" s="28" t="str">
        <f t="shared" si="8"/>
        <v/>
      </c>
      <c r="W46" s="28" t="str">
        <f t="shared" si="8"/>
        <v/>
      </c>
      <c r="X46" s="29" t="str">
        <f t="shared" si="8"/>
        <v/>
      </c>
      <c r="Y46" s="24"/>
    </row>
    <row r="47" spans="2:25" ht="15" customHeight="1" x14ac:dyDescent="0.2">
      <c r="B47" s="31"/>
      <c r="C47" s="64"/>
      <c r="D47" s="26"/>
      <c r="E47" s="65"/>
      <c r="F47" s="16"/>
      <c r="G47" s="16"/>
      <c r="H47" s="16"/>
      <c r="I47" s="17"/>
      <c r="J47" s="58"/>
      <c r="K47" s="18" t="str">
        <f t="shared" si="10"/>
        <v/>
      </c>
      <c r="L47" s="19" t="str">
        <f t="shared" si="0"/>
        <v/>
      </c>
      <c r="M47" s="19" t="str">
        <f t="shared" si="9"/>
        <v/>
      </c>
      <c r="N47" s="19" t="str">
        <f t="shared" si="0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1"/>
        <v/>
      </c>
      <c r="S47" s="27" t="str">
        <f t="shared" si="8"/>
        <v/>
      </c>
      <c r="T47" s="28" t="str">
        <f t="shared" si="8"/>
        <v/>
      </c>
      <c r="U47" s="28" t="str">
        <f t="shared" si="8"/>
        <v/>
      </c>
      <c r="V47" s="28" t="str">
        <f t="shared" si="8"/>
        <v/>
      </c>
      <c r="W47" s="28" t="str">
        <f t="shared" si="8"/>
        <v/>
      </c>
      <c r="X47" s="29" t="str">
        <f t="shared" si="8"/>
        <v/>
      </c>
      <c r="Y47" s="24"/>
    </row>
    <row r="48" spans="2:25" ht="15" customHeight="1" x14ac:dyDescent="0.2">
      <c r="B48" s="31"/>
      <c r="C48" s="64"/>
      <c r="D48" s="26"/>
      <c r="E48" s="65"/>
      <c r="F48" s="16"/>
      <c r="G48" s="16"/>
      <c r="H48" s="16"/>
      <c r="I48" s="17"/>
      <c r="J48" s="58"/>
      <c r="K48" s="18" t="str">
        <f t="shared" si="10"/>
        <v/>
      </c>
      <c r="L48" s="19" t="str">
        <f t="shared" ref="L48:N79" si="11">IF(ISBLANK(C48),"",(C48-C$16)*1000)</f>
        <v/>
      </c>
      <c r="M48" s="19" t="str">
        <f t="shared" si="9"/>
        <v/>
      </c>
      <c r="N48" s="19" t="str">
        <f t="shared" si="11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1"/>
        <v/>
      </c>
      <c r="S48" s="27" t="str">
        <f t="shared" si="8"/>
        <v/>
      </c>
      <c r="T48" s="28" t="str">
        <f t="shared" si="8"/>
        <v/>
      </c>
      <c r="U48" s="28" t="str">
        <f t="shared" si="8"/>
        <v/>
      </c>
      <c r="V48" s="28" t="str">
        <f t="shared" si="8"/>
        <v/>
      </c>
      <c r="W48" s="28" t="str">
        <f t="shared" si="8"/>
        <v/>
      </c>
      <c r="X48" s="29" t="str">
        <f t="shared" si="8"/>
        <v/>
      </c>
      <c r="Y48" s="24"/>
    </row>
    <row r="49" spans="2:25" ht="15" customHeight="1" x14ac:dyDescent="0.2">
      <c r="B49" s="31"/>
      <c r="C49" s="64"/>
      <c r="D49" s="26"/>
      <c r="E49" s="65"/>
      <c r="F49" s="16"/>
      <c r="G49" s="16"/>
      <c r="H49" s="16"/>
      <c r="I49" s="17"/>
      <c r="J49" s="58"/>
      <c r="K49" s="18" t="str">
        <f t="shared" si="10"/>
        <v/>
      </c>
      <c r="L49" s="19" t="str">
        <f t="shared" si="11"/>
        <v/>
      </c>
      <c r="M49" s="19" t="str">
        <f t="shared" si="9"/>
        <v/>
      </c>
      <c r="N49" s="19" t="str">
        <f t="shared" si="11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1"/>
        <v/>
      </c>
      <c r="S49" s="27" t="str">
        <f t="shared" ref="S49:X64" si="12">IF(C49="","",((C49-C48)*1000)/($B49-$B48))</f>
        <v/>
      </c>
      <c r="T49" s="28" t="str">
        <f t="shared" si="12"/>
        <v/>
      </c>
      <c r="U49" s="28" t="str">
        <f t="shared" si="12"/>
        <v/>
      </c>
      <c r="V49" s="28" t="str">
        <f t="shared" si="12"/>
        <v/>
      </c>
      <c r="W49" s="28" t="str">
        <f t="shared" si="12"/>
        <v/>
      </c>
      <c r="X49" s="29" t="str">
        <f t="shared" si="12"/>
        <v/>
      </c>
      <c r="Y49" s="24"/>
    </row>
    <row r="50" spans="2:25" ht="15" customHeight="1" x14ac:dyDescent="0.2">
      <c r="B50" s="31"/>
      <c r="C50" s="64"/>
      <c r="D50" s="26"/>
      <c r="E50" s="65"/>
      <c r="F50" s="16"/>
      <c r="G50" s="16"/>
      <c r="H50" s="16"/>
      <c r="I50" s="17"/>
      <c r="J50" s="58"/>
      <c r="K50" s="18" t="str">
        <f t="shared" si="10"/>
        <v/>
      </c>
      <c r="L50" s="19" t="str">
        <f t="shared" si="11"/>
        <v/>
      </c>
      <c r="M50" s="19" t="str">
        <f t="shared" si="9"/>
        <v/>
      </c>
      <c r="N50" s="19" t="str">
        <f t="shared" si="11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1"/>
        <v/>
      </c>
      <c r="S50" s="27" t="str">
        <f t="shared" si="12"/>
        <v/>
      </c>
      <c r="T50" s="28" t="str">
        <f t="shared" si="12"/>
        <v/>
      </c>
      <c r="U50" s="28" t="str">
        <f t="shared" si="12"/>
        <v/>
      </c>
      <c r="V50" s="28" t="str">
        <f t="shared" si="12"/>
        <v/>
      </c>
      <c r="W50" s="28" t="str">
        <f t="shared" si="12"/>
        <v/>
      </c>
      <c r="X50" s="29" t="str">
        <f t="shared" si="12"/>
        <v/>
      </c>
      <c r="Y50" s="24"/>
    </row>
    <row r="51" spans="2:25" ht="15" customHeight="1" x14ac:dyDescent="0.2">
      <c r="B51" s="31"/>
      <c r="C51" s="64"/>
      <c r="D51" s="26"/>
      <c r="E51" s="65"/>
      <c r="F51" s="16"/>
      <c r="G51" s="16"/>
      <c r="H51" s="16"/>
      <c r="I51" s="17"/>
      <c r="J51" s="58"/>
      <c r="K51" s="18" t="str">
        <f t="shared" si="10"/>
        <v/>
      </c>
      <c r="L51" s="19" t="str">
        <f t="shared" si="11"/>
        <v/>
      </c>
      <c r="M51" s="19" t="str">
        <f t="shared" si="9"/>
        <v/>
      </c>
      <c r="N51" s="19" t="str">
        <f t="shared" si="11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1"/>
        <v/>
      </c>
      <c r="S51" s="27" t="str">
        <f t="shared" si="12"/>
        <v/>
      </c>
      <c r="T51" s="28" t="str">
        <f t="shared" si="12"/>
        <v/>
      </c>
      <c r="U51" s="28" t="str">
        <f t="shared" si="12"/>
        <v/>
      </c>
      <c r="V51" s="28" t="str">
        <f t="shared" si="12"/>
        <v/>
      </c>
      <c r="W51" s="28" t="str">
        <f t="shared" si="12"/>
        <v/>
      </c>
      <c r="X51" s="29" t="str">
        <f t="shared" si="12"/>
        <v/>
      </c>
      <c r="Y51" s="24"/>
    </row>
    <row r="52" spans="2:25" ht="15" customHeight="1" x14ac:dyDescent="0.2">
      <c r="B52" s="31"/>
      <c r="C52" s="64"/>
      <c r="D52" s="26"/>
      <c r="E52" s="65"/>
      <c r="F52" s="16"/>
      <c r="G52" s="16"/>
      <c r="H52" s="16"/>
      <c r="I52" s="17"/>
      <c r="J52" s="58"/>
      <c r="K52" s="18" t="str">
        <f t="shared" si="10"/>
        <v/>
      </c>
      <c r="L52" s="19" t="str">
        <f t="shared" si="11"/>
        <v/>
      </c>
      <c r="M52" s="19" t="str">
        <f t="shared" si="9"/>
        <v/>
      </c>
      <c r="N52" s="19" t="str">
        <f t="shared" si="11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1"/>
        <v/>
      </c>
      <c r="S52" s="27" t="str">
        <f t="shared" si="12"/>
        <v/>
      </c>
      <c r="T52" s="28" t="str">
        <f t="shared" si="12"/>
        <v/>
      </c>
      <c r="U52" s="28" t="str">
        <f t="shared" si="12"/>
        <v/>
      </c>
      <c r="V52" s="28" t="str">
        <f t="shared" si="12"/>
        <v/>
      </c>
      <c r="W52" s="28" t="str">
        <f t="shared" si="12"/>
        <v/>
      </c>
      <c r="X52" s="29" t="str">
        <f t="shared" si="12"/>
        <v/>
      </c>
      <c r="Y52" s="24"/>
    </row>
    <row r="53" spans="2:25" ht="15" customHeight="1" x14ac:dyDescent="0.2">
      <c r="B53" s="31"/>
      <c r="C53" s="64"/>
      <c r="D53" s="26"/>
      <c r="E53" s="65"/>
      <c r="F53" s="16"/>
      <c r="G53" s="16"/>
      <c r="H53" s="16"/>
      <c r="I53" s="17"/>
      <c r="J53" s="58"/>
      <c r="K53" s="18" t="str">
        <f t="shared" si="10"/>
        <v/>
      </c>
      <c r="L53" s="19" t="str">
        <f t="shared" si="11"/>
        <v/>
      </c>
      <c r="M53" s="19" t="str">
        <f t="shared" si="9"/>
        <v/>
      </c>
      <c r="N53" s="19" t="str">
        <f t="shared" si="11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1"/>
        <v/>
      </c>
      <c r="S53" s="27" t="str">
        <f t="shared" si="12"/>
        <v/>
      </c>
      <c r="T53" s="28" t="str">
        <f t="shared" si="12"/>
        <v/>
      </c>
      <c r="U53" s="28" t="str">
        <f t="shared" si="12"/>
        <v/>
      </c>
      <c r="V53" s="28" t="str">
        <f t="shared" si="12"/>
        <v/>
      </c>
      <c r="W53" s="28" t="str">
        <f t="shared" si="12"/>
        <v/>
      </c>
      <c r="X53" s="29" t="str">
        <f t="shared" si="12"/>
        <v/>
      </c>
      <c r="Y53" s="24"/>
    </row>
    <row r="54" spans="2:25" ht="15" customHeight="1" x14ac:dyDescent="0.2">
      <c r="B54" s="31"/>
      <c r="C54" s="64"/>
      <c r="D54" s="26"/>
      <c r="E54" s="65"/>
      <c r="F54" s="16"/>
      <c r="G54" s="16"/>
      <c r="H54" s="16"/>
      <c r="I54" s="17"/>
      <c r="J54" s="58"/>
      <c r="K54" s="18" t="str">
        <f t="shared" si="10"/>
        <v/>
      </c>
      <c r="L54" s="19" t="str">
        <f t="shared" si="11"/>
        <v/>
      </c>
      <c r="M54" s="19" t="str">
        <f t="shared" si="9"/>
        <v/>
      </c>
      <c r="N54" s="19" t="str">
        <f t="shared" si="11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1"/>
        <v/>
      </c>
      <c r="S54" s="27" t="str">
        <f t="shared" si="12"/>
        <v/>
      </c>
      <c r="T54" s="28" t="str">
        <f t="shared" si="12"/>
        <v/>
      </c>
      <c r="U54" s="28" t="str">
        <f t="shared" si="12"/>
        <v/>
      </c>
      <c r="V54" s="28" t="str">
        <f t="shared" si="12"/>
        <v/>
      </c>
      <c r="W54" s="28" t="str">
        <f t="shared" si="12"/>
        <v/>
      </c>
      <c r="X54" s="29" t="str">
        <f t="shared" si="12"/>
        <v/>
      </c>
      <c r="Y54" s="24"/>
    </row>
    <row r="55" spans="2:25" ht="15" customHeight="1" x14ac:dyDescent="0.2">
      <c r="B55" s="31"/>
      <c r="C55" s="64"/>
      <c r="D55" s="26"/>
      <c r="E55" s="65"/>
      <c r="F55" s="16"/>
      <c r="G55" s="16"/>
      <c r="H55" s="16"/>
      <c r="I55" s="17"/>
      <c r="J55" s="58"/>
      <c r="K55" s="18" t="str">
        <f t="shared" si="10"/>
        <v/>
      </c>
      <c r="L55" s="19" t="str">
        <f t="shared" si="11"/>
        <v/>
      </c>
      <c r="M55" s="19" t="str">
        <f t="shared" si="9"/>
        <v/>
      </c>
      <c r="N55" s="19" t="str">
        <f t="shared" si="11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1"/>
        <v/>
      </c>
      <c r="S55" s="27" t="str">
        <f t="shared" si="12"/>
        <v/>
      </c>
      <c r="T55" s="28" t="str">
        <f t="shared" si="12"/>
        <v/>
      </c>
      <c r="U55" s="28" t="str">
        <f t="shared" si="12"/>
        <v/>
      </c>
      <c r="V55" s="28" t="str">
        <f t="shared" si="12"/>
        <v/>
      </c>
      <c r="W55" s="28" t="str">
        <f t="shared" si="12"/>
        <v/>
      </c>
      <c r="X55" s="29" t="str">
        <f t="shared" si="12"/>
        <v/>
      </c>
      <c r="Y55" s="24"/>
    </row>
    <row r="56" spans="2:25" ht="15" customHeight="1" x14ac:dyDescent="0.2">
      <c r="B56" s="31"/>
      <c r="C56" s="64"/>
      <c r="D56" s="26"/>
      <c r="E56" s="65"/>
      <c r="F56" s="16"/>
      <c r="G56" s="16"/>
      <c r="H56" s="16"/>
      <c r="I56" s="17"/>
      <c r="J56" s="58"/>
      <c r="K56" s="18" t="str">
        <f t="shared" si="10"/>
        <v/>
      </c>
      <c r="L56" s="19" t="str">
        <f t="shared" si="11"/>
        <v/>
      </c>
      <c r="M56" s="19" t="str">
        <f t="shared" si="9"/>
        <v/>
      </c>
      <c r="N56" s="19" t="str">
        <f t="shared" si="11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1"/>
        <v/>
      </c>
      <c r="S56" s="27" t="str">
        <f t="shared" si="12"/>
        <v/>
      </c>
      <c r="T56" s="28" t="str">
        <f t="shared" si="12"/>
        <v/>
      </c>
      <c r="U56" s="28" t="str">
        <f t="shared" si="12"/>
        <v/>
      </c>
      <c r="V56" s="28" t="str">
        <f t="shared" si="12"/>
        <v/>
      </c>
      <c r="W56" s="28" t="str">
        <f t="shared" si="12"/>
        <v/>
      </c>
      <c r="X56" s="29" t="str">
        <f t="shared" si="12"/>
        <v/>
      </c>
      <c r="Y56" s="24"/>
    </row>
    <row r="57" spans="2:25" ht="15" customHeight="1" x14ac:dyDescent="0.2">
      <c r="B57" s="31"/>
      <c r="C57" s="64"/>
      <c r="D57" s="26"/>
      <c r="E57" s="65"/>
      <c r="F57" s="16"/>
      <c r="G57" s="16"/>
      <c r="H57" s="16"/>
      <c r="I57" s="17"/>
      <c r="J57" s="58"/>
      <c r="K57" s="18" t="str">
        <f t="shared" si="10"/>
        <v/>
      </c>
      <c r="L57" s="19" t="str">
        <f t="shared" si="11"/>
        <v/>
      </c>
      <c r="M57" s="19" t="str">
        <f t="shared" si="9"/>
        <v/>
      </c>
      <c r="N57" s="19" t="str">
        <f t="shared" si="11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1"/>
        <v/>
      </c>
      <c r="S57" s="27" t="str">
        <f t="shared" si="12"/>
        <v/>
      </c>
      <c r="T57" s="28" t="str">
        <f t="shared" si="12"/>
        <v/>
      </c>
      <c r="U57" s="28" t="str">
        <f t="shared" si="12"/>
        <v/>
      </c>
      <c r="V57" s="28" t="str">
        <f t="shared" si="12"/>
        <v/>
      </c>
      <c r="W57" s="28" t="str">
        <f t="shared" si="12"/>
        <v/>
      </c>
      <c r="X57" s="29" t="str">
        <f t="shared" si="12"/>
        <v/>
      </c>
      <c r="Y57" s="24"/>
    </row>
    <row r="58" spans="2:25" ht="15" customHeight="1" x14ac:dyDescent="0.2">
      <c r="B58" s="31"/>
      <c r="C58" s="64"/>
      <c r="D58" s="26"/>
      <c r="E58" s="65"/>
      <c r="F58" s="16"/>
      <c r="G58" s="16"/>
      <c r="H58" s="16"/>
      <c r="I58" s="17"/>
      <c r="J58" s="58"/>
      <c r="K58" s="18" t="str">
        <f t="shared" si="10"/>
        <v/>
      </c>
      <c r="L58" s="19" t="str">
        <f t="shared" si="11"/>
        <v/>
      </c>
      <c r="M58" s="19" t="str">
        <f t="shared" si="9"/>
        <v/>
      </c>
      <c r="N58" s="19" t="str">
        <f t="shared" si="11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1"/>
        <v/>
      </c>
      <c r="S58" s="27" t="str">
        <f t="shared" si="12"/>
        <v/>
      </c>
      <c r="T58" s="28" t="str">
        <f t="shared" si="12"/>
        <v/>
      </c>
      <c r="U58" s="28" t="str">
        <f t="shared" si="12"/>
        <v/>
      </c>
      <c r="V58" s="28" t="str">
        <f t="shared" si="12"/>
        <v/>
      </c>
      <c r="W58" s="28" t="str">
        <f t="shared" si="12"/>
        <v/>
      </c>
      <c r="X58" s="29" t="str">
        <f t="shared" si="12"/>
        <v/>
      </c>
      <c r="Y58" s="24"/>
    </row>
    <row r="59" spans="2:25" ht="15" customHeight="1" x14ac:dyDescent="0.2">
      <c r="B59" s="31"/>
      <c r="C59" s="64"/>
      <c r="D59" s="26"/>
      <c r="E59" s="65"/>
      <c r="F59" s="16"/>
      <c r="G59" s="16"/>
      <c r="H59" s="16"/>
      <c r="I59" s="17"/>
      <c r="J59" s="58"/>
      <c r="K59" s="18" t="str">
        <f t="shared" si="10"/>
        <v/>
      </c>
      <c r="L59" s="19" t="str">
        <f t="shared" si="11"/>
        <v/>
      </c>
      <c r="M59" s="19" t="str">
        <f t="shared" si="9"/>
        <v/>
      </c>
      <c r="N59" s="19" t="str">
        <f t="shared" si="11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1"/>
        <v/>
      </c>
      <c r="S59" s="27" t="str">
        <f t="shared" si="12"/>
        <v/>
      </c>
      <c r="T59" s="28" t="str">
        <f t="shared" si="12"/>
        <v/>
      </c>
      <c r="U59" s="28" t="str">
        <f t="shared" si="12"/>
        <v/>
      </c>
      <c r="V59" s="28" t="str">
        <f t="shared" si="12"/>
        <v/>
      </c>
      <c r="W59" s="28" t="str">
        <f t="shared" si="12"/>
        <v/>
      </c>
      <c r="X59" s="29" t="str">
        <f t="shared" si="12"/>
        <v/>
      </c>
      <c r="Y59" s="24"/>
    </row>
    <row r="60" spans="2:25" ht="15" customHeight="1" x14ac:dyDescent="0.2">
      <c r="B60" s="31"/>
      <c r="C60" s="64"/>
      <c r="D60" s="26"/>
      <c r="E60" s="65"/>
      <c r="F60" s="16"/>
      <c r="G60" s="16"/>
      <c r="H60" s="16"/>
      <c r="I60" s="17"/>
      <c r="J60" s="58"/>
      <c r="K60" s="18" t="str">
        <f t="shared" si="10"/>
        <v/>
      </c>
      <c r="L60" s="19" t="str">
        <f t="shared" si="11"/>
        <v/>
      </c>
      <c r="M60" s="19" t="str">
        <f t="shared" si="9"/>
        <v/>
      </c>
      <c r="N60" s="19" t="str">
        <f t="shared" si="11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1"/>
        <v/>
      </c>
      <c r="S60" s="27" t="str">
        <f t="shared" si="12"/>
        <v/>
      </c>
      <c r="T60" s="28" t="str">
        <f t="shared" si="12"/>
        <v/>
      </c>
      <c r="U60" s="28" t="str">
        <f t="shared" si="12"/>
        <v/>
      </c>
      <c r="V60" s="28" t="str">
        <f t="shared" si="12"/>
        <v/>
      </c>
      <c r="W60" s="28" t="str">
        <f t="shared" si="12"/>
        <v/>
      </c>
      <c r="X60" s="29" t="str">
        <f t="shared" si="12"/>
        <v/>
      </c>
      <c r="Y60" s="24"/>
    </row>
    <row r="61" spans="2:25" ht="15" customHeight="1" x14ac:dyDescent="0.2">
      <c r="B61" s="31"/>
      <c r="C61" s="64"/>
      <c r="D61" s="26"/>
      <c r="E61" s="65"/>
      <c r="F61" s="16"/>
      <c r="G61" s="16"/>
      <c r="H61" s="16"/>
      <c r="I61" s="17"/>
      <c r="J61" s="58"/>
      <c r="K61" s="18" t="str">
        <f t="shared" si="10"/>
        <v/>
      </c>
      <c r="L61" s="19" t="str">
        <f t="shared" si="11"/>
        <v/>
      </c>
      <c r="M61" s="19" t="str">
        <f t="shared" si="9"/>
        <v/>
      </c>
      <c r="N61" s="19" t="str">
        <f t="shared" si="11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1"/>
        <v/>
      </c>
      <c r="S61" s="27" t="str">
        <f t="shared" si="12"/>
        <v/>
      </c>
      <c r="T61" s="28" t="str">
        <f t="shared" si="12"/>
        <v/>
      </c>
      <c r="U61" s="28" t="str">
        <f t="shared" si="12"/>
        <v/>
      </c>
      <c r="V61" s="28" t="str">
        <f t="shared" si="12"/>
        <v/>
      </c>
      <c r="W61" s="28" t="str">
        <f t="shared" si="12"/>
        <v/>
      </c>
      <c r="X61" s="29" t="str">
        <f t="shared" si="12"/>
        <v/>
      </c>
      <c r="Y61" s="24"/>
    </row>
    <row r="62" spans="2:25" ht="15" customHeight="1" x14ac:dyDescent="0.2">
      <c r="B62" s="31"/>
      <c r="C62" s="64"/>
      <c r="D62" s="26"/>
      <c r="E62" s="65"/>
      <c r="F62" s="16"/>
      <c r="G62" s="16"/>
      <c r="H62" s="16"/>
      <c r="I62" s="17"/>
      <c r="J62" s="58"/>
      <c r="K62" s="18" t="str">
        <f t="shared" si="10"/>
        <v/>
      </c>
      <c r="L62" s="19" t="str">
        <f t="shared" si="11"/>
        <v/>
      </c>
      <c r="M62" s="19" t="str">
        <f t="shared" si="9"/>
        <v/>
      </c>
      <c r="N62" s="19" t="str">
        <f t="shared" si="11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1"/>
        <v/>
      </c>
      <c r="S62" s="27" t="str">
        <f t="shared" si="12"/>
        <v/>
      </c>
      <c r="T62" s="28" t="str">
        <f t="shared" si="12"/>
        <v/>
      </c>
      <c r="U62" s="28" t="str">
        <f t="shared" si="12"/>
        <v/>
      </c>
      <c r="V62" s="28" t="str">
        <f t="shared" si="12"/>
        <v/>
      </c>
      <c r="W62" s="28" t="str">
        <f t="shared" si="12"/>
        <v/>
      </c>
      <c r="X62" s="29" t="str">
        <f t="shared" si="12"/>
        <v/>
      </c>
      <c r="Y62" s="24"/>
    </row>
    <row r="63" spans="2:25" ht="15" customHeight="1" x14ac:dyDescent="0.2">
      <c r="B63" s="31"/>
      <c r="C63" s="64"/>
      <c r="D63" s="26"/>
      <c r="E63" s="65"/>
      <c r="F63" s="16"/>
      <c r="G63" s="16"/>
      <c r="H63" s="16"/>
      <c r="I63" s="17"/>
      <c r="J63" s="58"/>
      <c r="K63" s="18" t="str">
        <f t="shared" si="10"/>
        <v/>
      </c>
      <c r="L63" s="19" t="str">
        <f t="shared" si="11"/>
        <v/>
      </c>
      <c r="M63" s="19" t="str">
        <f t="shared" si="9"/>
        <v/>
      </c>
      <c r="N63" s="19" t="str">
        <f t="shared" si="11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"/>
        <v/>
      </c>
      <c r="S63" s="27" t="str">
        <f t="shared" si="12"/>
        <v/>
      </c>
      <c r="T63" s="28" t="str">
        <f t="shared" si="12"/>
        <v/>
      </c>
      <c r="U63" s="28" t="str">
        <f t="shared" si="12"/>
        <v/>
      </c>
      <c r="V63" s="28" t="str">
        <f t="shared" si="12"/>
        <v/>
      </c>
      <c r="W63" s="28" t="str">
        <f t="shared" si="12"/>
        <v/>
      </c>
      <c r="X63" s="29" t="str">
        <f t="shared" si="12"/>
        <v/>
      </c>
      <c r="Y63" s="24"/>
    </row>
    <row r="64" spans="2:25" ht="15" customHeight="1" x14ac:dyDescent="0.2">
      <c r="B64" s="31"/>
      <c r="C64" s="64"/>
      <c r="D64" s="26"/>
      <c r="E64" s="65"/>
      <c r="F64" s="16"/>
      <c r="G64" s="16"/>
      <c r="H64" s="16"/>
      <c r="I64" s="17"/>
      <c r="J64" s="58"/>
      <c r="K64" s="18" t="str">
        <f t="shared" si="10"/>
        <v/>
      </c>
      <c r="L64" s="19" t="str">
        <f t="shared" si="11"/>
        <v/>
      </c>
      <c r="M64" s="19" t="str">
        <f t="shared" si="9"/>
        <v/>
      </c>
      <c r="N64" s="19" t="str">
        <f t="shared" si="11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"/>
        <v/>
      </c>
      <c r="S64" s="27" t="str">
        <f t="shared" si="12"/>
        <v/>
      </c>
      <c r="T64" s="28" t="str">
        <f t="shared" si="12"/>
        <v/>
      </c>
      <c r="U64" s="28" t="str">
        <f t="shared" si="12"/>
        <v/>
      </c>
      <c r="V64" s="28" t="str">
        <f t="shared" si="12"/>
        <v/>
      </c>
      <c r="W64" s="28" t="str">
        <f t="shared" si="12"/>
        <v/>
      </c>
      <c r="X64" s="29" t="str">
        <f t="shared" si="12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0"/>
        <v/>
      </c>
      <c r="L65" s="19" t="str">
        <f t="shared" si="11"/>
        <v/>
      </c>
      <c r="M65" s="19" t="str">
        <f t="shared" si="9"/>
        <v/>
      </c>
      <c r="N65" s="19" t="str">
        <f t="shared" si="11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"/>
        <v/>
      </c>
      <c r="S65" s="27" t="str">
        <f t="shared" ref="S65:X80" si="13">IF(C65="","",((C65-C64)*1000)/($B65-$B64))</f>
        <v/>
      </c>
      <c r="T65" s="28" t="str">
        <f t="shared" si="13"/>
        <v/>
      </c>
      <c r="U65" s="28" t="str">
        <f t="shared" si="13"/>
        <v/>
      </c>
      <c r="V65" s="28" t="str">
        <f t="shared" si="13"/>
        <v/>
      </c>
      <c r="W65" s="28" t="str">
        <f t="shared" si="13"/>
        <v/>
      </c>
      <c r="X65" s="29" t="str">
        <f t="shared" si="13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0"/>
        <v/>
      </c>
      <c r="L66" s="19" t="str">
        <f t="shared" si="11"/>
        <v/>
      </c>
      <c r="M66" s="19" t="str">
        <f t="shared" si="9"/>
        <v/>
      </c>
      <c r="N66" s="19" t="str">
        <f t="shared" si="11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"/>
        <v/>
      </c>
      <c r="S66" s="27" t="str">
        <f t="shared" si="13"/>
        <v/>
      </c>
      <c r="T66" s="28" t="str">
        <f t="shared" si="13"/>
        <v/>
      </c>
      <c r="U66" s="28" t="str">
        <f t="shared" si="13"/>
        <v/>
      </c>
      <c r="V66" s="28" t="str">
        <f t="shared" si="13"/>
        <v/>
      </c>
      <c r="W66" s="28" t="str">
        <f t="shared" si="13"/>
        <v/>
      </c>
      <c r="X66" s="29" t="str">
        <f t="shared" si="13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0"/>
        <v/>
      </c>
      <c r="L67" s="19" t="str">
        <f t="shared" si="11"/>
        <v/>
      </c>
      <c r="M67" s="19" t="str">
        <f t="shared" si="9"/>
        <v/>
      </c>
      <c r="N67" s="19" t="str">
        <f t="shared" si="11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"/>
        <v/>
      </c>
      <c r="S67" s="27" t="str">
        <f t="shared" si="13"/>
        <v/>
      </c>
      <c r="T67" s="28" t="str">
        <f t="shared" si="13"/>
        <v/>
      </c>
      <c r="U67" s="28" t="str">
        <f t="shared" si="13"/>
        <v/>
      </c>
      <c r="V67" s="28" t="str">
        <f t="shared" si="13"/>
        <v/>
      </c>
      <c r="W67" s="28" t="str">
        <f t="shared" si="13"/>
        <v/>
      </c>
      <c r="X67" s="29" t="str">
        <f t="shared" si="13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0"/>
        <v/>
      </c>
      <c r="L68" s="19" t="str">
        <f t="shared" si="11"/>
        <v/>
      </c>
      <c r="M68" s="19" t="str">
        <f t="shared" si="9"/>
        <v/>
      </c>
      <c r="N68" s="19" t="str">
        <f t="shared" si="11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"/>
        <v/>
      </c>
      <c r="S68" s="27" t="str">
        <f t="shared" si="13"/>
        <v/>
      </c>
      <c r="T68" s="28" t="str">
        <f t="shared" si="13"/>
        <v/>
      </c>
      <c r="U68" s="28" t="str">
        <f t="shared" si="13"/>
        <v/>
      </c>
      <c r="V68" s="28" t="str">
        <f t="shared" si="13"/>
        <v/>
      </c>
      <c r="W68" s="28" t="str">
        <f t="shared" si="13"/>
        <v/>
      </c>
      <c r="X68" s="29" t="str">
        <f t="shared" si="13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0"/>
        <v/>
      </c>
      <c r="L69" s="19" t="str">
        <f t="shared" si="11"/>
        <v/>
      </c>
      <c r="M69" s="19" t="str">
        <f t="shared" si="9"/>
        <v/>
      </c>
      <c r="N69" s="19" t="str">
        <f t="shared" si="11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"/>
        <v/>
      </c>
      <c r="S69" s="27" t="str">
        <f t="shared" si="13"/>
        <v/>
      </c>
      <c r="T69" s="28" t="str">
        <f t="shared" si="13"/>
        <v/>
      </c>
      <c r="U69" s="28" t="str">
        <f t="shared" si="13"/>
        <v/>
      </c>
      <c r="V69" s="28" t="str">
        <f t="shared" si="13"/>
        <v/>
      </c>
      <c r="W69" s="28" t="str">
        <f t="shared" si="13"/>
        <v/>
      </c>
      <c r="X69" s="29" t="str">
        <f t="shared" si="13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0"/>
        <v/>
      </c>
      <c r="L70" s="19" t="str">
        <f t="shared" si="11"/>
        <v/>
      </c>
      <c r="M70" s="19" t="str">
        <f t="shared" si="9"/>
        <v/>
      </c>
      <c r="N70" s="19" t="str">
        <f t="shared" si="11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"/>
        <v/>
      </c>
      <c r="S70" s="27" t="str">
        <f t="shared" si="13"/>
        <v/>
      </c>
      <c r="T70" s="28" t="str">
        <f t="shared" si="13"/>
        <v/>
      </c>
      <c r="U70" s="28" t="str">
        <f t="shared" si="13"/>
        <v/>
      </c>
      <c r="V70" s="28" t="str">
        <f t="shared" si="13"/>
        <v/>
      </c>
      <c r="W70" s="28" t="str">
        <f t="shared" si="13"/>
        <v/>
      </c>
      <c r="X70" s="29" t="str">
        <f t="shared" si="13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0"/>
        <v/>
      </c>
      <c r="L71" s="19" t="str">
        <f t="shared" si="11"/>
        <v/>
      </c>
      <c r="M71" s="19" t="str">
        <f t="shared" si="9"/>
        <v/>
      </c>
      <c r="N71" s="19" t="str">
        <f t="shared" si="11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"/>
        <v/>
      </c>
      <c r="S71" s="27" t="str">
        <f t="shared" si="13"/>
        <v/>
      </c>
      <c r="T71" s="28" t="str">
        <f t="shared" si="13"/>
        <v/>
      </c>
      <c r="U71" s="28" t="str">
        <f t="shared" si="13"/>
        <v/>
      </c>
      <c r="V71" s="28" t="str">
        <f t="shared" si="13"/>
        <v/>
      </c>
      <c r="W71" s="28" t="str">
        <f t="shared" si="13"/>
        <v/>
      </c>
      <c r="X71" s="29" t="str">
        <f t="shared" si="13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0"/>
        <v/>
      </c>
      <c r="L72" s="19" t="str">
        <f t="shared" si="11"/>
        <v/>
      </c>
      <c r="M72" s="19" t="str">
        <f t="shared" si="9"/>
        <v/>
      </c>
      <c r="N72" s="19" t="str">
        <f t="shared" si="11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"/>
        <v/>
      </c>
      <c r="S72" s="27" t="str">
        <f t="shared" si="13"/>
        <v/>
      </c>
      <c r="T72" s="28" t="str">
        <f t="shared" si="13"/>
        <v/>
      </c>
      <c r="U72" s="28" t="str">
        <f t="shared" si="13"/>
        <v/>
      </c>
      <c r="V72" s="28" t="str">
        <f t="shared" si="13"/>
        <v/>
      </c>
      <c r="W72" s="28" t="str">
        <f t="shared" si="13"/>
        <v/>
      </c>
      <c r="X72" s="29" t="str">
        <f t="shared" si="13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0"/>
        <v/>
      </c>
      <c r="L73" s="19" t="str">
        <f t="shared" si="11"/>
        <v/>
      </c>
      <c r="M73" s="19" t="str">
        <f t="shared" si="9"/>
        <v/>
      </c>
      <c r="N73" s="19" t="str">
        <f t="shared" si="11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"/>
        <v/>
      </c>
      <c r="S73" s="27" t="str">
        <f t="shared" si="13"/>
        <v/>
      </c>
      <c r="T73" s="28" t="str">
        <f t="shared" si="13"/>
        <v/>
      </c>
      <c r="U73" s="28" t="str">
        <f t="shared" si="13"/>
        <v/>
      </c>
      <c r="V73" s="28" t="str">
        <f t="shared" si="13"/>
        <v/>
      </c>
      <c r="W73" s="28" t="str">
        <f t="shared" si="13"/>
        <v/>
      </c>
      <c r="X73" s="29" t="str">
        <f t="shared" si="13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0"/>
        <v/>
      </c>
      <c r="L74" s="19" t="str">
        <f t="shared" si="11"/>
        <v/>
      </c>
      <c r="M74" s="19" t="str">
        <f t="shared" si="9"/>
        <v/>
      </c>
      <c r="N74" s="19" t="str">
        <f t="shared" si="11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"/>
        <v/>
      </c>
      <c r="S74" s="27" t="str">
        <f t="shared" si="13"/>
        <v/>
      </c>
      <c r="T74" s="28" t="str">
        <f t="shared" si="13"/>
        <v/>
      </c>
      <c r="U74" s="28" t="str">
        <f t="shared" si="13"/>
        <v/>
      </c>
      <c r="V74" s="28" t="str">
        <f t="shared" si="13"/>
        <v/>
      </c>
      <c r="W74" s="28" t="str">
        <f t="shared" si="13"/>
        <v/>
      </c>
      <c r="X74" s="29" t="str">
        <f t="shared" si="13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0"/>
        <v/>
      </c>
      <c r="L75" s="19" t="str">
        <f t="shared" si="11"/>
        <v/>
      </c>
      <c r="M75" s="19" t="str">
        <f t="shared" si="9"/>
        <v/>
      </c>
      <c r="N75" s="19" t="str">
        <f t="shared" si="11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"/>
        <v/>
      </c>
      <c r="S75" s="27" t="str">
        <f t="shared" si="13"/>
        <v/>
      </c>
      <c r="T75" s="28" t="str">
        <f t="shared" si="13"/>
        <v/>
      </c>
      <c r="U75" s="28" t="str">
        <f t="shared" si="13"/>
        <v/>
      </c>
      <c r="V75" s="28" t="str">
        <f t="shared" si="13"/>
        <v/>
      </c>
      <c r="W75" s="28" t="str">
        <f t="shared" si="13"/>
        <v/>
      </c>
      <c r="X75" s="29" t="str">
        <f t="shared" si="13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0"/>
        <v/>
      </c>
      <c r="L76" s="19" t="str">
        <f t="shared" si="11"/>
        <v/>
      </c>
      <c r="M76" s="19" t="str">
        <f t="shared" si="9"/>
        <v/>
      </c>
      <c r="N76" s="19" t="str">
        <f t="shared" si="11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"/>
        <v/>
      </c>
      <c r="S76" s="27" t="str">
        <f t="shared" si="13"/>
        <v/>
      </c>
      <c r="T76" s="28" t="str">
        <f t="shared" si="13"/>
        <v/>
      </c>
      <c r="U76" s="28" t="str">
        <f t="shared" si="13"/>
        <v/>
      </c>
      <c r="V76" s="28" t="str">
        <f t="shared" si="13"/>
        <v/>
      </c>
      <c r="W76" s="28" t="str">
        <f t="shared" si="13"/>
        <v/>
      </c>
      <c r="X76" s="29" t="str">
        <f t="shared" si="13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0"/>
        <v/>
      </c>
      <c r="L77" s="19" t="str">
        <f t="shared" si="11"/>
        <v/>
      </c>
      <c r="M77" s="19" t="str">
        <f t="shared" si="9"/>
        <v/>
      </c>
      <c r="N77" s="19" t="str">
        <f t="shared" si="11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"/>
        <v/>
      </c>
      <c r="S77" s="27" t="str">
        <f t="shared" si="13"/>
        <v/>
      </c>
      <c r="T77" s="28" t="str">
        <f t="shared" si="13"/>
        <v/>
      </c>
      <c r="U77" s="28" t="str">
        <f t="shared" si="13"/>
        <v/>
      </c>
      <c r="V77" s="28" t="str">
        <f t="shared" si="13"/>
        <v/>
      </c>
      <c r="W77" s="28" t="str">
        <f t="shared" si="13"/>
        <v/>
      </c>
      <c r="X77" s="29" t="str">
        <f t="shared" si="13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0"/>
        <v/>
      </c>
      <c r="L78" s="19" t="str">
        <f t="shared" si="11"/>
        <v/>
      </c>
      <c r="M78" s="19" t="str">
        <f t="shared" si="9"/>
        <v/>
      </c>
      <c r="N78" s="19" t="str">
        <f t="shared" si="11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"/>
        <v/>
      </c>
      <c r="S78" s="27" t="str">
        <f t="shared" si="13"/>
        <v/>
      </c>
      <c r="T78" s="28" t="str">
        <f t="shared" si="13"/>
        <v/>
      </c>
      <c r="U78" s="28" t="str">
        <f t="shared" si="13"/>
        <v/>
      </c>
      <c r="V78" s="28" t="str">
        <f t="shared" si="13"/>
        <v/>
      </c>
      <c r="W78" s="28" t="str">
        <f t="shared" si="13"/>
        <v/>
      </c>
      <c r="X78" s="29" t="str">
        <f t="shared" si="13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0"/>
        <v/>
      </c>
      <c r="L79" s="19" t="str">
        <f t="shared" si="11"/>
        <v/>
      </c>
      <c r="M79" s="19" t="str">
        <f t="shared" si="9"/>
        <v/>
      </c>
      <c r="N79" s="19" t="str">
        <f t="shared" si="11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"/>
        <v/>
      </c>
      <c r="S79" s="27" t="str">
        <f t="shared" si="13"/>
        <v/>
      </c>
      <c r="T79" s="28" t="str">
        <f t="shared" si="13"/>
        <v/>
      </c>
      <c r="U79" s="28" t="str">
        <f t="shared" si="13"/>
        <v/>
      </c>
      <c r="V79" s="28" t="str">
        <f t="shared" si="13"/>
        <v/>
      </c>
      <c r="W79" s="28" t="str">
        <f t="shared" si="13"/>
        <v/>
      </c>
      <c r="X79" s="29" t="str">
        <f t="shared" si="13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0"/>
        <v/>
      </c>
      <c r="L80" s="19" t="str">
        <f t="shared" ref="L80:L111" si="14">IF(ISBLANK(C80),"",(C80-C$16)*1000)</f>
        <v/>
      </c>
      <c r="M80" s="19" t="str">
        <f t="shared" si="9"/>
        <v/>
      </c>
      <c r="N80" s="19" t="str">
        <f t="shared" ref="N80:N111" si="15">IF(ISBLANK(E80),"",(E80-E$16)*1000)</f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ref="R80:R111" si="16">IF(ISBLANK(I80),"",(I80-I$16)*1000)</f>
        <v/>
      </c>
      <c r="S80" s="27" t="str">
        <f t="shared" si="13"/>
        <v/>
      </c>
      <c r="T80" s="28" t="str">
        <f t="shared" si="13"/>
        <v/>
      </c>
      <c r="U80" s="28" t="str">
        <f t="shared" si="13"/>
        <v/>
      </c>
      <c r="V80" s="28" t="str">
        <f t="shared" si="13"/>
        <v/>
      </c>
      <c r="W80" s="28" t="str">
        <f t="shared" si="13"/>
        <v/>
      </c>
      <c r="X80" s="29" t="str">
        <f t="shared" si="13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0"/>
        <v/>
      </c>
      <c r="L81" s="19" t="str">
        <f t="shared" si="14"/>
        <v/>
      </c>
      <c r="M81" s="19" t="str">
        <f t="shared" si="9"/>
        <v/>
      </c>
      <c r="N81" s="19" t="str">
        <f t="shared" si="15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0"/>
        <v/>
      </c>
      <c r="L82" s="19" t="str">
        <f t="shared" si="14"/>
        <v/>
      </c>
      <c r="M82" s="19" t="str">
        <f t="shared" si="9"/>
        <v/>
      </c>
      <c r="N82" s="19" t="str">
        <f t="shared" si="15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0"/>
        <v/>
      </c>
      <c r="L83" s="19" t="str">
        <f t="shared" si="14"/>
        <v/>
      </c>
      <c r="M83" s="19" t="str">
        <f t="shared" si="9"/>
        <v/>
      </c>
      <c r="N83" s="19" t="str">
        <f t="shared" si="15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0"/>
        <v/>
      </c>
      <c r="L84" s="19" t="str">
        <f t="shared" si="14"/>
        <v/>
      </c>
      <c r="M84" s="19" t="str">
        <f t="shared" si="9"/>
        <v/>
      </c>
      <c r="N84" s="19" t="str">
        <f t="shared" si="15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0"/>
        <v/>
      </c>
      <c r="L85" s="19" t="str">
        <f t="shared" si="14"/>
        <v/>
      </c>
      <c r="M85" s="19" t="str">
        <f t="shared" si="9"/>
        <v/>
      </c>
      <c r="N85" s="19" t="str">
        <f t="shared" si="15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0"/>
        <v/>
      </c>
      <c r="L86" s="19" t="str">
        <f t="shared" si="14"/>
        <v/>
      </c>
      <c r="M86" s="19" t="str">
        <f t="shared" si="9"/>
        <v/>
      </c>
      <c r="N86" s="19" t="str">
        <f t="shared" si="15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0"/>
        <v/>
      </c>
      <c r="L87" s="19" t="str">
        <f t="shared" si="14"/>
        <v/>
      </c>
      <c r="M87" s="19" t="str">
        <f t="shared" si="9"/>
        <v/>
      </c>
      <c r="N87" s="19" t="str">
        <f t="shared" si="15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0"/>
        <v/>
      </c>
      <c r="L88" s="19" t="str">
        <f t="shared" si="14"/>
        <v/>
      </c>
      <c r="M88" s="19" t="str">
        <f t="shared" si="9"/>
        <v/>
      </c>
      <c r="N88" s="19" t="str">
        <f t="shared" si="15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0"/>
        <v/>
      </c>
      <c r="L89" s="19" t="str">
        <f t="shared" si="14"/>
        <v/>
      </c>
      <c r="M89" s="19" t="str">
        <f t="shared" si="9"/>
        <v/>
      </c>
      <c r="N89" s="19" t="str">
        <f t="shared" si="15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0"/>
        <v/>
      </c>
      <c r="L90" s="19" t="str">
        <f t="shared" si="14"/>
        <v/>
      </c>
      <c r="M90" s="19" t="str">
        <f t="shared" si="9"/>
        <v/>
      </c>
      <c r="N90" s="19" t="str">
        <f t="shared" si="15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0"/>
        <v/>
      </c>
      <c r="L91" s="19" t="str">
        <f t="shared" si="14"/>
        <v/>
      </c>
      <c r="M91" s="19" t="str">
        <f t="shared" si="9"/>
        <v/>
      </c>
      <c r="N91" s="19" t="str">
        <f t="shared" si="15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0"/>
        <v/>
      </c>
      <c r="L92" s="19" t="str">
        <f t="shared" si="14"/>
        <v/>
      </c>
      <c r="M92" s="19" t="str">
        <f t="shared" si="9"/>
        <v/>
      </c>
      <c r="N92" s="19" t="str">
        <f t="shared" si="15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0"/>
        <v/>
      </c>
      <c r="L93" s="19" t="str">
        <f t="shared" si="14"/>
        <v/>
      </c>
      <c r="M93" s="19" t="str">
        <f t="shared" si="9"/>
        <v/>
      </c>
      <c r="N93" s="19" t="str">
        <f t="shared" si="15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0"/>
        <v/>
      </c>
      <c r="L94" s="19" t="str">
        <f t="shared" si="14"/>
        <v/>
      </c>
      <c r="M94" s="19" t="str">
        <f t="shared" si="9"/>
        <v/>
      </c>
      <c r="N94" s="19" t="str">
        <f t="shared" si="15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0"/>
        <v/>
      </c>
      <c r="L95" s="19" t="str">
        <f t="shared" si="14"/>
        <v/>
      </c>
      <c r="M95" s="19" t="str">
        <f t="shared" si="9"/>
        <v/>
      </c>
      <c r="N95" s="19" t="str">
        <f t="shared" si="15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0"/>
        <v/>
      </c>
      <c r="L96" s="19" t="str">
        <f t="shared" si="14"/>
        <v/>
      </c>
      <c r="M96" s="19" t="str">
        <f t="shared" si="9"/>
        <v/>
      </c>
      <c r="N96" s="19" t="str">
        <f t="shared" si="15"/>
        <v/>
      </c>
      <c r="O96" s="19" t="str">
        <f t="shared" ref="O96:O153" si="18">IF(ISBLANK(F96),"",((F96-F$31)*1000)+L$31)</f>
        <v/>
      </c>
      <c r="P96" s="19" t="str">
        <f t="shared" ref="P96:P153" si="19">IF(ISBLANK(G96),"",((G96-G$31)*1000)+M$31)</f>
        <v/>
      </c>
      <c r="Q96" s="19" t="str">
        <f t="shared" ref="Q96:Q153" si="20">IF(ISBLANK(H96),"",((H96-H$31)*1000)+N$31)</f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0"/>
        <v/>
      </c>
      <c r="L97" s="19" t="str">
        <f t="shared" si="14"/>
        <v/>
      </c>
      <c r="M97" s="19" t="str">
        <f t="shared" si="9"/>
        <v/>
      </c>
      <c r="N97" s="19" t="str">
        <f t="shared" si="15"/>
        <v/>
      </c>
      <c r="O97" s="19" t="str">
        <f t="shared" si="18"/>
        <v/>
      </c>
      <c r="P97" s="19" t="str">
        <f t="shared" si="19"/>
        <v/>
      </c>
      <c r="Q97" s="19" t="str">
        <f t="shared" si="20"/>
        <v/>
      </c>
      <c r="R97" s="19" t="str">
        <f t="shared" si="16"/>
        <v/>
      </c>
      <c r="S97" s="27" t="str">
        <f t="shared" ref="S97:X112" si="21">IF(C97="","",((C97-C96)*1000)/($B97-$B96))</f>
        <v/>
      </c>
      <c r="T97" s="28" t="str">
        <f t="shared" si="21"/>
        <v/>
      </c>
      <c r="U97" s="28" t="str">
        <f t="shared" si="21"/>
        <v/>
      </c>
      <c r="V97" s="28" t="str">
        <f t="shared" si="21"/>
        <v/>
      </c>
      <c r="W97" s="28" t="str">
        <f t="shared" si="21"/>
        <v/>
      </c>
      <c r="X97" s="29" t="str">
        <f t="shared" si="21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0"/>
        <v/>
      </c>
      <c r="L98" s="19" t="str">
        <f t="shared" si="14"/>
        <v/>
      </c>
      <c r="M98" s="19" t="str">
        <f t="shared" ref="M98:M153" si="22">IF(ISBLANK(D98),"",((D98-D$33)*1000)+M$32)</f>
        <v/>
      </c>
      <c r="N98" s="19" t="str">
        <f t="shared" si="15"/>
        <v/>
      </c>
      <c r="O98" s="19" t="str">
        <f t="shared" si="18"/>
        <v/>
      </c>
      <c r="P98" s="19" t="str">
        <f t="shared" si="19"/>
        <v/>
      </c>
      <c r="Q98" s="19" t="str">
        <f t="shared" si="20"/>
        <v/>
      </c>
      <c r="R98" s="19" t="str">
        <f t="shared" si="16"/>
        <v/>
      </c>
      <c r="S98" s="27" t="str">
        <f t="shared" si="21"/>
        <v/>
      </c>
      <c r="T98" s="28" t="str">
        <f t="shared" si="21"/>
        <v/>
      </c>
      <c r="U98" s="28" t="str">
        <f t="shared" si="21"/>
        <v/>
      </c>
      <c r="V98" s="28" t="str">
        <f t="shared" si="21"/>
        <v/>
      </c>
      <c r="W98" s="28" t="str">
        <f t="shared" si="21"/>
        <v/>
      </c>
      <c r="X98" s="29" t="str">
        <f t="shared" si="21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0"/>
        <v/>
      </c>
      <c r="L99" s="19" t="str">
        <f t="shared" si="14"/>
        <v/>
      </c>
      <c r="M99" s="19" t="str">
        <f t="shared" si="22"/>
        <v/>
      </c>
      <c r="N99" s="19" t="str">
        <f t="shared" si="15"/>
        <v/>
      </c>
      <c r="O99" s="19" t="str">
        <f t="shared" si="18"/>
        <v/>
      </c>
      <c r="P99" s="19" t="str">
        <f t="shared" si="19"/>
        <v/>
      </c>
      <c r="Q99" s="19" t="str">
        <f t="shared" si="20"/>
        <v/>
      </c>
      <c r="R99" s="19" t="str">
        <f t="shared" si="16"/>
        <v/>
      </c>
      <c r="S99" s="27" t="str">
        <f t="shared" si="21"/>
        <v/>
      </c>
      <c r="T99" s="28" t="str">
        <f t="shared" si="21"/>
        <v/>
      </c>
      <c r="U99" s="28" t="str">
        <f t="shared" si="21"/>
        <v/>
      </c>
      <c r="V99" s="28" t="str">
        <f t="shared" si="21"/>
        <v/>
      </c>
      <c r="W99" s="28" t="str">
        <f t="shared" si="21"/>
        <v/>
      </c>
      <c r="X99" s="29" t="str">
        <f t="shared" si="21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0"/>
        <v/>
      </c>
      <c r="L100" s="19" t="str">
        <f t="shared" si="14"/>
        <v/>
      </c>
      <c r="M100" s="19" t="str">
        <f t="shared" si="22"/>
        <v/>
      </c>
      <c r="N100" s="19" t="str">
        <f t="shared" si="15"/>
        <v/>
      </c>
      <c r="O100" s="19" t="str">
        <f t="shared" si="18"/>
        <v/>
      </c>
      <c r="P100" s="19" t="str">
        <f t="shared" si="19"/>
        <v/>
      </c>
      <c r="Q100" s="19" t="str">
        <f t="shared" si="20"/>
        <v/>
      </c>
      <c r="R100" s="19" t="str">
        <f t="shared" si="16"/>
        <v/>
      </c>
      <c r="S100" s="27" t="str">
        <f t="shared" si="21"/>
        <v/>
      </c>
      <c r="T100" s="28" t="str">
        <f t="shared" si="21"/>
        <v/>
      </c>
      <c r="U100" s="28" t="str">
        <f t="shared" si="21"/>
        <v/>
      </c>
      <c r="V100" s="28" t="str">
        <f t="shared" si="21"/>
        <v/>
      </c>
      <c r="W100" s="28" t="str">
        <f t="shared" si="21"/>
        <v/>
      </c>
      <c r="X100" s="29" t="str">
        <f t="shared" si="21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0"/>
        <v/>
      </c>
      <c r="L101" s="19" t="str">
        <f t="shared" si="14"/>
        <v/>
      </c>
      <c r="M101" s="19" t="str">
        <f t="shared" si="22"/>
        <v/>
      </c>
      <c r="N101" s="19" t="str">
        <f t="shared" si="15"/>
        <v/>
      </c>
      <c r="O101" s="19" t="str">
        <f t="shared" si="18"/>
        <v/>
      </c>
      <c r="P101" s="19" t="str">
        <f t="shared" si="19"/>
        <v/>
      </c>
      <c r="Q101" s="19" t="str">
        <f t="shared" si="20"/>
        <v/>
      </c>
      <c r="R101" s="19" t="str">
        <f t="shared" si="16"/>
        <v/>
      </c>
      <c r="S101" s="27" t="str">
        <f t="shared" si="21"/>
        <v/>
      </c>
      <c r="T101" s="28" t="str">
        <f t="shared" si="21"/>
        <v/>
      </c>
      <c r="U101" s="28" t="str">
        <f t="shared" si="21"/>
        <v/>
      </c>
      <c r="V101" s="28" t="str">
        <f t="shared" si="21"/>
        <v/>
      </c>
      <c r="W101" s="28" t="str">
        <f t="shared" si="21"/>
        <v/>
      </c>
      <c r="X101" s="29" t="str">
        <f t="shared" si="21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0"/>
        <v/>
      </c>
      <c r="L102" s="19" t="str">
        <f t="shared" si="14"/>
        <v/>
      </c>
      <c r="M102" s="19" t="str">
        <f t="shared" si="22"/>
        <v/>
      </c>
      <c r="N102" s="19" t="str">
        <f t="shared" si="15"/>
        <v/>
      </c>
      <c r="O102" s="19" t="str">
        <f t="shared" si="18"/>
        <v/>
      </c>
      <c r="P102" s="19" t="str">
        <f t="shared" si="19"/>
        <v/>
      </c>
      <c r="Q102" s="19" t="str">
        <f t="shared" si="20"/>
        <v/>
      </c>
      <c r="R102" s="19" t="str">
        <f t="shared" si="16"/>
        <v/>
      </c>
      <c r="S102" s="27" t="str">
        <f t="shared" si="21"/>
        <v/>
      </c>
      <c r="T102" s="28" t="str">
        <f t="shared" si="21"/>
        <v/>
      </c>
      <c r="U102" s="28" t="str">
        <f t="shared" si="21"/>
        <v/>
      </c>
      <c r="V102" s="28" t="str">
        <f t="shared" si="21"/>
        <v/>
      </c>
      <c r="W102" s="28" t="str">
        <f t="shared" si="21"/>
        <v/>
      </c>
      <c r="X102" s="29" t="str">
        <f t="shared" si="21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ref="K103:K153" si="23">IF(ISBLANK(J103),"",(J103-$J$8))</f>
        <v/>
      </c>
      <c r="L103" s="19" t="str">
        <f t="shared" si="14"/>
        <v/>
      </c>
      <c r="M103" s="19" t="str">
        <f t="shared" si="22"/>
        <v/>
      </c>
      <c r="N103" s="19" t="str">
        <f t="shared" si="15"/>
        <v/>
      </c>
      <c r="O103" s="19" t="str">
        <f t="shared" si="18"/>
        <v/>
      </c>
      <c r="P103" s="19" t="str">
        <f t="shared" si="19"/>
        <v/>
      </c>
      <c r="Q103" s="19" t="str">
        <f t="shared" si="20"/>
        <v/>
      </c>
      <c r="R103" s="19" t="str">
        <f t="shared" si="16"/>
        <v/>
      </c>
      <c r="S103" s="27" t="str">
        <f t="shared" si="21"/>
        <v/>
      </c>
      <c r="T103" s="28" t="str">
        <f t="shared" si="21"/>
        <v/>
      </c>
      <c r="U103" s="28" t="str">
        <f t="shared" si="21"/>
        <v/>
      </c>
      <c r="V103" s="28" t="str">
        <f t="shared" si="21"/>
        <v/>
      </c>
      <c r="W103" s="28" t="str">
        <f t="shared" si="21"/>
        <v/>
      </c>
      <c r="X103" s="29" t="str">
        <f t="shared" si="21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23"/>
        <v/>
      </c>
      <c r="L104" s="19" t="str">
        <f t="shared" si="14"/>
        <v/>
      </c>
      <c r="M104" s="19" t="str">
        <f t="shared" si="22"/>
        <v/>
      </c>
      <c r="N104" s="19" t="str">
        <f t="shared" si="15"/>
        <v/>
      </c>
      <c r="O104" s="19" t="str">
        <f t="shared" si="18"/>
        <v/>
      </c>
      <c r="P104" s="19" t="str">
        <f t="shared" si="19"/>
        <v/>
      </c>
      <c r="Q104" s="19" t="str">
        <f t="shared" si="20"/>
        <v/>
      </c>
      <c r="R104" s="19" t="str">
        <f t="shared" si="16"/>
        <v/>
      </c>
      <c r="S104" s="27" t="str">
        <f t="shared" si="21"/>
        <v/>
      </c>
      <c r="T104" s="28" t="str">
        <f t="shared" si="21"/>
        <v/>
      </c>
      <c r="U104" s="28" t="str">
        <f t="shared" si="21"/>
        <v/>
      </c>
      <c r="V104" s="28" t="str">
        <f t="shared" si="21"/>
        <v/>
      </c>
      <c r="W104" s="28" t="str">
        <f t="shared" si="21"/>
        <v/>
      </c>
      <c r="X104" s="29" t="str">
        <f t="shared" si="21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23"/>
        <v/>
      </c>
      <c r="L105" s="19" t="str">
        <f t="shared" si="14"/>
        <v/>
      </c>
      <c r="M105" s="19" t="str">
        <f t="shared" si="22"/>
        <v/>
      </c>
      <c r="N105" s="19" t="str">
        <f t="shared" si="15"/>
        <v/>
      </c>
      <c r="O105" s="19" t="str">
        <f t="shared" si="18"/>
        <v/>
      </c>
      <c r="P105" s="19" t="str">
        <f t="shared" si="19"/>
        <v/>
      </c>
      <c r="Q105" s="19" t="str">
        <f t="shared" si="20"/>
        <v/>
      </c>
      <c r="R105" s="19" t="str">
        <f t="shared" si="16"/>
        <v/>
      </c>
      <c r="S105" s="27" t="str">
        <f t="shared" si="21"/>
        <v/>
      </c>
      <c r="T105" s="28" t="str">
        <f t="shared" si="21"/>
        <v/>
      </c>
      <c r="U105" s="28" t="str">
        <f t="shared" si="21"/>
        <v/>
      </c>
      <c r="V105" s="28" t="str">
        <f t="shared" si="21"/>
        <v/>
      </c>
      <c r="W105" s="28" t="str">
        <f t="shared" si="21"/>
        <v/>
      </c>
      <c r="X105" s="29" t="str">
        <f t="shared" si="21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23"/>
        <v/>
      </c>
      <c r="L106" s="19" t="str">
        <f t="shared" si="14"/>
        <v/>
      </c>
      <c r="M106" s="19" t="str">
        <f t="shared" si="22"/>
        <v/>
      </c>
      <c r="N106" s="19" t="str">
        <f t="shared" si="15"/>
        <v/>
      </c>
      <c r="O106" s="19" t="str">
        <f t="shared" si="18"/>
        <v/>
      </c>
      <c r="P106" s="19" t="str">
        <f t="shared" si="19"/>
        <v/>
      </c>
      <c r="Q106" s="19" t="str">
        <f t="shared" si="20"/>
        <v/>
      </c>
      <c r="R106" s="19" t="str">
        <f t="shared" si="16"/>
        <v/>
      </c>
      <c r="S106" s="27" t="str">
        <f t="shared" si="21"/>
        <v/>
      </c>
      <c r="T106" s="28" t="str">
        <f t="shared" si="21"/>
        <v/>
      </c>
      <c r="U106" s="28" t="str">
        <f t="shared" si="21"/>
        <v/>
      </c>
      <c r="V106" s="28" t="str">
        <f t="shared" si="21"/>
        <v/>
      </c>
      <c r="W106" s="28" t="str">
        <f t="shared" si="21"/>
        <v/>
      </c>
      <c r="X106" s="29" t="str">
        <f t="shared" si="21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23"/>
        <v/>
      </c>
      <c r="L107" s="19" t="str">
        <f t="shared" si="14"/>
        <v/>
      </c>
      <c r="M107" s="19" t="str">
        <f t="shared" si="22"/>
        <v/>
      </c>
      <c r="N107" s="19" t="str">
        <f t="shared" si="15"/>
        <v/>
      </c>
      <c r="O107" s="19" t="str">
        <f t="shared" si="18"/>
        <v/>
      </c>
      <c r="P107" s="19" t="str">
        <f t="shared" si="19"/>
        <v/>
      </c>
      <c r="Q107" s="19" t="str">
        <f t="shared" si="20"/>
        <v/>
      </c>
      <c r="R107" s="19" t="str">
        <f t="shared" si="16"/>
        <v/>
      </c>
      <c r="S107" s="27" t="str">
        <f t="shared" si="21"/>
        <v/>
      </c>
      <c r="T107" s="28" t="str">
        <f t="shared" si="21"/>
        <v/>
      </c>
      <c r="U107" s="28" t="str">
        <f t="shared" si="21"/>
        <v/>
      </c>
      <c r="V107" s="28" t="str">
        <f t="shared" si="21"/>
        <v/>
      </c>
      <c r="W107" s="28" t="str">
        <f t="shared" si="21"/>
        <v/>
      </c>
      <c r="X107" s="29" t="str">
        <f t="shared" si="21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23"/>
        <v/>
      </c>
      <c r="L108" s="19" t="str">
        <f t="shared" si="14"/>
        <v/>
      </c>
      <c r="M108" s="19" t="str">
        <f t="shared" si="22"/>
        <v/>
      </c>
      <c r="N108" s="19" t="str">
        <f t="shared" si="15"/>
        <v/>
      </c>
      <c r="O108" s="19" t="str">
        <f t="shared" si="18"/>
        <v/>
      </c>
      <c r="P108" s="19" t="str">
        <f t="shared" si="19"/>
        <v/>
      </c>
      <c r="Q108" s="19" t="str">
        <f t="shared" si="20"/>
        <v/>
      </c>
      <c r="R108" s="19" t="str">
        <f t="shared" si="16"/>
        <v/>
      </c>
      <c r="S108" s="27" t="str">
        <f t="shared" si="21"/>
        <v/>
      </c>
      <c r="T108" s="28" t="str">
        <f t="shared" si="21"/>
        <v/>
      </c>
      <c r="U108" s="28" t="str">
        <f t="shared" si="21"/>
        <v/>
      </c>
      <c r="V108" s="28" t="str">
        <f t="shared" si="21"/>
        <v/>
      </c>
      <c r="W108" s="28" t="str">
        <f t="shared" si="21"/>
        <v/>
      </c>
      <c r="X108" s="29" t="str">
        <f t="shared" si="21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23"/>
        <v/>
      </c>
      <c r="L109" s="19" t="str">
        <f t="shared" si="14"/>
        <v/>
      </c>
      <c r="M109" s="19" t="str">
        <f t="shared" si="22"/>
        <v/>
      </c>
      <c r="N109" s="19" t="str">
        <f t="shared" si="15"/>
        <v/>
      </c>
      <c r="O109" s="19" t="str">
        <f t="shared" si="18"/>
        <v/>
      </c>
      <c r="P109" s="19" t="str">
        <f t="shared" si="19"/>
        <v/>
      </c>
      <c r="Q109" s="19" t="str">
        <f t="shared" si="20"/>
        <v/>
      </c>
      <c r="R109" s="19" t="str">
        <f t="shared" si="16"/>
        <v/>
      </c>
      <c r="S109" s="27" t="str">
        <f t="shared" si="21"/>
        <v/>
      </c>
      <c r="T109" s="28" t="str">
        <f t="shared" si="21"/>
        <v/>
      </c>
      <c r="U109" s="28" t="str">
        <f t="shared" si="21"/>
        <v/>
      </c>
      <c r="V109" s="28" t="str">
        <f t="shared" si="21"/>
        <v/>
      </c>
      <c r="W109" s="28" t="str">
        <f t="shared" si="21"/>
        <v/>
      </c>
      <c r="X109" s="29" t="str">
        <f t="shared" si="21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23"/>
        <v/>
      </c>
      <c r="L110" s="19" t="str">
        <f t="shared" si="14"/>
        <v/>
      </c>
      <c r="M110" s="19" t="str">
        <f t="shared" si="22"/>
        <v/>
      </c>
      <c r="N110" s="19" t="str">
        <f t="shared" si="15"/>
        <v/>
      </c>
      <c r="O110" s="19" t="str">
        <f t="shared" si="18"/>
        <v/>
      </c>
      <c r="P110" s="19" t="str">
        <f t="shared" si="19"/>
        <v/>
      </c>
      <c r="Q110" s="19" t="str">
        <f t="shared" si="20"/>
        <v/>
      </c>
      <c r="R110" s="19" t="str">
        <f t="shared" si="16"/>
        <v/>
      </c>
      <c r="S110" s="27" t="str">
        <f t="shared" si="21"/>
        <v/>
      </c>
      <c r="T110" s="28" t="str">
        <f t="shared" si="21"/>
        <v/>
      </c>
      <c r="U110" s="28" t="str">
        <f t="shared" si="21"/>
        <v/>
      </c>
      <c r="V110" s="28" t="str">
        <f t="shared" si="21"/>
        <v/>
      </c>
      <c r="W110" s="28" t="str">
        <f t="shared" si="21"/>
        <v/>
      </c>
      <c r="X110" s="29" t="str">
        <f t="shared" si="21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23"/>
        <v/>
      </c>
      <c r="L111" s="19" t="str">
        <f t="shared" si="14"/>
        <v/>
      </c>
      <c r="M111" s="19" t="str">
        <f t="shared" si="22"/>
        <v/>
      </c>
      <c r="N111" s="19" t="str">
        <f t="shared" si="15"/>
        <v/>
      </c>
      <c r="O111" s="19" t="str">
        <f t="shared" si="18"/>
        <v/>
      </c>
      <c r="P111" s="19" t="str">
        <f t="shared" si="19"/>
        <v/>
      </c>
      <c r="Q111" s="19" t="str">
        <f t="shared" si="20"/>
        <v/>
      </c>
      <c r="R111" s="19" t="str">
        <f t="shared" si="16"/>
        <v/>
      </c>
      <c r="S111" s="27" t="str">
        <f t="shared" si="21"/>
        <v/>
      </c>
      <c r="T111" s="28" t="str">
        <f t="shared" si="21"/>
        <v/>
      </c>
      <c r="U111" s="28" t="str">
        <f t="shared" si="21"/>
        <v/>
      </c>
      <c r="V111" s="28" t="str">
        <f t="shared" si="21"/>
        <v/>
      </c>
      <c r="W111" s="28" t="str">
        <f t="shared" si="21"/>
        <v/>
      </c>
      <c r="X111" s="29" t="str">
        <f t="shared" si="21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23"/>
        <v/>
      </c>
      <c r="L112" s="19" t="str">
        <f t="shared" ref="L112:L143" si="24">IF(ISBLANK(C112),"",(C112-C$16)*1000)</f>
        <v/>
      </c>
      <c r="M112" s="19" t="str">
        <f t="shared" si="22"/>
        <v/>
      </c>
      <c r="N112" s="19" t="str">
        <f t="shared" ref="N112:N143" si="25">IF(ISBLANK(E112),"",(E112-E$16)*1000)</f>
        <v/>
      </c>
      <c r="O112" s="19" t="str">
        <f t="shared" si="18"/>
        <v/>
      </c>
      <c r="P112" s="19" t="str">
        <f t="shared" si="19"/>
        <v/>
      </c>
      <c r="Q112" s="19" t="str">
        <f t="shared" si="20"/>
        <v/>
      </c>
      <c r="R112" s="19" t="str">
        <f t="shared" ref="R112:R143" si="26">IF(ISBLANK(I112),"",(I112-I$16)*1000)</f>
        <v/>
      </c>
      <c r="S112" s="27" t="str">
        <f t="shared" si="21"/>
        <v/>
      </c>
      <c r="T112" s="28" t="str">
        <f t="shared" si="21"/>
        <v/>
      </c>
      <c r="U112" s="28" t="str">
        <f t="shared" si="21"/>
        <v/>
      </c>
      <c r="V112" s="28" t="str">
        <f t="shared" si="21"/>
        <v/>
      </c>
      <c r="W112" s="28" t="str">
        <f t="shared" si="21"/>
        <v/>
      </c>
      <c r="X112" s="29" t="str">
        <f t="shared" si="21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23"/>
        <v/>
      </c>
      <c r="L113" s="19" t="str">
        <f t="shared" si="24"/>
        <v/>
      </c>
      <c r="M113" s="19" t="str">
        <f t="shared" si="22"/>
        <v/>
      </c>
      <c r="N113" s="19" t="str">
        <f t="shared" si="25"/>
        <v/>
      </c>
      <c r="O113" s="19" t="str">
        <f t="shared" si="18"/>
        <v/>
      </c>
      <c r="P113" s="19" t="str">
        <f t="shared" si="19"/>
        <v/>
      </c>
      <c r="Q113" s="19" t="str">
        <f t="shared" si="20"/>
        <v/>
      </c>
      <c r="R113" s="19" t="str">
        <f t="shared" si="26"/>
        <v/>
      </c>
      <c r="S113" s="27" t="str">
        <f t="shared" ref="S113:X128" si="27">IF(C113="","",((C113-C112)*1000)/($B113-$B112))</f>
        <v/>
      </c>
      <c r="T113" s="28" t="str">
        <f t="shared" si="27"/>
        <v/>
      </c>
      <c r="U113" s="28" t="str">
        <f t="shared" si="27"/>
        <v/>
      </c>
      <c r="V113" s="28" t="str">
        <f t="shared" si="27"/>
        <v/>
      </c>
      <c r="W113" s="28" t="str">
        <f t="shared" si="27"/>
        <v/>
      </c>
      <c r="X113" s="29" t="str">
        <f t="shared" si="2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23"/>
        <v/>
      </c>
      <c r="L114" s="19" t="str">
        <f t="shared" si="24"/>
        <v/>
      </c>
      <c r="M114" s="19" t="str">
        <f t="shared" si="22"/>
        <v/>
      </c>
      <c r="N114" s="19" t="str">
        <f t="shared" si="25"/>
        <v/>
      </c>
      <c r="O114" s="19" t="str">
        <f t="shared" si="18"/>
        <v/>
      </c>
      <c r="P114" s="19" t="str">
        <f t="shared" si="19"/>
        <v/>
      </c>
      <c r="Q114" s="19" t="str">
        <f t="shared" si="20"/>
        <v/>
      </c>
      <c r="R114" s="19" t="str">
        <f t="shared" si="26"/>
        <v/>
      </c>
      <c r="S114" s="27" t="str">
        <f t="shared" si="27"/>
        <v/>
      </c>
      <c r="T114" s="28" t="str">
        <f t="shared" si="27"/>
        <v/>
      </c>
      <c r="U114" s="28" t="str">
        <f t="shared" si="27"/>
        <v/>
      </c>
      <c r="V114" s="28" t="str">
        <f t="shared" si="27"/>
        <v/>
      </c>
      <c r="W114" s="28" t="str">
        <f t="shared" si="27"/>
        <v/>
      </c>
      <c r="X114" s="29" t="str">
        <f t="shared" si="2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23"/>
        <v/>
      </c>
      <c r="L115" s="19" t="str">
        <f t="shared" si="24"/>
        <v/>
      </c>
      <c r="M115" s="19" t="str">
        <f t="shared" si="22"/>
        <v/>
      </c>
      <c r="N115" s="19" t="str">
        <f t="shared" si="25"/>
        <v/>
      </c>
      <c r="O115" s="19" t="str">
        <f t="shared" si="18"/>
        <v/>
      </c>
      <c r="P115" s="19" t="str">
        <f t="shared" si="19"/>
        <v/>
      </c>
      <c r="Q115" s="19" t="str">
        <f t="shared" si="20"/>
        <v/>
      </c>
      <c r="R115" s="19" t="str">
        <f t="shared" si="26"/>
        <v/>
      </c>
      <c r="S115" s="27" t="str">
        <f t="shared" si="27"/>
        <v/>
      </c>
      <c r="T115" s="28" t="str">
        <f t="shared" si="27"/>
        <v/>
      </c>
      <c r="U115" s="28" t="str">
        <f t="shared" si="27"/>
        <v/>
      </c>
      <c r="V115" s="28" t="str">
        <f t="shared" si="27"/>
        <v/>
      </c>
      <c r="W115" s="28" t="str">
        <f t="shared" si="27"/>
        <v/>
      </c>
      <c r="X115" s="29" t="str">
        <f t="shared" si="2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23"/>
        <v/>
      </c>
      <c r="L116" s="19" t="str">
        <f t="shared" si="24"/>
        <v/>
      </c>
      <c r="M116" s="19" t="str">
        <f t="shared" si="22"/>
        <v/>
      </c>
      <c r="N116" s="19" t="str">
        <f t="shared" si="25"/>
        <v/>
      </c>
      <c r="O116" s="19" t="str">
        <f t="shared" si="18"/>
        <v/>
      </c>
      <c r="P116" s="19" t="str">
        <f t="shared" si="19"/>
        <v/>
      </c>
      <c r="Q116" s="19" t="str">
        <f t="shared" si="20"/>
        <v/>
      </c>
      <c r="R116" s="19" t="str">
        <f t="shared" si="26"/>
        <v/>
      </c>
      <c r="S116" s="27" t="str">
        <f t="shared" si="27"/>
        <v/>
      </c>
      <c r="T116" s="28" t="str">
        <f t="shared" si="27"/>
        <v/>
      </c>
      <c r="U116" s="28" t="str">
        <f t="shared" si="27"/>
        <v/>
      </c>
      <c r="V116" s="28" t="str">
        <f t="shared" si="27"/>
        <v/>
      </c>
      <c r="W116" s="28" t="str">
        <f t="shared" si="27"/>
        <v/>
      </c>
      <c r="X116" s="29" t="str">
        <f t="shared" si="2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23"/>
        <v/>
      </c>
      <c r="L117" s="19" t="str">
        <f t="shared" si="24"/>
        <v/>
      </c>
      <c r="M117" s="19" t="str">
        <f t="shared" si="22"/>
        <v/>
      </c>
      <c r="N117" s="19" t="str">
        <f t="shared" si="25"/>
        <v/>
      </c>
      <c r="O117" s="19" t="str">
        <f t="shared" si="18"/>
        <v/>
      </c>
      <c r="P117" s="19" t="str">
        <f t="shared" si="19"/>
        <v/>
      </c>
      <c r="Q117" s="19" t="str">
        <f t="shared" si="20"/>
        <v/>
      </c>
      <c r="R117" s="19" t="str">
        <f t="shared" si="26"/>
        <v/>
      </c>
      <c r="S117" s="27" t="str">
        <f t="shared" si="27"/>
        <v/>
      </c>
      <c r="T117" s="28" t="str">
        <f t="shared" si="27"/>
        <v/>
      </c>
      <c r="U117" s="28" t="str">
        <f t="shared" si="27"/>
        <v/>
      </c>
      <c r="V117" s="28" t="str">
        <f t="shared" si="27"/>
        <v/>
      </c>
      <c r="W117" s="28" t="str">
        <f t="shared" si="27"/>
        <v/>
      </c>
      <c r="X117" s="29" t="str">
        <f t="shared" si="2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23"/>
        <v/>
      </c>
      <c r="L118" s="19" t="str">
        <f t="shared" si="24"/>
        <v/>
      </c>
      <c r="M118" s="19" t="str">
        <f t="shared" si="22"/>
        <v/>
      </c>
      <c r="N118" s="19" t="str">
        <f t="shared" si="25"/>
        <v/>
      </c>
      <c r="O118" s="19" t="str">
        <f t="shared" si="18"/>
        <v/>
      </c>
      <c r="P118" s="19" t="str">
        <f t="shared" si="19"/>
        <v/>
      </c>
      <c r="Q118" s="19" t="str">
        <f t="shared" si="20"/>
        <v/>
      </c>
      <c r="R118" s="19" t="str">
        <f t="shared" si="26"/>
        <v/>
      </c>
      <c r="S118" s="27" t="str">
        <f t="shared" si="27"/>
        <v/>
      </c>
      <c r="T118" s="28" t="str">
        <f t="shared" si="27"/>
        <v/>
      </c>
      <c r="U118" s="28" t="str">
        <f t="shared" si="27"/>
        <v/>
      </c>
      <c r="V118" s="28" t="str">
        <f t="shared" si="27"/>
        <v/>
      </c>
      <c r="W118" s="28" t="str">
        <f t="shared" si="27"/>
        <v/>
      </c>
      <c r="X118" s="29" t="str">
        <f t="shared" si="2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23"/>
        <v/>
      </c>
      <c r="L119" s="19" t="str">
        <f t="shared" si="24"/>
        <v/>
      </c>
      <c r="M119" s="19" t="str">
        <f t="shared" si="22"/>
        <v/>
      </c>
      <c r="N119" s="19" t="str">
        <f t="shared" si="25"/>
        <v/>
      </c>
      <c r="O119" s="19" t="str">
        <f t="shared" si="18"/>
        <v/>
      </c>
      <c r="P119" s="19" t="str">
        <f t="shared" si="19"/>
        <v/>
      </c>
      <c r="Q119" s="19" t="str">
        <f t="shared" si="20"/>
        <v/>
      </c>
      <c r="R119" s="19" t="str">
        <f t="shared" si="26"/>
        <v/>
      </c>
      <c r="S119" s="27" t="str">
        <f t="shared" si="27"/>
        <v/>
      </c>
      <c r="T119" s="28" t="str">
        <f t="shared" si="27"/>
        <v/>
      </c>
      <c r="U119" s="28" t="str">
        <f t="shared" si="27"/>
        <v/>
      </c>
      <c r="V119" s="28" t="str">
        <f t="shared" si="27"/>
        <v/>
      </c>
      <c r="W119" s="28" t="str">
        <f t="shared" si="27"/>
        <v/>
      </c>
      <c r="X119" s="29" t="str">
        <f t="shared" si="2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23"/>
        <v/>
      </c>
      <c r="L120" s="19" t="str">
        <f t="shared" si="24"/>
        <v/>
      </c>
      <c r="M120" s="19" t="str">
        <f t="shared" si="22"/>
        <v/>
      </c>
      <c r="N120" s="19" t="str">
        <f t="shared" si="25"/>
        <v/>
      </c>
      <c r="O120" s="19" t="str">
        <f t="shared" si="18"/>
        <v/>
      </c>
      <c r="P120" s="19" t="str">
        <f t="shared" si="19"/>
        <v/>
      </c>
      <c r="Q120" s="19" t="str">
        <f t="shared" si="20"/>
        <v/>
      </c>
      <c r="R120" s="19" t="str">
        <f t="shared" si="26"/>
        <v/>
      </c>
      <c r="S120" s="27" t="str">
        <f t="shared" si="27"/>
        <v/>
      </c>
      <c r="T120" s="28" t="str">
        <f t="shared" si="27"/>
        <v/>
      </c>
      <c r="U120" s="28" t="str">
        <f t="shared" si="27"/>
        <v/>
      </c>
      <c r="V120" s="28" t="str">
        <f t="shared" si="27"/>
        <v/>
      </c>
      <c r="W120" s="28" t="str">
        <f t="shared" si="27"/>
        <v/>
      </c>
      <c r="X120" s="29" t="str">
        <f t="shared" si="2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23"/>
        <v/>
      </c>
      <c r="L121" s="19" t="str">
        <f t="shared" si="24"/>
        <v/>
      </c>
      <c r="M121" s="19" t="str">
        <f t="shared" si="22"/>
        <v/>
      </c>
      <c r="N121" s="19" t="str">
        <f t="shared" si="25"/>
        <v/>
      </c>
      <c r="O121" s="19" t="str">
        <f t="shared" si="18"/>
        <v/>
      </c>
      <c r="P121" s="19" t="str">
        <f t="shared" si="19"/>
        <v/>
      </c>
      <c r="Q121" s="19" t="str">
        <f t="shared" si="20"/>
        <v/>
      </c>
      <c r="R121" s="19" t="str">
        <f t="shared" si="26"/>
        <v/>
      </c>
      <c r="S121" s="27" t="str">
        <f t="shared" si="27"/>
        <v/>
      </c>
      <c r="T121" s="28" t="str">
        <f t="shared" si="27"/>
        <v/>
      </c>
      <c r="U121" s="28" t="str">
        <f t="shared" si="27"/>
        <v/>
      </c>
      <c r="V121" s="28" t="str">
        <f t="shared" si="27"/>
        <v/>
      </c>
      <c r="W121" s="28" t="str">
        <f t="shared" si="27"/>
        <v/>
      </c>
      <c r="X121" s="29" t="str">
        <f t="shared" si="2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23"/>
        <v/>
      </c>
      <c r="L122" s="19" t="str">
        <f t="shared" si="24"/>
        <v/>
      </c>
      <c r="M122" s="19" t="str">
        <f t="shared" si="22"/>
        <v/>
      </c>
      <c r="N122" s="19" t="str">
        <f t="shared" si="25"/>
        <v/>
      </c>
      <c r="O122" s="19" t="str">
        <f t="shared" si="18"/>
        <v/>
      </c>
      <c r="P122" s="19" t="str">
        <f t="shared" si="19"/>
        <v/>
      </c>
      <c r="Q122" s="19" t="str">
        <f t="shared" si="20"/>
        <v/>
      </c>
      <c r="R122" s="19" t="str">
        <f t="shared" si="26"/>
        <v/>
      </c>
      <c r="S122" s="27" t="str">
        <f t="shared" si="27"/>
        <v/>
      </c>
      <c r="T122" s="28" t="str">
        <f t="shared" si="27"/>
        <v/>
      </c>
      <c r="U122" s="28" t="str">
        <f t="shared" si="27"/>
        <v/>
      </c>
      <c r="V122" s="28" t="str">
        <f t="shared" si="27"/>
        <v/>
      </c>
      <c r="W122" s="28" t="str">
        <f t="shared" si="27"/>
        <v/>
      </c>
      <c r="X122" s="29" t="str">
        <f t="shared" si="2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23"/>
        <v/>
      </c>
      <c r="L123" s="19" t="str">
        <f t="shared" si="24"/>
        <v/>
      </c>
      <c r="M123" s="19" t="str">
        <f t="shared" si="22"/>
        <v/>
      </c>
      <c r="N123" s="19" t="str">
        <f t="shared" si="25"/>
        <v/>
      </c>
      <c r="O123" s="19" t="str">
        <f t="shared" si="18"/>
        <v/>
      </c>
      <c r="P123" s="19" t="str">
        <f t="shared" si="19"/>
        <v/>
      </c>
      <c r="Q123" s="19" t="str">
        <f t="shared" si="20"/>
        <v/>
      </c>
      <c r="R123" s="19" t="str">
        <f t="shared" si="26"/>
        <v/>
      </c>
      <c r="S123" s="27" t="str">
        <f t="shared" si="27"/>
        <v/>
      </c>
      <c r="T123" s="28" t="str">
        <f t="shared" si="27"/>
        <v/>
      </c>
      <c r="U123" s="28" t="str">
        <f t="shared" si="27"/>
        <v/>
      </c>
      <c r="V123" s="28" t="str">
        <f t="shared" si="27"/>
        <v/>
      </c>
      <c r="W123" s="28" t="str">
        <f t="shared" si="27"/>
        <v/>
      </c>
      <c r="X123" s="29" t="str">
        <f t="shared" si="2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23"/>
        <v/>
      </c>
      <c r="L124" s="19" t="str">
        <f t="shared" si="24"/>
        <v/>
      </c>
      <c r="M124" s="19" t="str">
        <f t="shared" si="22"/>
        <v/>
      </c>
      <c r="N124" s="19" t="str">
        <f t="shared" si="25"/>
        <v/>
      </c>
      <c r="O124" s="19" t="str">
        <f t="shared" si="18"/>
        <v/>
      </c>
      <c r="P124" s="19" t="str">
        <f t="shared" si="19"/>
        <v/>
      </c>
      <c r="Q124" s="19" t="str">
        <f t="shared" si="20"/>
        <v/>
      </c>
      <c r="R124" s="19" t="str">
        <f t="shared" si="26"/>
        <v/>
      </c>
      <c r="S124" s="27" t="str">
        <f t="shared" si="27"/>
        <v/>
      </c>
      <c r="T124" s="28" t="str">
        <f t="shared" si="27"/>
        <v/>
      </c>
      <c r="U124" s="28" t="str">
        <f t="shared" si="27"/>
        <v/>
      </c>
      <c r="V124" s="28" t="str">
        <f t="shared" si="27"/>
        <v/>
      </c>
      <c r="W124" s="28" t="str">
        <f t="shared" si="27"/>
        <v/>
      </c>
      <c r="X124" s="29" t="str">
        <f t="shared" si="2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23"/>
        <v/>
      </c>
      <c r="L125" s="19" t="str">
        <f t="shared" si="24"/>
        <v/>
      </c>
      <c r="M125" s="19" t="str">
        <f t="shared" si="22"/>
        <v/>
      </c>
      <c r="N125" s="19" t="str">
        <f t="shared" si="25"/>
        <v/>
      </c>
      <c r="O125" s="19" t="str">
        <f t="shared" si="18"/>
        <v/>
      </c>
      <c r="P125" s="19" t="str">
        <f t="shared" si="19"/>
        <v/>
      </c>
      <c r="Q125" s="19" t="str">
        <f t="shared" si="20"/>
        <v/>
      </c>
      <c r="R125" s="19" t="str">
        <f t="shared" si="26"/>
        <v/>
      </c>
      <c r="S125" s="27" t="str">
        <f t="shared" si="27"/>
        <v/>
      </c>
      <c r="T125" s="28" t="str">
        <f t="shared" si="27"/>
        <v/>
      </c>
      <c r="U125" s="28" t="str">
        <f t="shared" si="27"/>
        <v/>
      </c>
      <c r="V125" s="28" t="str">
        <f t="shared" si="27"/>
        <v/>
      </c>
      <c r="W125" s="28" t="str">
        <f t="shared" si="27"/>
        <v/>
      </c>
      <c r="X125" s="29" t="str">
        <f t="shared" si="2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23"/>
        <v/>
      </c>
      <c r="L126" s="19" t="str">
        <f t="shared" si="24"/>
        <v/>
      </c>
      <c r="M126" s="19" t="str">
        <f t="shared" si="22"/>
        <v/>
      </c>
      <c r="N126" s="19" t="str">
        <f t="shared" si="25"/>
        <v/>
      </c>
      <c r="O126" s="19" t="str">
        <f t="shared" si="18"/>
        <v/>
      </c>
      <c r="P126" s="19" t="str">
        <f t="shared" si="19"/>
        <v/>
      </c>
      <c r="Q126" s="19" t="str">
        <f t="shared" si="20"/>
        <v/>
      </c>
      <c r="R126" s="19" t="str">
        <f t="shared" si="26"/>
        <v/>
      </c>
      <c r="S126" s="27" t="str">
        <f t="shared" si="27"/>
        <v/>
      </c>
      <c r="T126" s="28" t="str">
        <f t="shared" si="27"/>
        <v/>
      </c>
      <c r="U126" s="28" t="str">
        <f t="shared" si="27"/>
        <v/>
      </c>
      <c r="V126" s="28" t="str">
        <f t="shared" si="27"/>
        <v/>
      </c>
      <c r="W126" s="28" t="str">
        <f t="shared" si="27"/>
        <v/>
      </c>
      <c r="X126" s="29" t="str">
        <f t="shared" si="2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23"/>
        <v/>
      </c>
      <c r="L127" s="19" t="str">
        <f t="shared" si="24"/>
        <v/>
      </c>
      <c r="M127" s="19" t="str">
        <f t="shared" si="22"/>
        <v/>
      </c>
      <c r="N127" s="19" t="str">
        <f t="shared" si="25"/>
        <v/>
      </c>
      <c r="O127" s="19" t="str">
        <f t="shared" si="18"/>
        <v/>
      </c>
      <c r="P127" s="19" t="str">
        <f t="shared" si="19"/>
        <v/>
      </c>
      <c r="Q127" s="19" t="str">
        <f t="shared" si="20"/>
        <v/>
      </c>
      <c r="R127" s="19" t="str">
        <f t="shared" si="26"/>
        <v/>
      </c>
      <c r="S127" s="27" t="str">
        <f t="shared" si="27"/>
        <v/>
      </c>
      <c r="T127" s="28" t="str">
        <f t="shared" si="27"/>
        <v/>
      </c>
      <c r="U127" s="28" t="str">
        <f t="shared" si="27"/>
        <v/>
      </c>
      <c r="V127" s="28" t="str">
        <f t="shared" si="27"/>
        <v/>
      </c>
      <c r="W127" s="28" t="str">
        <f t="shared" si="27"/>
        <v/>
      </c>
      <c r="X127" s="29" t="str">
        <f t="shared" si="2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23"/>
        <v/>
      </c>
      <c r="L128" s="19" t="str">
        <f t="shared" si="24"/>
        <v/>
      </c>
      <c r="M128" s="19" t="str">
        <f t="shared" si="22"/>
        <v/>
      </c>
      <c r="N128" s="19" t="str">
        <f t="shared" si="25"/>
        <v/>
      </c>
      <c r="O128" s="19" t="str">
        <f t="shared" si="18"/>
        <v/>
      </c>
      <c r="P128" s="19" t="str">
        <f t="shared" si="19"/>
        <v/>
      </c>
      <c r="Q128" s="19" t="str">
        <f t="shared" si="20"/>
        <v/>
      </c>
      <c r="R128" s="19" t="str">
        <f t="shared" si="26"/>
        <v/>
      </c>
      <c r="S128" s="27" t="str">
        <f t="shared" si="27"/>
        <v/>
      </c>
      <c r="T128" s="28" t="str">
        <f t="shared" si="27"/>
        <v/>
      </c>
      <c r="U128" s="28" t="str">
        <f t="shared" si="27"/>
        <v/>
      </c>
      <c r="V128" s="28" t="str">
        <f t="shared" si="27"/>
        <v/>
      </c>
      <c r="W128" s="28" t="str">
        <f t="shared" si="27"/>
        <v/>
      </c>
      <c r="X128" s="29" t="str">
        <f t="shared" si="2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23"/>
        <v/>
      </c>
      <c r="L129" s="19" t="str">
        <f t="shared" si="24"/>
        <v/>
      </c>
      <c r="M129" s="19" t="str">
        <f t="shared" si="22"/>
        <v/>
      </c>
      <c r="N129" s="19" t="str">
        <f t="shared" si="25"/>
        <v/>
      </c>
      <c r="O129" s="19" t="str">
        <f t="shared" si="18"/>
        <v/>
      </c>
      <c r="P129" s="19" t="str">
        <f t="shared" si="19"/>
        <v/>
      </c>
      <c r="Q129" s="19" t="str">
        <f t="shared" si="20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23"/>
        <v/>
      </c>
      <c r="L130" s="19" t="str">
        <f t="shared" si="24"/>
        <v/>
      </c>
      <c r="M130" s="19" t="str">
        <f t="shared" si="22"/>
        <v/>
      </c>
      <c r="N130" s="19" t="str">
        <f t="shared" si="25"/>
        <v/>
      </c>
      <c r="O130" s="19" t="str">
        <f t="shared" si="18"/>
        <v/>
      </c>
      <c r="P130" s="19" t="str">
        <f t="shared" si="19"/>
        <v/>
      </c>
      <c r="Q130" s="19" t="str">
        <f t="shared" si="20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23"/>
        <v/>
      </c>
      <c r="L131" s="19" t="str">
        <f t="shared" si="24"/>
        <v/>
      </c>
      <c r="M131" s="19" t="str">
        <f t="shared" si="22"/>
        <v/>
      </c>
      <c r="N131" s="19" t="str">
        <f t="shared" si="25"/>
        <v/>
      </c>
      <c r="O131" s="19" t="str">
        <f t="shared" si="18"/>
        <v/>
      </c>
      <c r="P131" s="19" t="str">
        <f t="shared" si="19"/>
        <v/>
      </c>
      <c r="Q131" s="19" t="str">
        <f t="shared" si="20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23"/>
        <v/>
      </c>
      <c r="L132" s="19" t="str">
        <f t="shared" si="24"/>
        <v/>
      </c>
      <c r="M132" s="19" t="str">
        <f t="shared" si="22"/>
        <v/>
      </c>
      <c r="N132" s="19" t="str">
        <f t="shared" si="25"/>
        <v/>
      </c>
      <c r="O132" s="19" t="str">
        <f t="shared" si="18"/>
        <v/>
      </c>
      <c r="P132" s="19" t="str">
        <f t="shared" si="19"/>
        <v/>
      </c>
      <c r="Q132" s="19" t="str">
        <f t="shared" si="20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23"/>
        <v/>
      </c>
      <c r="L133" s="19" t="str">
        <f t="shared" si="24"/>
        <v/>
      </c>
      <c r="M133" s="19" t="str">
        <f t="shared" si="22"/>
        <v/>
      </c>
      <c r="N133" s="19" t="str">
        <f t="shared" si="25"/>
        <v/>
      </c>
      <c r="O133" s="19" t="str">
        <f t="shared" si="18"/>
        <v/>
      </c>
      <c r="P133" s="19" t="str">
        <f t="shared" si="19"/>
        <v/>
      </c>
      <c r="Q133" s="19" t="str">
        <f t="shared" si="20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23"/>
        <v/>
      </c>
      <c r="L134" s="19" t="str">
        <f t="shared" si="24"/>
        <v/>
      </c>
      <c r="M134" s="19" t="str">
        <f t="shared" si="22"/>
        <v/>
      </c>
      <c r="N134" s="19" t="str">
        <f t="shared" si="25"/>
        <v/>
      </c>
      <c r="O134" s="19" t="str">
        <f t="shared" si="18"/>
        <v/>
      </c>
      <c r="P134" s="19" t="str">
        <f t="shared" si="19"/>
        <v/>
      </c>
      <c r="Q134" s="19" t="str">
        <f t="shared" si="20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23"/>
        <v/>
      </c>
      <c r="L135" s="19" t="str">
        <f t="shared" si="24"/>
        <v/>
      </c>
      <c r="M135" s="19" t="str">
        <f t="shared" si="22"/>
        <v/>
      </c>
      <c r="N135" s="19" t="str">
        <f t="shared" si="25"/>
        <v/>
      </c>
      <c r="O135" s="19" t="str">
        <f t="shared" si="18"/>
        <v/>
      </c>
      <c r="P135" s="19" t="str">
        <f t="shared" si="19"/>
        <v/>
      </c>
      <c r="Q135" s="19" t="str">
        <f t="shared" si="20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23"/>
        <v/>
      </c>
      <c r="L136" s="19" t="str">
        <f t="shared" si="24"/>
        <v/>
      </c>
      <c r="M136" s="19" t="str">
        <f t="shared" si="22"/>
        <v/>
      </c>
      <c r="N136" s="19" t="str">
        <f t="shared" si="25"/>
        <v/>
      </c>
      <c r="O136" s="19" t="str">
        <f t="shared" si="18"/>
        <v/>
      </c>
      <c r="P136" s="19" t="str">
        <f t="shared" si="19"/>
        <v/>
      </c>
      <c r="Q136" s="19" t="str">
        <f t="shared" si="20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23"/>
        <v/>
      </c>
      <c r="L137" s="19" t="str">
        <f t="shared" si="24"/>
        <v/>
      </c>
      <c r="M137" s="19" t="str">
        <f t="shared" si="22"/>
        <v/>
      </c>
      <c r="N137" s="19" t="str">
        <f t="shared" si="25"/>
        <v/>
      </c>
      <c r="O137" s="19" t="str">
        <f t="shared" si="18"/>
        <v/>
      </c>
      <c r="P137" s="19" t="str">
        <f t="shared" si="19"/>
        <v/>
      </c>
      <c r="Q137" s="19" t="str">
        <f t="shared" si="20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23"/>
        <v/>
      </c>
      <c r="L138" s="19" t="str">
        <f t="shared" si="24"/>
        <v/>
      </c>
      <c r="M138" s="19" t="str">
        <f t="shared" si="22"/>
        <v/>
      </c>
      <c r="N138" s="19" t="str">
        <f t="shared" si="25"/>
        <v/>
      </c>
      <c r="O138" s="19" t="str">
        <f t="shared" si="18"/>
        <v/>
      </c>
      <c r="P138" s="19" t="str">
        <f t="shared" si="19"/>
        <v/>
      </c>
      <c r="Q138" s="19" t="str">
        <f t="shared" si="20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23"/>
        <v/>
      </c>
      <c r="L139" s="19" t="str">
        <f t="shared" si="24"/>
        <v/>
      </c>
      <c r="M139" s="19" t="str">
        <f t="shared" si="22"/>
        <v/>
      </c>
      <c r="N139" s="19" t="str">
        <f t="shared" si="25"/>
        <v/>
      </c>
      <c r="O139" s="19" t="str">
        <f t="shared" si="18"/>
        <v/>
      </c>
      <c r="P139" s="19" t="str">
        <f t="shared" si="19"/>
        <v/>
      </c>
      <c r="Q139" s="19" t="str">
        <f t="shared" si="20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23"/>
        <v/>
      </c>
      <c r="L140" s="19" t="str">
        <f t="shared" si="24"/>
        <v/>
      </c>
      <c r="M140" s="19" t="str">
        <f t="shared" si="22"/>
        <v/>
      </c>
      <c r="N140" s="19" t="str">
        <f t="shared" si="25"/>
        <v/>
      </c>
      <c r="O140" s="19" t="str">
        <f t="shared" si="18"/>
        <v/>
      </c>
      <c r="P140" s="19" t="str">
        <f t="shared" si="19"/>
        <v/>
      </c>
      <c r="Q140" s="19" t="str">
        <f t="shared" si="20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23"/>
        <v/>
      </c>
      <c r="L141" s="19" t="str">
        <f t="shared" si="24"/>
        <v/>
      </c>
      <c r="M141" s="19" t="str">
        <f t="shared" si="22"/>
        <v/>
      </c>
      <c r="N141" s="19" t="str">
        <f t="shared" si="25"/>
        <v/>
      </c>
      <c r="O141" s="19" t="str">
        <f t="shared" si="18"/>
        <v/>
      </c>
      <c r="P141" s="19" t="str">
        <f t="shared" si="19"/>
        <v/>
      </c>
      <c r="Q141" s="19" t="str">
        <f t="shared" si="20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23"/>
        <v/>
      </c>
      <c r="L142" s="19" t="str">
        <f t="shared" si="24"/>
        <v/>
      </c>
      <c r="M142" s="19" t="str">
        <f t="shared" si="22"/>
        <v/>
      </c>
      <c r="N142" s="19" t="str">
        <f t="shared" si="25"/>
        <v/>
      </c>
      <c r="O142" s="19" t="str">
        <f t="shared" si="18"/>
        <v/>
      </c>
      <c r="P142" s="19" t="str">
        <f t="shared" si="19"/>
        <v/>
      </c>
      <c r="Q142" s="19" t="str">
        <f t="shared" si="20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23"/>
        <v/>
      </c>
      <c r="L143" s="19" t="str">
        <f t="shared" si="24"/>
        <v/>
      </c>
      <c r="M143" s="19" t="str">
        <f t="shared" si="22"/>
        <v/>
      </c>
      <c r="N143" s="19" t="str">
        <f t="shared" si="25"/>
        <v/>
      </c>
      <c r="O143" s="19" t="str">
        <f t="shared" si="18"/>
        <v/>
      </c>
      <c r="P143" s="19" t="str">
        <f t="shared" si="19"/>
        <v/>
      </c>
      <c r="Q143" s="19" t="str">
        <f t="shared" si="20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23"/>
        <v/>
      </c>
      <c r="L144" s="19" t="str">
        <f t="shared" ref="L144:L153" si="29">IF(ISBLANK(C144),"",(C144-C$16)*1000)</f>
        <v/>
      </c>
      <c r="M144" s="19" t="str">
        <f t="shared" si="22"/>
        <v/>
      </c>
      <c r="N144" s="19" t="str">
        <f t="shared" ref="N144:N153" si="30">IF(ISBLANK(E144),"",(E144-E$16)*1000)</f>
        <v/>
      </c>
      <c r="O144" s="19" t="str">
        <f t="shared" si="18"/>
        <v/>
      </c>
      <c r="P144" s="19" t="str">
        <f t="shared" si="19"/>
        <v/>
      </c>
      <c r="Q144" s="19" t="str">
        <f t="shared" si="20"/>
        <v/>
      </c>
      <c r="R144" s="19" t="str">
        <f t="shared" ref="R144:R153" si="31">IF(ISBLANK(I144),"",(I144-I$16)*1000)</f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23"/>
        <v/>
      </c>
      <c r="L145" s="19" t="str">
        <f t="shared" si="29"/>
        <v/>
      </c>
      <c r="M145" s="19" t="str">
        <f t="shared" si="22"/>
        <v/>
      </c>
      <c r="N145" s="19" t="str">
        <f t="shared" si="30"/>
        <v/>
      </c>
      <c r="O145" s="19" t="str">
        <f t="shared" si="18"/>
        <v/>
      </c>
      <c r="P145" s="19" t="str">
        <f t="shared" si="19"/>
        <v/>
      </c>
      <c r="Q145" s="19" t="str">
        <f t="shared" si="20"/>
        <v/>
      </c>
      <c r="R145" s="19" t="str">
        <f t="shared" si="31"/>
        <v/>
      </c>
      <c r="S145" s="27" t="str">
        <f t="shared" ref="S145:X153" si="32">IF(C145="","",((C145-C144)*1000)/($B145-$B144))</f>
        <v/>
      </c>
      <c r="T145" s="28" t="str">
        <f t="shared" si="32"/>
        <v/>
      </c>
      <c r="U145" s="28" t="str">
        <f t="shared" si="32"/>
        <v/>
      </c>
      <c r="V145" s="28" t="str">
        <f t="shared" si="32"/>
        <v/>
      </c>
      <c r="W145" s="28" t="str">
        <f t="shared" si="32"/>
        <v/>
      </c>
      <c r="X145" s="29" t="str">
        <f t="shared" si="32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23"/>
        <v/>
      </c>
      <c r="L146" s="19" t="str">
        <f t="shared" si="29"/>
        <v/>
      </c>
      <c r="M146" s="19" t="str">
        <f t="shared" si="22"/>
        <v/>
      </c>
      <c r="N146" s="19" t="str">
        <f t="shared" si="30"/>
        <v/>
      </c>
      <c r="O146" s="19" t="str">
        <f t="shared" si="18"/>
        <v/>
      </c>
      <c r="P146" s="19" t="str">
        <f t="shared" si="19"/>
        <v/>
      </c>
      <c r="Q146" s="19" t="str">
        <f t="shared" si="20"/>
        <v/>
      </c>
      <c r="R146" s="19" t="str">
        <f t="shared" si="31"/>
        <v/>
      </c>
      <c r="S146" s="27" t="str">
        <f t="shared" si="32"/>
        <v/>
      </c>
      <c r="T146" s="28" t="str">
        <f t="shared" si="32"/>
        <v/>
      </c>
      <c r="U146" s="28" t="str">
        <f t="shared" si="32"/>
        <v/>
      </c>
      <c r="V146" s="28" t="str">
        <f t="shared" si="32"/>
        <v/>
      </c>
      <c r="W146" s="28" t="str">
        <f t="shared" si="32"/>
        <v/>
      </c>
      <c r="X146" s="29" t="str">
        <f t="shared" si="32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23"/>
        <v/>
      </c>
      <c r="L147" s="19" t="str">
        <f t="shared" si="29"/>
        <v/>
      </c>
      <c r="M147" s="19" t="str">
        <f t="shared" si="22"/>
        <v/>
      </c>
      <c r="N147" s="19" t="str">
        <f t="shared" si="30"/>
        <v/>
      </c>
      <c r="O147" s="19" t="str">
        <f t="shared" si="18"/>
        <v/>
      </c>
      <c r="P147" s="19" t="str">
        <f t="shared" si="19"/>
        <v/>
      </c>
      <c r="Q147" s="19" t="str">
        <f t="shared" si="20"/>
        <v/>
      </c>
      <c r="R147" s="19" t="str">
        <f t="shared" si="31"/>
        <v/>
      </c>
      <c r="S147" s="27" t="str">
        <f t="shared" si="32"/>
        <v/>
      </c>
      <c r="T147" s="28" t="str">
        <f t="shared" si="32"/>
        <v/>
      </c>
      <c r="U147" s="28" t="str">
        <f t="shared" si="32"/>
        <v/>
      </c>
      <c r="V147" s="28" t="str">
        <f t="shared" si="32"/>
        <v/>
      </c>
      <c r="W147" s="28" t="str">
        <f t="shared" si="32"/>
        <v/>
      </c>
      <c r="X147" s="29" t="str">
        <f t="shared" si="32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23"/>
        <v/>
      </c>
      <c r="L148" s="19" t="str">
        <f t="shared" si="29"/>
        <v/>
      </c>
      <c r="M148" s="19" t="str">
        <f t="shared" si="22"/>
        <v/>
      </c>
      <c r="N148" s="19" t="str">
        <f t="shared" si="30"/>
        <v/>
      </c>
      <c r="O148" s="19" t="str">
        <f t="shared" si="18"/>
        <v/>
      </c>
      <c r="P148" s="19" t="str">
        <f t="shared" si="19"/>
        <v/>
      </c>
      <c r="Q148" s="19" t="str">
        <f t="shared" si="20"/>
        <v/>
      </c>
      <c r="R148" s="19" t="str">
        <f t="shared" si="31"/>
        <v/>
      </c>
      <c r="S148" s="27" t="str">
        <f t="shared" si="32"/>
        <v/>
      </c>
      <c r="T148" s="28" t="str">
        <f t="shared" si="32"/>
        <v/>
      </c>
      <c r="U148" s="28" t="str">
        <f t="shared" si="32"/>
        <v/>
      </c>
      <c r="V148" s="28" t="str">
        <f t="shared" si="32"/>
        <v/>
      </c>
      <c r="W148" s="28" t="str">
        <f t="shared" si="32"/>
        <v/>
      </c>
      <c r="X148" s="29" t="str">
        <f t="shared" si="32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23"/>
        <v/>
      </c>
      <c r="L149" s="19" t="str">
        <f t="shared" si="29"/>
        <v/>
      </c>
      <c r="M149" s="19" t="str">
        <f t="shared" si="22"/>
        <v/>
      </c>
      <c r="N149" s="19" t="str">
        <f t="shared" si="30"/>
        <v/>
      </c>
      <c r="O149" s="19" t="str">
        <f t="shared" si="18"/>
        <v/>
      </c>
      <c r="P149" s="19" t="str">
        <f t="shared" si="19"/>
        <v/>
      </c>
      <c r="Q149" s="19" t="str">
        <f t="shared" si="20"/>
        <v/>
      </c>
      <c r="R149" s="19" t="str">
        <f t="shared" si="31"/>
        <v/>
      </c>
      <c r="S149" s="27" t="str">
        <f t="shared" si="32"/>
        <v/>
      </c>
      <c r="T149" s="28" t="str">
        <f t="shared" si="32"/>
        <v/>
      </c>
      <c r="U149" s="28" t="str">
        <f t="shared" si="32"/>
        <v/>
      </c>
      <c r="V149" s="28" t="str">
        <f t="shared" si="32"/>
        <v/>
      </c>
      <c r="W149" s="28" t="str">
        <f t="shared" si="32"/>
        <v/>
      </c>
      <c r="X149" s="29" t="str">
        <f t="shared" si="32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23"/>
        <v/>
      </c>
      <c r="L150" s="19" t="str">
        <f t="shared" si="29"/>
        <v/>
      </c>
      <c r="M150" s="19" t="str">
        <f t="shared" si="22"/>
        <v/>
      </c>
      <c r="N150" s="19" t="str">
        <f t="shared" si="30"/>
        <v/>
      </c>
      <c r="O150" s="19" t="str">
        <f t="shared" si="18"/>
        <v/>
      </c>
      <c r="P150" s="19" t="str">
        <f t="shared" si="19"/>
        <v/>
      </c>
      <c r="Q150" s="19" t="str">
        <f t="shared" si="20"/>
        <v/>
      </c>
      <c r="R150" s="19" t="str">
        <f t="shared" si="31"/>
        <v/>
      </c>
      <c r="S150" s="27" t="str">
        <f t="shared" si="32"/>
        <v/>
      </c>
      <c r="T150" s="28" t="str">
        <f t="shared" si="32"/>
        <v/>
      </c>
      <c r="U150" s="28" t="str">
        <f t="shared" si="32"/>
        <v/>
      </c>
      <c r="V150" s="28" t="str">
        <f t="shared" si="32"/>
        <v/>
      </c>
      <c r="W150" s="28" t="str">
        <f t="shared" si="32"/>
        <v/>
      </c>
      <c r="X150" s="29" t="str">
        <f t="shared" si="32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23"/>
        <v/>
      </c>
      <c r="L151" s="19" t="str">
        <f t="shared" si="29"/>
        <v/>
      </c>
      <c r="M151" s="19" t="str">
        <f t="shared" si="22"/>
        <v/>
      </c>
      <c r="N151" s="19" t="str">
        <f t="shared" si="30"/>
        <v/>
      </c>
      <c r="O151" s="19" t="str">
        <f t="shared" si="18"/>
        <v/>
      </c>
      <c r="P151" s="19" t="str">
        <f t="shared" si="19"/>
        <v/>
      </c>
      <c r="Q151" s="19" t="str">
        <f t="shared" si="20"/>
        <v/>
      </c>
      <c r="R151" s="19" t="str">
        <f t="shared" si="31"/>
        <v/>
      </c>
      <c r="S151" s="27" t="str">
        <f t="shared" si="32"/>
        <v/>
      </c>
      <c r="T151" s="28" t="str">
        <f t="shared" si="32"/>
        <v/>
      </c>
      <c r="U151" s="28" t="str">
        <f t="shared" si="32"/>
        <v/>
      </c>
      <c r="V151" s="28" t="str">
        <f t="shared" si="32"/>
        <v/>
      </c>
      <c r="W151" s="28" t="str">
        <f t="shared" si="32"/>
        <v/>
      </c>
      <c r="X151" s="29" t="str">
        <f t="shared" si="32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23"/>
        <v/>
      </c>
      <c r="L152" s="19" t="str">
        <f t="shared" si="29"/>
        <v/>
      </c>
      <c r="M152" s="19" t="str">
        <f t="shared" si="22"/>
        <v/>
      </c>
      <c r="N152" s="19" t="str">
        <f t="shared" si="30"/>
        <v/>
      </c>
      <c r="O152" s="19" t="str">
        <f t="shared" si="18"/>
        <v/>
      </c>
      <c r="P152" s="19" t="str">
        <f t="shared" si="19"/>
        <v/>
      </c>
      <c r="Q152" s="19" t="str">
        <f t="shared" si="20"/>
        <v/>
      </c>
      <c r="R152" s="19" t="str">
        <f t="shared" si="31"/>
        <v/>
      </c>
      <c r="S152" s="27" t="str">
        <f t="shared" si="32"/>
        <v/>
      </c>
      <c r="T152" s="28" t="str">
        <f t="shared" si="32"/>
        <v/>
      </c>
      <c r="U152" s="28" t="str">
        <f t="shared" si="32"/>
        <v/>
      </c>
      <c r="V152" s="28" t="str">
        <f t="shared" si="32"/>
        <v/>
      </c>
      <c r="W152" s="28" t="str">
        <f t="shared" si="32"/>
        <v/>
      </c>
      <c r="X152" s="29" t="str">
        <f t="shared" si="32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23"/>
        <v/>
      </c>
      <c r="L153" s="19" t="str">
        <f t="shared" si="29"/>
        <v/>
      </c>
      <c r="M153" s="19" t="str">
        <f t="shared" si="22"/>
        <v/>
      </c>
      <c r="N153" s="19" t="str">
        <f t="shared" si="30"/>
        <v/>
      </c>
      <c r="O153" s="19" t="str">
        <f t="shared" si="18"/>
        <v/>
      </c>
      <c r="P153" s="19" t="str">
        <f t="shared" si="19"/>
        <v/>
      </c>
      <c r="Q153" s="19" t="str">
        <f t="shared" si="20"/>
        <v/>
      </c>
      <c r="R153" s="19" t="str">
        <f t="shared" si="31"/>
        <v/>
      </c>
      <c r="S153" s="27" t="str">
        <f t="shared" si="32"/>
        <v/>
      </c>
      <c r="T153" s="28" t="str">
        <f t="shared" si="32"/>
        <v/>
      </c>
      <c r="U153" s="28" t="str">
        <f t="shared" si="32"/>
        <v/>
      </c>
      <c r="V153" s="28" t="str">
        <f t="shared" si="32"/>
        <v/>
      </c>
      <c r="W153" s="28" t="str">
        <f t="shared" si="32"/>
        <v/>
      </c>
      <c r="X153" s="29" t="str">
        <f t="shared" si="32"/>
        <v/>
      </c>
      <c r="Y153" s="24"/>
    </row>
  </sheetData>
  <sheetProtection selectLockedCells="1"/>
  <mergeCells count="38">
    <mergeCell ref="A1:J1"/>
    <mergeCell ref="E2:Q2"/>
    <mergeCell ref="R2:X4"/>
    <mergeCell ref="Y2:Y4"/>
    <mergeCell ref="E3:Q3"/>
    <mergeCell ref="E4:Q4"/>
    <mergeCell ref="B10:J12"/>
    <mergeCell ref="K10:S12"/>
    <mergeCell ref="T10:Y12"/>
    <mergeCell ref="B9:O9"/>
    <mergeCell ref="P9:Y9"/>
    <mergeCell ref="J5:Q5"/>
    <mergeCell ref="R5:V5"/>
    <mergeCell ref="E6:I6"/>
    <mergeCell ref="J6:Q6"/>
    <mergeCell ref="AA9:AI9"/>
    <mergeCell ref="R6:V6"/>
    <mergeCell ref="W6:Y6"/>
    <mergeCell ref="E7:I7"/>
    <mergeCell ref="J7:Q7"/>
    <mergeCell ref="R7:V7"/>
    <mergeCell ref="W7:Y7"/>
    <mergeCell ref="J14:K14"/>
    <mergeCell ref="W5:Y5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E8:I8"/>
    <mergeCell ref="J8:Q8"/>
    <mergeCell ref="R8:V8"/>
    <mergeCell ref="B5:D8"/>
    <mergeCell ref="E5:I5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32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TZ-30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/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/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/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/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800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/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41785</v>
      </c>
      <c r="C16" s="35">
        <v>13.331</v>
      </c>
      <c r="D16" s="36">
        <v>7.1840000000000002</v>
      </c>
      <c r="E16" s="36">
        <v>9.3170000000000002</v>
      </c>
      <c r="F16" s="37"/>
      <c r="G16" s="37"/>
      <c r="H16" s="37"/>
      <c r="I16" s="41">
        <v>104.676</v>
      </c>
      <c r="J16" s="68">
        <v>813</v>
      </c>
      <c r="K16" s="55">
        <f>IF(ISBLANK(J16),"",(J16-$J$8))</f>
        <v>13</v>
      </c>
      <c r="L16" s="19">
        <f t="shared" ref="L16:L25" si="0">IF(ISBLANK(C16),"",(C16-C$16)*1000)</f>
        <v>0</v>
      </c>
      <c r="M16" s="19">
        <f t="shared" ref="M16:M25" si="1">IF(ISBLANK(D16),"",(D16-D$16)*1000)</f>
        <v>0</v>
      </c>
      <c r="N16" s="19">
        <f t="shared" ref="N16:N25" si="2">IF(ISBLANK(E16),"",(E16-E$16)*1000)</f>
        <v>0</v>
      </c>
      <c r="O16" s="20"/>
      <c r="P16" s="20"/>
      <c r="Q16" s="20"/>
      <c r="R16" s="21">
        <f t="shared" ref="R16:R79" si="3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41786</v>
      </c>
      <c r="C17" s="25">
        <v>13.329000000000001</v>
      </c>
      <c r="D17" s="26">
        <v>7.1829999999999998</v>
      </c>
      <c r="E17" s="26">
        <v>9.3160000000000007</v>
      </c>
      <c r="F17" s="16"/>
      <c r="G17" s="16"/>
      <c r="H17" s="16"/>
      <c r="I17" s="17">
        <v>104.676</v>
      </c>
      <c r="J17" s="58">
        <v>821</v>
      </c>
      <c r="K17" s="18">
        <f t="shared" ref="K17:K22" si="4">IF(ISBLANK(J17),"",(J17-$J$8))</f>
        <v>21</v>
      </c>
      <c r="L17" s="19">
        <f t="shared" si="0"/>
        <v>-1.9999999999988916</v>
      </c>
      <c r="M17" s="19">
        <f t="shared" si="1"/>
        <v>-1.000000000000334</v>
      </c>
      <c r="N17" s="19">
        <f t="shared" si="2"/>
        <v>-0.99999999999944578</v>
      </c>
      <c r="O17" s="19" t="str">
        <f t="shared" ref="O17:O25" si="5">IF(ISBLANK(F17),"",(F17-F$16)*1000)</f>
        <v/>
      </c>
      <c r="P17" s="19" t="str">
        <f t="shared" ref="P17:P25" si="6">IF(ISBLANK(G17),"",(G17-G$16)*1000)</f>
        <v/>
      </c>
      <c r="Q17" s="19" t="str">
        <f t="shared" ref="Q17:Q25" si="7">IF(ISBLANK(H17),"",(H17-H$16)*1000)</f>
        <v/>
      </c>
      <c r="R17" s="19">
        <f t="shared" si="3"/>
        <v>0</v>
      </c>
      <c r="S17" s="27">
        <f t="shared" ref="S17:X32" si="8">IF(C17="","",((C17-C16)*1000)/($B17-$B16))</f>
        <v>-1.9999999999988916</v>
      </c>
      <c r="T17" s="28">
        <f t="shared" si="8"/>
        <v>-1.000000000000334</v>
      </c>
      <c r="U17" s="28">
        <f t="shared" si="8"/>
        <v>-0.99999999999944578</v>
      </c>
      <c r="V17" s="28" t="str">
        <f t="shared" si="8"/>
        <v/>
      </c>
      <c r="W17" s="28" t="str">
        <f t="shared" si="8"/>
        <v/>
      </c>
      <c r="X17" s="29" t="str">
        <f t="shared" si="8"/>
        <v/>
      </c>
      <c r="Y17" s="24"/>
    </row>
    <row r="18" spans="2:25" ht="15" customHeight="1" x14ac:dyDescent="0.2">
      <c r="B18" s="31">
        <v>41787</v>
      </c>
      <c r="C18" s="25">
        <v>13.327999999999999</v>
      </c>
      <c r="D18" s="26">
        <v>7.1840000000000002</v>
      </c>
      <c r="E18" s="26">
        <v>9.3160000000000007</v>
      </c>
      <c r="F18" s="16"/>
      <c r="G18" s="16"/>
      <c r="H18" s="16"/>
      <c r="I18" s="17">
        <v>104.675</v>
      </c>
      <c r="J18" s="58">
        <v>837</v>
      </c>
      <c r="K18" s="18">
        <f t="shared" si="4"/>
        <v>37</v>
      </c>
      <c r="L18" s="19">
        <f t="shared" si="0"/>
        <v>-3.0000000000001137</v>
      </c>
      <c r="M18" s="19">
        <f t="shared" si="1"/>
        <v>0</v>
      </c>
      <c r="N18" s="19">
        <f t="shared" si="2"/>
        <v>-0.99999999999944578</v>
      </c>
      <c r="O18" s="19" t="str">
        <f t="shared" si="5"/>
        <v/>
      </c>
      <c r="P18" s="19" t="str">
        <f t="shared" si="6"/>
        <v/>
      </c>
      <c r="Q18" s="19" t="str">
        <f t="shared" si="7"/>
        <v/>
      </c>
      <c r="R18" s="19">
        <f t="shared" si="3"/>
        <v>-1.0000000000047748</v>
      </c>
      <c r="S18" s="27">
        <f t="shared" si="8"/>
        <v>-1.0000000000012221</v>
      </c>
      <c r="T18" s="28">
        <f t="shared" si="8"/>
        <v>1.000000000000334</v>
      </c>
      <c r="U18" s="28">
        <f t="shared" si="8"/>
        <v>0</v>
      </c>
      <c r="V18" s="28" t="str">
        <f t="shared" si="8"/>
        <v/>
      </c>
      <c r="W18" s="28" t="str">
        <f t="shared" si="8"/>
        <v/>
      </c>
      <c r="X18" s="29" t="str">
        <f t="shared" si="8"/>
        <v/>
      </c>
      <c r="Y18" s="24"/>
    </row>
    <row r="19" spans="2:25" ht="15" customHeight="1" x14ac:dyDescent="0.2">
      <c r="B19" s="31">
        <v>41788</v>
      </c>
      <c r="C19" s="25">
        <v>13.33</v>
      </c>
      <c r="D19" s="26">
        <v>7.1829999999999998</v>
      </c>
      <c r="E19" s="26">
        <v>9.3160000000000007</v>
      </c>
      <c r="F19" s="16"/>
      <c r="G19" s="16"/>
      <c r="H19" s="16"/>
      <c r="I19" s="17">
        <v>104.675</v>
      </c>
      <c r="J19" s="58">
        <v>844</v>
      </c>
      <c r="K19" s="18">
        <f t="shared" si="4"/>
        <v>44</v>
      </c>
      <c r="L19" s="19">
        <f t="shared" si="0"/>
        <v>-0.99999999999944578</v>
      </c>
      <c r="M19" s="19">
        <f t="shared" si="1"/>
        <v>-1.000000000000334</v>
      </c>
      <c r="N19" s="19">
        <f t="shared" si="2"/>
        <v>-0.99999999999944578</v>
      </c>
      <c r="O19" s="19" t="str">
        <f t="shared" si="5"/>
        <v/>
      </c>
      <c r="P19" s="19" t="str">
        <f t="shared" si="6"/>
        <v/>
      </c>
      <c r="Q19" s="19" t="str">
        <f t="shared" si="7"/>
        <v/>
      </c>
      <c r="R19" s="19">
        <f t="shared" si="3"/>
        <v>-1.0000000000047748</v>
      </c>
      <c r="S19" s="27">
        <f t="shared" si="8"/>
        <v>2.0000000000006679</v>
      </c>
      <c r="T19" s="28">
        <f t="shared" si="8"/>
        <v>-1.000000000000334</v>
      </c>
      <c r="U19" s="28">
        <f t="shared" si="8"/>
        <v>0</v>
      </c>
      <c r="V19" s="28" t="str">
        <f t="shared" si="8"/>
        <v/>
      </c>
      <c r="W19" s="28" t="str">
        <f t="shared" si="8"/>
        <v/>
      </c>
      <c r="X19" s="29" t="str">
        <f t="shared" si="8"/>
        <v/>
      </c>
      <c r="Y19" s="24"/>
    </row>
    <row r="20" spans="2:25" ht="15" customHeight="1" x14ac:dyDescent="0.2">
      <c r="B20" s="31">
        <v>41789</v>
      </c>
      <c r="C20" s="25">
        <v>13.33</v>
      </c>
      <c r="D20" s="26">
        <v>7.1829999999999998</v>
      </c>
      <c r="E20" s="26">
        <v>9.3160000000000007</v>
      </c>
      <c r="F20" s="16"/>
      <c r="G20" s="16"/>
      <c r="H20" s="16"/>
      <c r="I20" s="17">
        <v>104.675</v>
      </c>
      <c r="J20" s="58">
        <v>851</v>
      </c>
      <c r="K20" s="18">
        <f t="shared" si="4"/>
        <v>51</v>
      </c>
      <c r="L20" s="19">
        <f t="shared" si="0"/>
        <v>-0.99999999999944578</v>
      </c>
      <c r="M20" s="19">
        <f t="shared" si="1"/>
        <v>-1.000000000000334</v>
      </c>
      <c r="N20" s="19">
        <f t="shared" si="2"/>
        <v>-0.99999999999944578</v>
      </c>
      <c r="O20" s="19" t="str">
        <f t="shared" si="5"/>
        <v/>
      </c>
      <c r="P20" s="19" t="str">
        <f t="shared" si="6"/>
        <v/>
      </c>
      <c r="Q20" s="19" t="str">
        <f t="shared" si="7"/>
        <v/>
      </c>
      <c r="R20" s="19">
        <f t="shared" si="3"/>
        <v>-1.0000000000047748</v>
      </c>
      <c r="S20" s="27">
        <f t="shared" si="8"/>
        <v>0</v>
      </c>
      <c r="T20" s="28">
        <f t="shared" si="8"/>
        <v>0</v>
      </c>
      <c r="U20" s="28">
        <f t="shared" si="8"/>
        <v>0</v>
      </c>
      <c r="V20" s="28" t="str">
        <f t="shared" si="8"/>
        <v/>
      </c>
      <c r="W20" s="28" t="str">
        <f t="shared" si="8"/>
        <v/>
      </c>
      <c r="X20" s="29" t="str">
        <f t="shared" si="8"/>
        <v/>
      </c>
      <c r="Y20" s="24"/>
    </row>
    <row r="21" spans="2:25" ht="15" customHeight="1" x14ac:dyDescent="0.2">
      <c r="B21" s="31">
        <v>41792</v>
      </c>
      <c r="C21" s="25">
        <v>13.329000000000001</v>
      </c>
      <c r="D21" s="26">
        <v>7.1820000000000004</v>
      </c>
      <c r="E21" s="26">
        <v>9.3170000000000002</v>
      </c>
      <c r="F21" s="16"/>
      <c r="G21" s="16"/>
      <c r="H21" s="16"/>
      <c r="I21" s="17">
        <v>104.67400000000001</v>
      </c>
      <c r="J21" s="58">
        <v>865</v>
      </c>
      <c r="K21" s="18">
        <f t="shared" si="4"/>
        <v>65</v>
      </c>
      <c r="L21" s="19">
        <f t="shared" si="0"/>
        <v>-1.9999999999988916</v>
      </c>
      <c r="M21" s="19">
        <f t="shared" si="1"/>
        <v>-1.9999999999997797</v>
      </c>
      <c r="N21" s="19">
        <f t="shared" si="2"/>
        <v>0</v>
      </c>
      <c r="O21" s="19" t="str">
        <f t="shared" si="5"/>
        <v/>
      </c>
      <c r="P21" s="19" t="str">
        <f t="shared" si="6"/>
        <v/>
      </c>
      <c r="Q21" s="19" t="str">
        <f t="shared" si="7"/>
        <v/>
      </c>
      <c r="R21" s="19">
        <f t="shared" si="3"/>
        <v>-1.9999999999953388</v>
      </c>
      <c r="S21" s="27">
        <f t="shared" si="8"/>
        <v>-0.33333333333314857</v>
      </c>
      <c r="T21" s="28">
        <f t="shared" si="8"/>
        <v>-0.33333333333314857</v>
      </c>
      <c r="U21" s="28">
        <f t="shared" si="8"/>
        <v>0.33333333333314857</v>
      </c>
      <c r="V21" s="28" t="str">
        <f t="shared" si="8"/>
        <v/>
      </c>
      <c r="W21" s="28" t="str">
        <f t="shared" si="8"/>
        <v/>
      </c>
      <c r="X21" s="29" t="str">
        <f t="shared" si="8"/>
        <v/>
      </c>
      <c r="Y21" s="24"/>
    </row>
    <row r="22" spans="2:25" ht="15" customHeight="1" x14ac:dyDescent="0.2">
      <c r="B22" s="31">
        <v>41793</v>
      </c>
      <c r="C22" s="25">
        <v>13.329000000000001</v>
      </c>
      <c r="D22" s="26">
        <v>7.1829999999999998</v>
      </c>
      <c r="E22" s="26">
        <v>9.3170000000000002</v>
      </c>
      <c r="F22" s="16"/>
      <c r="G22" s="16"/>
      <c r="H22" s="16"/>
      <c r="I22" s="17">
        <v>104.67400000000001</v>
      </c>
      <c r="J22" s="58">
        <v>874</v>
      </c>
      <c r="K22" s="18">
        <f t="shared" si="4"/>
        <v>74</v>
      </c>
      <c r="L22" s="19">
        <f t="shared" si="0"/>
        <v>-1.9999999999988916</v>
      </c>
      <c r="M22" s="19">
        <f t="shared" si="1"/>
        <v>-1.000000000000334</v>
      </c>
      <c r="N22" s="19">
        <f t="shared" si="2"/>
        <v>0</v>
      </c>
      <c r="O22" s="19" t="str">
        <f t="shared" si="5"/>
        <v/>
      </c>
      <c r="P22" s="19" t="str">
        <f t="shared" si="6"/>
        <v/>
      </c>
      <c r="Q22" s="19" t="str">
        <f t="shared" si="7"/>
        <v/>
      </c>
      <c r="R22" s="19">
        <f t="shared" si="3"/>
        <v>-1.9999999999953388</v>
      </c>
      <c r="S22" s="27">
        <f t="shared" si="8"/>
        <v>0</v>
      </c>
      <c r="T22" s="28">
        <f t="shared" si="8"/>
        <v>0.99999999999944578</v>
      </c>
      <c r="U22" s="28">
        <f t="shared" si="8"/>
        <v>0</v>
      </c>
      <c r="V22" s="28" t="str">
        <f t="shared" si="8"/>
        <v/>
      </c>
      <c r="W22" s="28" t="str">
        <f t="shared" si="8"/>
        <v/>
      </c>
      <c r="X22" s="29" t="str">
        <f t="shared" si="8"/>
        <v/>
      </c>
      <c r="Y22" s="24"/>
    </row>
    <row r="23" spans="2:25" ht="15" customHeight="1" x14ac:dyDescent="0.2">
      <c r="B23" s="31">
        <v>41800</v>
      </c>
      <c r="C23" s="25">
        <v>13.327</v>
      </c>
      <c r="D23" s="26">
        <v>7.1829999999999998</v>
      </c>
      <c r="E23" s="26">
        <v>9.3160000000000007</v>
      </c>
      <c r="F23" s="16"/>
      <c r="G23" s="16"/>
      <c r="H23" s="16"/>
      <c r="I23" s="17">
        <v>104.67400000000001</v>
      </c>
      <c r="J23" s="58">
        <v>929</v>
      </c>
      <c r="K23" s="18">
        <f>IF(ISBLANK(J23),"",(J23-$J$8))</f>
        <v>129</v>
      </c>
      <c r="L23" s="19">
        <f t="shared" si="0"/>
        <v>-3.9999999999995595</v>
      </c>
      <c r="M23" s="19">
        <f t="shared" si="1"/>
        <v>-1.000000000000334</v>
      </c>
      <c r="N23" s="19">
        <f t="shared" si="2"/>
        <v>-0.99999999999944578</v>
      </c>
      <c r="O23" s="19" t="str">
        <f t="shared" si="5"/>
        <v/>
      </c>
      <c r="P23" s="19" t="str">
        <f t="shared" si="6"/>
        <v/>
      </c>
      <c r="Q23" s="19" t="str">
        <f t="shared" si="7"/>
        <v/>
      </c>
      <c r="R23" s="19">
        <f t="shared" si="3"/>
        <v>-1.9999999999953388</v>
      </c>
      <c r="S23" s="27">
        <f t="shared" si="8"/>
        <v>-0.28571428571438112</v>
      </c>
      <c r="T23" s="28">
        <f t="shared" si="8"/>
        <v>0</v>
      </c>
      <c r="U23" s="28">
        <f t="shared" si="8"/>
        <v>-0.14285714285706369</v>
      </c>
      <c r="V23" s="28" t="str">
        <f t="shared" si="8"/>
        <v/>
      </c>
      <c r="W23" s="28" t="str">
        <f t="shared" si="8"/>
        <v/>
      </c>
      <c r="X23" s="29" t="str">
        <f t="shared" si="8"/>
        <v/>
      </c>
      <c r="Y23" s="24"/>
    </row>
    <row r="24" spans="2:25" ht="15" customHeight="1" x14ac:dyDescent="0.2">
      <c r="B24" s="31">
        <v>41829</v>
      </c>
      <c r="C24" s="25">
        <v>13.327999999999999</v>
      </c>
      <c r="D24" s="26">
        <v>7.1829999999999998</v>
      </c>
      <c r="E24" s="26">
        <v>9.3140000000000001</v>
      </c>
      <c r="F24" s="16"/>
      <c r="G24" s="16"/>
      <c r="H24" s="16"/>
      <c r="I24" s="17">
        <v>104.67400000000001</v>
      </c>
      <c r="J24" s="58">
        <v>793</v>
      </c>
      <c r="K24" s="18">
        <f t="shared" ref="K24:K31" si="9">IF(ISBLANK(J24),"",(J24-$J$8))</f>
        <v>-7</v>
      </c>
      <c r="L24" s="19">
        <f t="shared" si="0"/>
        <v>-3.0000000000001137</v>
      </c>
      <c r="M24" s="19">
        <f t="shared" si="1"/>
        <v>-1.000000000000334</v>
      </c>
      <c r="N24" s="19">
        <f t="shared" si="2"/>
        <v>-3.0000000000001137</v>
      </c>
      <c r="O24" s="19" t="str">
        <f t="shared" si="5"/>
        <v/>
      </c>
      <c r="P24" s="19" t="str">
        <f t="shared" si="6"/>
        <v/>
      </c>
      <c r="Q24" s="19" t="str">
        <f t="shared" si="7"/>
        <v/>
      </c>
      <c r="R24" s="19">
        <f t="shared" si="3"/>
        <v>-1.9999999999953388</v>
      </c>
      <c r="S24" s="27">
        <f t="shared" si="8"/>
        <v>3.4482758620670545E-2</v>
      </c>
      <c r="T24" s="28">
        <f t="shared" si="8"/>
        <v>0</v>
      </c>
      <c r="U24" s="28">
        <f t="shared" si="8"/>
        <v>-6.8965517241402347E-2</v>
      </c>
      <c r="V24" s="28" t="str">
        <f t="shared" si="8"/>
        <v/>
      </c>
      <c r="W24" s="28" t="str">
        <f t="shared" si="8"/>
        <v/>
      </c>
      <c r="X24" s="29" t="str">
        <f t="shared" si="8"/>
        <v/>
      </c>
      <c r="Y24" s="24"/>
    </row>
    <row r="25" spans="2:25" ht="15" customHeight="1" x14ac:dyDescent="0.2">
      <c r="B25" s="31">
        <v>41830</v>
      </c>
      <c r="C25" s="64">
        <v>13.327999999999999</v>
      </c>
      <c r="D25" s="26">
        <v>7.1820000000000004</v>
      </c>
      <c r="E25" s="65">
        <v>9.3140000000000001</v>
      </c>
      <c r="F25" s="16"/>
      <c r="G25" s="16"/>
      <c r="H25" s="16"/>
      <c r="I25" s="17">
        <v>104.672</v>
      </c>
      <c r="J25" s="58">
        <v>808</v>
      </c>
      <c r="K25" s="18">
        <f t="shared" si="9"/>
        <v>8</v>
      </c>
      <c r="L25" s="19">
        <f t="shared" si="0"/>
        <v>-3.0000000000001137</v>
      </c>
      <c r="M25" s="19">
        <f t="shared" si="1"/>
        <v>-1.9999999999997797</v>
      </c>
      <c r="N25" s="19">
        <f t="shared" si="2"/>
        <v>-3.0000000000001137</v>
      </c>
      <c r="O25" s="19" t="str">
        <f t="shared" si="5"/>
        <v/>
      </c>
      <c r="P25" s="19" t="str">
        <f t="shared" si="6"/>
        <v/>
      </c>
      <c r="Q25" s="19" t="str">
        <f t="shared" si="7"/>
        <v/>
      </c>
      <c r="R25" s="19">
        <f t="shared" si="3"/>
        <v>-4.0000000000048885</v>
      </c>
      <c r="S25" s="27">
        <f t="shared" si="8"/>
        <v>0</v>
      </c>
      <c r="T25" s="28">
        <f t="shared" si="8"/>
        <v>-0.99999999999944578</v>
      </c>
      <c r="U25" s="28">
        <f t="shared" si="8"/>
        <v>0</v>
      </c>
      <c r="V25" s="28" t="str">
        <f t="shared" si="8"/>
        <v/>
      </c>
      <c r="W25" s="28" t="str">
        <f t="shared" si="8"/>
        <v/>
      </c>
      <c r="X25" s="29" t="str">
        <f t="shared" si="8"/>
        <v/>
      </c>
      <c r="Y25" s="24"/>
    </row>
    <row r="26" spans="2:25" ht="15" customHeight="1" x14ac:dyDescent="0.2">
      <c r="B26" s="31">
        <v>41834</v>
      </c>
      <c r="C26" s="64">
        <v>13.327999999999999</v>
      </c>
      <c r="D26" s="65">
        <v>7.1829999999999998</v>
      </c>
      <c r="E26" s="45">
        <v>9.0239999999999991</v>
      </c>
      <c r="F26" s="16">
        <v>13.714</v>
      </c>
      <c r="G26" s="16">
        <v>9.3689999999999998</v>
      </c>
      <c r="H26" s="16">
        <v>10.88</v>
      </c>
      <c r="I26" s="17">
        <v>104.67100000000001</v>
      </c>
      <c r="J26" s="58">
        <v>845</v>
      </c>
      <c r="K26" s="18">
        <f t="shared" si="9"/>
        <v>45</v>
      </c>
      <c r="L26" s="19">
        <f>IF(ISBLANK(C26),"",(C26-C$16)*1000)</f>
        <v>-3.0000000000001137</v>
      </c>
      <c r="M26" s="19">
        <f>IF(ISBLANK(D26),"",(D26-D$16)*1000)</f>
        <v>-1.000000000000334</v>
      </c>
      <c r="N26" s="19">
        <f>IF(ISBLANK(E26),"",((E26-E$26)*1000)+N$25)</f>
        <v>-3.0000000000001137</v>
      </c>
      <c r="O26" s="19">
        <f>IF(ISBLANK(F26),"",((F26-F$26)*1000)+L$26)</f>
        <v>-3.0000000000001137</v>
      </c>
      <c r="P26" s="19">
        <f>IF(ISBLANK(G26),"",((G26-G$26)*1000)+M$26)</f>
        <v>-1.000000000000334</v>
      </c>
      <c r="Q26" s="19">
        <f>IF(ISBLANK(H26),"",((H26-H$26)*1000)+N$26)</f>
        <v>-3.0000000000001137</v>
      </c>
      <c r="R26" s="19">
        <f t="shared" si="3"/>
        <v>-4.9999999999954525</v>
      </c>
      <c r="S26" s="27">
        <f t="shared" si="8"/>
        <v>0</v>
      </c>
      <c r="T26" s="28">
        <f t="shared" si="8"/>
        <v>0.24999999999986144</v>
      </c>
      <c r="U26" s="28">
        <f t="shared" si="8"/>
        <v>-72.500000000000227</v>
      </c>
      <c r="V26" s="28"/>
      <c r="W26" s="28"/>
      <c r="X26" s="29"/>
      <c r="Y26" s="49" t="s">
        <v>53</v>
      </c>
    </row>
    <row r="27" spans="2:25" ht="15" customHeight="1" x14ac:dyDescent="0.2">
      <c r="B27" s="31">
        <v>41835</v>
      </c>
      <c r="C27" s="64">
        <v>13.327999999999999</v>
      </c>
      <c r="D27" s="65">
        <v>7.1829999999999998</v>
      </c>
      <c r="E27" s="26">
        <v>9.0229999999999997</v>
      </c>
      <c r="F27" s="16">
        <v>13.712999999999999</v>
      </c>
      <c r="G27" s="16">
        <v>9.3689999999999998</v>
      </c>
      <c r="H27" s="16">
        <v>10.88</v>
      </c>
      <c r="I27" s="17">
        <v>104.672</v>
      </c>
      <c r="J27" s="58">
        <v>857</v>
      </c>
      <c r="K27" s="18">
        <f t="shared" si="9"/>
        <v>57</v>
      </c>
      <c r="L27" s="19">
        <f>IF(ISBLANK(C27),"",(C27-C$16)*1000)</f>
        <v>-3.0000000000001137</v>
      </c>
      <c r="M27" s="19">
        <f>IF(ISBLANK(D27),"",(D27-D$16)*1000)</f>
        <v>-1.000000000000334</v>
      </c>
      <c r="N27" s="19">
        <f t="shared" ref="N27:N90" si="10">IF(ISBLANK(E27),"",((E27-E$26)*1000)+N$25)</f>
        <v>-3.9999999999995595</v>
      </c>
      <c r="O27" s="19">
        <f t="shared" ref="O27:O90" si="11">IF(ISBLANK(F27),"",((F27-F$26)*1000)+L$26)</f>
        <v>-4.0000000000013358</v>
      </c>
      <c r="P27" s="19">
        <f t="shared" ref="P27:P90" si="12">IF(ISBLANK(G27),"",((G27-G$26)*1000)+M$26)</f>
        <v>-1.000000000000334</v>
      </c>
      <c r="Q27" s="19">
        <f t="shared" ref="Q27:Q90" si="13">IF(ISBLANK(H27),"",((H27-H$26)*1000)+N$26)</f>
        <v>-3.0000000000001137</v>
      </c>
      <c r="R27" s="19">
        <f t="shared" si="3"/>
        <v>-4.0000000000048885</v>
      </c>
      <c r="S27" s="27">
        <f t="shared" si="8"/>
        <v>0</v>
      </c>
      <c r="T27" s="28">
        <f t="shared" si="8"/>
        <v>0</v>
      </c>
      <c r="U27" s="28">
        <f t="shared" si="8"/>
        <v>-0.99999999999944578</v>
      </c>
      <c r="V27" s="28">
        <f t="shared" si="8"/>
        <v>-1.0000000000012221</v>
      </c>
      <c r="W27" s="28">
        <f t="shared" si="8"/>
        <v>0</v>
      </c>
      <c r="X27" s="29">
        <f t="shared" si="8"/>
        <v>0</v>
      </c>
      <c r="Y27" s="24"/>
    </row>
    <row r="28" spans="2:25" ht="15" customHeight="1" x14ac:dyDescent="0.2">
      <c r="B28" s="31">
        <v>41842</v>
      </c>
      <c r="C28" s="82">
        <v>13.164</v>
      </c>
      <c r="D28" s="26">
        <v>7.1829999999999998</v>
      </c>
      <c r="E28" s="26">
        <v>9.0229999999999997</v>
      </c>
      <c r="F28" s="16">
        <v>13.712999999999999</v>
      </c>
      <c r="G28" s="16">
        <v>9.3680000000000003</v>
      </c>
      <c r="H28" s="16">
        <v>10.88</v>
      </c>
      <c r="I28" s="17">
        <v>104.67100000000001</v>
      </c>
      <c r="J28" s="58">
        <v>857</v>
      </c>
      <c r="K28" s="18">
        <f t="shared" si="9"/>
        <v>57</v>
      </c>
      <c r="L28" s="19">
        <f>IF(ISBLANK(C28),"",((C28-C$28)*1000)+L$27)</f>
        <v>-3.0000000000001137</v>
      </c>
      <c r="M28" s="19">
        <f t="shared" ref="M28:M47" si="14">IF(ISBLANK(D28),"",(D28-D$16)*1000)</f>
        <v>-1.000000000000334</v>
      </c>
      <c r="N28" s="19">
        <f t="shared" si="10"/>
        <v>-3.9999999999995595</v>
      </c>
      <c r="O28" s="19">
        <f t="shared" si="11"/>
        <v>-4.0000000000013358</v>
      </c>
      <c r="P28" s="19">
        <f t="shared" si="12"/>
        <v>-1.9999999999997797</v>
      </c>
      <c r="Q28" s="19">
        <f t="shared" si="13"/>
        <v>-3.0000000000001137</v>
      </c>
      <c r="R28" s="19">
        <f t="shared" si="3"/>
        <v>-4.9999999999954525</v>
      </c>
      <c r="S28" s="27">
        <f t="shared" si="8"/>
        <v>-23.428571428571388</v>
      </c>
      <c r="T28" s="28">
        <f t="shared" si="8"/>
        <v>0</v>
      </c>
      <c r="U28" s="28">
        <f t="shared" si="8"/>
        <v>0</v>
      </c>
      <c r="V28" s="28">
        <f t="shared" si="8"/>
        <v>0</v>
      </c>
      <c r="W28" s="28">
        <f t="shared" si="8"/>
        <v>-0.14285714285706369</v>
      </c>
      <c r="X28" s="29">
        <f t="shared" si="8"/>
        <v>0</v>
      </c>
      <c r="Y28" s="49" t="s">
        <v>56</v>
      </c>
    </row>
    <row r="29" spans="2:25" ht="15" customHeight="1" x14ac:dyDescent="0.2">
      <c r="B29" s="31">
        <v>41849</v>
      </c>
      <c r="C29" s="25">
        <v>13.164</v>
      </c>
      <c r="D29" s="26">
        <v>7.1820000000000004</v>
      </c>
      <c r="E29" s="26">
        <v>9.0239999999999991</v>
      </c>
      <c r="F29" s="16">
        <v>13.712</v>
      </c>
      <c r="G29" s="16">
        <v>9.3680000000000003</v>
      </c>
      <c r="H29" s="16">
        <v>10.88</v>
      </c>
      <c r="I29" s="17">
        <v>104.672</v>
      </c>
      <c r="J29" s="58">
        <v>857</v>
      </c>
      <c r="K29" s="18">
        <f t="shared" si="9"/>
        <v>57</v>
      </c>
      <c r="L29" s="19">
        <f t="shared" ref="L29:L92" si="15">IF(ISBLANK(C29),"",((C29-C$28)*1000)+L$27)</f>
        <v>-3.0000000000001137</v>
      </c>
      <c r="M29" s="19">
        <f t="shared" si="14"/>
        <v>-1.9999999999997797</v>
      </c>
      <c r="N29" s="19">
        <f t="shared" si="10"/>
        <v>-3.0000000000001137</v>
      </c>
      <c r="O29" s="19">
        <f t="shared" si="11"/>
        <v>-5.0000000000007816</v>
      </c>
      <c r="P29" s="19">
        <f t="shared" si="12"/>
        <v>-1.9999999999997797</v>
      </c>
      <c r="Q29" s="19">
        <f t="shared" si="13"/>
        <v>-3.0000000000001137</v>
      </c>
      <c r="R29" s="19">
        <f t="shared" si="3"/>
        <v>-4.0000000000048885</v>
      </c>
      <c r="S29" s="27">
        <f t="shared" si="8"/>
        <v>0</v>
      </c>
      <c r="T29" s="28">
        <f t="shared" si="8"/>
        <v>-0.14285714285706369</v>
      </c>
      <c r="U29" s="28">
        <f t="shared" si="8"/>
        <v>0.14285714285706369</v>
      </c>
      <c r="V29" s="28">
        <f t="shared" si="8"/>
        <v>-0.14285714285706369</v>
      </c>
      <c r="W29" s="28">
        <f t="shared" si="8"/>
        <v>0</v>
      </c>
      <c r="X29" s="29">
        <f t="shared" si="8"/>
        <v>0</v>
      </c>
      <c r="Y29" s="24"/>
    </row>
    <row r="30" spans="2:25" ht="15" customHeight="1" x14ac:dyDescent="0.2">
      <c r="B30" s="31">
        <v>41857</v>
      </c>
      <c r="C30" s="25">
        <v>13.164</v>
      </c>
      <c r="D30" s="26">
        <v>7.1829999999999998</v>
      </c>
      <c r="E30" s="26">
        <v>9.0239999999999991</v>
      </c>
      <c r="F30" s="16">
        <v>13.712999999999999</v>
      </c>
      <c r="G30" s="16">
        <v>9.3680000000000003</v>
      </c>
      <c r="H30" s="16">
        <v>10.88</v>
      </c>
      <c r="I30" s="17">
        <v>104.672</v>
      </c>
      <c r="J30" s="58">
        <v>857</v>
      </c>
      <c r="K30" s="18">
        <f t="shared" si="9"/>
        <v>57</v>
      </c>
      <c r="L30" s="19">
        <f t="shared" si="15"/>
        <v>-3.0000000000001137</v>
      </c>
      <c r="M30" s="19">
        <f t="shared" si="14"/>
        <v>-1.000000000000334</v>
      </c>
      <c r="N30" s="19">
        <f t="shared" si="10"/>
        <v>-3.0000000000001137</v>
      </c>
      <c r="O30" s="19">
        <f t="shared" si="11"/>
        <v>-4.0000000000013358</v>
      </c>
      <c r="P30" s="19">
        <f t="shared" si="12"/>
        <v>-1.9999999999997797</v>
      </c>
      <c r="Q30" s="19">
        <f t="shared" si="13"/>
        <v>-3.0000000000001137</v>
      </c>
      <c r="R30" s="19">
        <f t="shared" si="3"/>
        <v>-4.0000000000048885</v>
      </c>
      <c r="S30" s="27">
        <f t="shared" si="8"/>
        <v>0</v>
      </c>
      <c r="T30" s="28">
        <f t="shared" si="8"/>
        <v>0.12499999999993072</v>
      </c>
      <c r="U30" s="28">
        <f t="shared" si="8"/>
        <v>0</v>
      </c>
      <c r="V30" s="28">
        <f t="shared" si="8"/>
        <v>0.12499999999993072</v>
      </c>
      <c r="W30" s="28">
        <f t="shared" si="8"/>
        <v>0</v>
      </c>
      <c r="X30" s="29">
        <f t="shared" si="8"/>
        <v>0</v>
      </c>
      <c r="Y30" s="24"/>
    </row>
    <row r="31" spans="2:25" ht="15" customHeight="1" x14ac:dyDescent="0.2">
      <c r="B31" s="31">
        <v>41871</v>
      </c>
      <c r="C31" s="25">
        <v>13.164</v>
      </c>
      <c r="D31" s="26">
        <v>7.1829999999999998</v>
      </c>
      <c r="E31" s="26">
        <v>9.0229999999999997</v>
      </c>
      <c r="F31" s="16">
        <v>13.712</v>
      </c>
      <c r="G31" s="16">
        <v>9.3680000000000003</v>
      </c>
      <c r="H31" s="16">
        <v>10.88</v>
      </c>
      <c r="I31" s="17">
        <v>104.672</v>
      </c>
      <c r="J31" s="58">
        <v>857</v>
      </c>
      <c r="K31" s="18">
        <f t="shared" si="9"/>
        <v>57</v>
      </c>
      <c r="L31" s="19">
        <f t="shared" si="15"/>
        <v>-3.0000000000001137</v>
      </c>
      <c r="M31" s="19">
        <f t="shared" si="14"/>
        <v>-1.000000000000334</v>
      </c>
      <c r="N31" s="19">
        <f t="shared" si="10"/>
        <v>-3.9999999999995595</v>
      </c>
      <c r="O31" s="19">
        <f t="shared" si="11"/>
        <v>-5.0000000000007816</v>
      </c>
      <c r="P31" s="19">
        <f t="shared" si="12"/>
        <v>-1.9999999999997797</v>
      </c>
      <c r="Q31" s="19">
        <f t="shared" si="13"/>
        <v>-3.0000000000001137</v>
      </c>
      <c r="R31" s="19">
        <f t="shared" si="3"/>
        <v>-4.0000000000048885</v>
      </c>
      <c r="S31" s="27">
        <f t="shared" si="8"/>
        <v>0</v>
      </c>
      <c r="T31" s="28">
        <f t="shared" si="8"/>
        <v>0</v>
      </c>
      <c r="U31" s="28">
        <f t="shared" si="8"/>
        <v>-7.1428571428531845E-2</v>
      </c>
      <c r="V31" s="28">
        <f t="shared" si="8"/>
        <v>-7.1428571428531845E-2</v>
      </c>
      <c r="W31" s="28">
        <f t="shared" si="8"/>
        <v>0</v>
      </c>
      <c r="X31" s="29">
        <f t="shared" si="8"/>
        <v>0</v>
      </c>
      <c r="Y31" s="24"/>
    </row>
    <row r="32" spans="2:25" ht="15" customHeight="1" x14ac:dyDescent="0.2">
      <c r="B32" s="31">
        <v>41879</v>
      </c>
      <c r="C32" s="77">
        <v>13.164</v>
      </c>
      <c r="D32" s="76">
        <v>7.1829999999999998</v>
      </c>
      <c r="E32" s="76">
        <v>9.0229999999999997</v>
      </c>
      <c r="F32" s="16">
        <v>13.712999999999999</v>
      </c>
      <c r="G32" s="16">
        <v>9.3680000000000003</v>
      </c>
      <c r="H32" s="16">
        <v>10.88</v>
      </c>
      <c r="I32" s="17">
        <v>104.672</v>
      </c>
      <c r="J32" s="58">
        <v>943</v>
      </c>
      <c r="K32" s="18">
        <f>IF(ISBLANK(J32),"",(J32-$J$8))</f>
        <v>143</v>
      </c>
      <c r="L32" s="19">
        <f t="shared" si="15"/>
        <v>-3.0000000000001137</v>
      </c>
      <c r="M32" s="19">
        <f t="shared" si="14"/>
        <v>-1.000000000000334</v>
      </c>
      <c r="N32" s="19">
        <f t="shared" si="10"/>
        <v>-3.9999999999995595</v>
      </c>
      <c r="O32" s="19">
        <f t="shared" si="11"/>
        <v>-4.0000000000013358</v>
      </c>
      <c r="P32" s="19">
        <f t="shared" si="12"/>
        <v>-1.9999999999997797</v>
      </c>
      <c r="Q32" s="19">
        <f t="shared" si="13"/>
        <v>-3.0000000000001137</v>
      </c>
      <c r="R32" s="19">
        <f t="shared" si="3"/>
        <v>-4.0000000000048885</v>
      </c>
      <c r="S32" s="27">
        <f t="shared" si="8"/>
        <v>0</v>
      </c>
      <c r="T32" s="28">
        <f t="shared" si="8"/>
        <v>0</v>
      </c>
      <c r="U32" s="28">
        <f t="shared" si="8"/>
        <v>0</v>
      </c>
      <c r="V32" s="28">
        <f t="shared" si="8"/>
        <v>0.12499999999993072</v>
      </c>
      <c r="W32" s="28">
        <f t="shared" si="8"/>
        <v>0</v>
      </c>
      <c r="X32" s="29">
        <f t="shared" si="8"/>
        <v>0</v>
      </c>
      <c r="Y32" s="24"/>
    </row>
    <row r="33" spans="2:25" ht="15" customHeight="1" x14ac:dyDescent="0.2">
      <c r="B33" s="31">
        <v>41913</v>
      </c>
      <c r="C33" s="77">
        <v>13.164</v>
      </c>
      <c r="D33" s="76">
        <v>7.1829999999999998</v>
      </c>
      <c r="E33" s="76">
        <v>9.0229999999999997</v>
      </c>
      <c r="F33" s="16">
        <v>13.714</v>
      </c>
      <c r="G33" s="16">
        <v>9.3689999999999998</v>
      </c>
      <c r="H33" s="16">
        <v>10.88</v>
      </c>
      <c r="I33" s="17">
        <v>104.67100000000001</v>
      </c>
      <c r="J33" s="58">
        <v>943</v>
      </c>
      <c r="K33" s="18">
        <f>IF(ISBLANK(J33),"",(J33-$J$8))</f>
        <v>143</v>
      </c>
      <c r="L33" s="19">
        <f t="shared" si="15"/>
        <v>-3.0000000000001137</v>
      </c>
      <c r="M33" s="19">
        <f t="shared" si="14"/>
        <v>-1.000000000000334</v>
      </c>
      <c r="N33" s="19">
        <f t="shared" si="10"/>
        <v>-3.9999999999995595</v>
      </c>
      <c r="O33" s="19">
        <f t="shared" si="11"/>
        <v>-3.0000000000001137</v>
      </c>
      <c r="P33" s="19">
        <f t="shared" si="12"/>
        <v>-1.000000000000334</v>
      </c>
      <c r="Q33" s="19">
        <f t="shared" si="13"/>
        <v>-3.0000000000001137</v>
      </c>
      <c r="R33" s="19">
        <f t="shared" si="3"/>
        <v>-4.9999999999954525</v>
      </c>
      <c r="S33" s="27">
        <f t="shared" ref="S33:X48" si="16">IF(C33="","",((C33-C32)*1000)/($B33-$B32))</f>
        <v>0</v>
      </c>
      <c r="T33" s="28">
        <f t="shared" si="16"/>
        <v>0</v>
      </c>
      <c r="U33" s="28">
        <f t="shared" si="16"/>
        <v>0</v>
      </c>
      <c r="V33" s="28">
        <f t="shared" si="16"/>
        <v>2.9411764705918299E-2</v>
      </c>
      <c r="W33" s="28">
        <f t="shared" si="16"/>
        <v>2.9411764705866053E-2</v>
      </c>
      <c r="X33" s="29">
        <f t="shared" si="16"/>
        <v>0</v>
      </c>
      <c r="Y33" s="24"/>
    </row>
    <row r="34" spans="2:25" ht="15" customHeight="1" x14ac:dyDescent="0.2">
      <c r="B34" s="31">
        <v>42032</v>
      </c>
      <c r="C34" s="25">
        <v>13.162000000000001</v>
      </c>
      <c r="D34" s="26">
        <v>7.18</v>
      </c>
      <c r="E34" s="26">
        <v>9.0229999999999997</v>
      </c>
      <c r="F34" s="16">
        <v>13.714</v>
      </c>
      <c r="G34" s="16">
        <v>9.3680000000000003</v>
      </c>
      <c r="H34" s="16">
        <v>10.88</v>
      </c>
      <c r="I34" s="17">
        <v>104.67</v>
      </c>
      <c r="J34" s="58">
        <v>943</v>
      </c>
      <c r="K34" s="18">
        <f>IF(ISBLANK(J34),"",(J34-$J$8))</f>
        <v>143</v>
      </c>
      <c r="L34" s="19">
        <f t="shared" si="15"/>
        <v>-4.9999999999990052</v>
      </c>
      <c r="M34" s="19">
        <f t="shared" si="14"/>
        <v>-4.0000000000004476</v>
      </c>
      <c r="N34" s="19">
        <f t="shared" si="10"/>
        <v>-3.9999999999995595</v>
      </c>
      <c r="O34" s="19">
        <f t="shared" si="11"/>
        <v>-3.0000000000001137</v>
      </c>
      <c r="P34" s="19">
        <f t="shared" si="12"/>
        <v>-1.9999999999997797</v>
      </c>
      <c r="Q34" s="19">
        <f t="shared" si="13"/>
        <v>-3.0000000000001137</v>
      </c>
      <c r="R34" s="19">
        <f t="shared" si="3"/>
        <v>-6.0000000000002274</v>
      </c>
      <c r="S34" s="27">
        <f>IF(C34="","",((C34-C33)*1000)/($B34-$B33))</f>
        <v>-1.6806722689066314E-2</v>
      </c>
      <c r="T34" s="28">
        <f>IF(D34="","",((D34-D33)*1000)/($B34-$B33))</f>
        <v>-2.52100840336144E-2</v>
      </c>
      <c r="U34" s="28">
        <f>IF(E34="","",((E34-E33)*1000)/($B34-$B33))</f>
        <v>0</v>
      </c>
      <c r="V34" s="28">
        <f t="shared" si="16"/>
        <v>0</v>
      </c>
      <c r="W34" s="28">
        <f t="shared" si="16"/>
        <v>-8.403361344533157E-3</v>
      </c>
      <c r="X34" s="29">
        <f t="shared" si="16"/>
        <v>0</v>
      </c>
      <c r="Y34" s="24"/>
    </row>
    <row r="35" spans="2:25" ht="15" customHeight="1" x14ac:dyDescent="0.2">
      <c r="B35" s="31">
        <v>42121</v>
      </c>
      <c r="C35" s="25"/>
      <c r="D35" s="26"/>
      <c r="E35" s="26"/>
      <c r="F35" s="16">
        <v>13.714</v>
      </c>
      <c r="G35" s="16">
        <v>9.3680000000000003</v>
      </c>
      <c r="H35" s="16">
        <v>10.88</v>
      </c>
      <c r="I35" s="17">
        <v>104.67100000000001</v>
      </c>
      <c r="J35" s="58">
        <v>943</v>
      </c>
      <c r="K35" s="18">
        <f>IF(ISBLANK(J35),"",(J35-$J$8))</f>
        <v>143</v>
      </c>
      <c r="L35" s="19" t="str">
        <f t="shared" si="15"/>
        <v/>
      </c>
      <c r="M35" s="19" t="str">
        <f t="shared" si="14"/>
        <v/>
      </c>
      <c r="N35" s="19" t="str">
        <f t="shared" si="10"/>
        <v/>
      </c>
      <c r="O35" s="19">
        <f t="shared" si="11"/>
        <v>-3.0000000000001137</v>
      </c>
      <c r="P35" s="19">
        <f t="shared" si="12"/>
        <v>-1.9999999999997797</v>
      </c>
      <c r="Q35" s="19">
        <f t="shared" si="13"/>
        <v>-3.0000000000001137</v>
      </c>
      <c r="R35" s="19">
        <f t="shared" si="3"/>
        <v>-4.9999999999954525</v>
      </c>
      <c r="S35" s="27" t="str">
        <f t="shared" si="16"/>
        <v/>
      </c>
      <c r="T35" s="28" t="str">
        <f t="shared" si="16"/>
        <v/>
      </c>
      <c r="U35" s="28" t="str">
        <f t="shared" si="16"/>
        <v/>
      </c>
      <c r="V35" s="28">
        <f t="shared" si="16"/>
        <v>0</v>
      </c>
      <c r="W35" s="28">
        <f t="shared" si="16"/>
        <v>0</v>
      </c>
      <c r="X35" s="29">
        <f t="shared" si="16"/>
        <v>0</v>
      </c>
      <c r="Y35" s="24"/>
    </row>
    <row r="36" spans="2:25" ht="15" customHeight="1" x14ac:dyDescent="0.2">
      <c r="B36" s="31">
        <v>42223</v>
      </c>
      <c r="C36" s="25"/>
      <c r="D36" s="26"/>
      <c r="E36" s="26"/>
      <c r="F36" s="16">
        <v>13.712999999999999</v>
      </c>
      <c r="G36" s="16">
        <v>9.3670000000000009</v>
      </c>
      <c r="H36" s="16">
        <v>10.88</v>
      </c>
      <c r="I36" s="17">
        <v>104.67</v>
      </c>
      <c r="J36" s="32">
        <v>1304</v>
      </c>
      <c r="K36" s="18">
        <f t="shared" ref="K36:K99" si="17">IF(ISBLANK(J36),"",(J36-$J$8))</f>
        <v>504</v>
      </c>
      <c r="L36" s="19" t="str">
        <f t="shared" si="15"/>
        <v/>
      </c>
      <c r="M36" s="19" t="str">
        <f t="shared" si="14"/>
        <v/>
      </c>
      <c r="N36" s="19" t="str">
        <f t="shared" si="10"/>
        <v/>
      </c>
      <c r="O36" s="19">
        <f t="shared" si="11"/>
        <v>-4.0000000000013358</v>
      </c>
      <c r="P36" s="19">
        <f t="shared" si="12"/>
        <v>-2.9999999999992255</v>
      </c>
      <c r="Q36" s="19">
        <f t="shared" si="13"/>
        <v>-3.0000000000001137</v>
      </c>
      <c r="R36" s="19">
        <f t="shared" si="3"/>
        <v>-6.0000000000002274</v>
      </c>
      <c r="S36" s="27" t="str">
        <f t="shared" si="16"/>
        <v/>
      </c>
      <c r="T36" s="28" t="str">
        <f t="shared" si="16"/>
        <v/>
      </c>
      <c r="U36" s="28" t="str">
        <f t="shared" si="16"/>
        <v/>
      </c>
      <c r="V36" s="28">
        <f t="shared" si="16"/>
        <v>-9.8039215686394326E-3</v>
      </c>
      <c r="W36" s="28">
        <f t="shared" si="16"/>
        <v>-9.8039215686220177E-3</v>
      </c>
      <c r="X36" s="29">
        <f t="shared" si="16"/>
        <v>0</v>
      </c>
      <c r="Y36" s="24"/>
    </row>
    <row r="37" spans="2:25" ht="15" customHeight="1" x14ac:dyDescent="0.2">
      <c r="B37" s="31">
        <v>42327</v>
      </c>
      <c r="C37" s="25">
        <v>13.163</v>
      </c>
      <c r="D37" s="26">
        <v>7.1820000000000004</v>
      </c>
      <c r="E37" s="26">
        <v>9.0229999999999997</v>
      </c>
      <c r="F37" s="78">
        <v>13.712999999999999</v>
      </c>
      <c r="G37" s="16">
        <v>9.3670000000000009</v>
      </c>
      <c r="H37" s="78">
        <v>10.88</v>
      </c>
      <c r="I37" s="17">
        <v>104.67</v>
      </c>
      <c r="J37" s="32">
        <v>2251</v>
      </c>
      <c r="K37" s="18">
        <f t="shared" si="17"/>
        <v>1451</v>
      </c>
      <c r="L37" s="19">
        <f t="shared" si="15"/>
        <v>-3.9999999999995595</v>
      </c>
      <c r="M37" s="19">
        <f t="shared" si="14"/>
        <v>-1.9999999999997797</v>
      </c>
      <c r="N37" s="19">
        <f t="shared" si="10"/>
        <v>-3.9999999999995595</v>
      </c>
      <c r="O37" s="19">
        <f t="shared" si="11"/>
        <v>-4.0000000000013358</v>
      </c>
      <c r="P37" s="19">
        <f t="shared" si="12"/>
        <v>-2.9999999999992255</v>
      </c>
      <c r="Q37" s="19">
        <f t="shared" si="13"/>
        <v>-3.0000000000001137</v>
      </c>
      <c r="R37" s="19">
        <f t="shared" si="3"/>
        <v>-6.0000000000002274</v>
      </c>
      <c r="S37" s="27"/>
      <c r="T37" s="28"/>
      <c r="U37" s="28"/>
      <c r="V37" s="28">
        <f t="shared" si="16"/>
        <v>0</v>
      </c>
      <c r="W37" s="28">
        <f t="shared" si="16"/>
        <v>0</v>
      </c>
      <c r="X37" s="29">
        <f t="shared" si="16"/>
        <v>0</v>
      </c>
      <c r="Y37" s="24"/>
    </row>
    <row r="38" spans="2:25" ht="15" customHeight="1" x14ac:dyDescent="0.2">
      <c r="B38" s="31">
        <v>42424</v>
      </c>
      <c r="C38" s="73"/>
      <c r="D38" s="26"/>
      <c r="E38" s="71"/>
      <c r="F38" s="78">
        <v>13.712999999999999</v>
      </c>
      <c r="G38" s="16">
        <v>9.3670000000000009</v>
      </c>
      <c r="H38" s="78">
        <v>10.88</v>
      </c>
      <c r="I38" s="17">
        <v>104.67</v>
      </c>
      <c r="J38" s="32">
        <v>2540.5</v>
      </c>
      <c r="K38" s="18">
        <f t="shared" si="17"/>
        <v>1740.5</v>
      </c>
      <c r="L38" s="19" t="str">
        <f t="shared" si="15"/>
        <v/>
      </c>
      <c r="M38" s="19" t="str">
        <f t="shared" si="14"/>
        <v/>
      </c>
      <c r="N38" s="19" t="str">
        <f t="shared" si="10"/>
        <v/>
      </c>
      <c r="O38" s="19">
        <f t="shared" si="11"/>
        <v>-4.0000000000013358</v>
      </c>
      <c r="P38" s="19">
        <f t="shared" si="12"/>
        <v>-2.9999999999992255</v>
      </c>
      <c r="Q38" s="19">
        <f t="shared" si="13"/>
        <v>-3.0000000000001137</v>
      </c>
      <c r="R38" s="19">
        <f t="shared" si="3"/>
        <v>-6.0000000000002274</v>
      </c>
      <c r="S38" s="27" t="str">
        <f t="shared" si="16"/>
        <v/>
      </c>
      <c r="T38" s="28" t="str">
        <f t="shared" si="16"/>
        <v/>
      </c>
      <c r="U38" s="28" t="str">
        <f t="shared" si="16"/>
        <v/>
      </c>
      <c r="V38" s="28">
        <f t="shared" si="16"/>
        <v>0</v>
      </c>
      <c r="W38" s="28">
        <f t="shared" si="16"/>
        <v>0</v>
      </c>
      <c r="X38" s="29">
        <f t="shared" si="16"/>
        <v>0</v>
      </c>
      <c r="Y38" s="24"/>
    </row>
    <row r="39" spans="2:25" ht="15" customHeight="1" x14ac:dyDescent="0.2">
      <c r="B39" s="31">
        <v>42530</v>
      </c>
      <c r="C39" s="26"/>
      <c r="D39" s="26"/>
      <c r="E39" s="26"/>
      <c r="F39" s="78">
        <v>13.712999999999999</v>
      </c>
      <c r="G39" s="16">
        <v>9.3670000000000009</v>
      </c>
      <c r="H39" s="78">
        <v>10.88</v>
      </c>
      <c r="I39" s="17">
        <v>104.669</v>
      </c>
      <c r="J39" s="58">
        <v>2608</v>
      </c>
      <c r="K39" s="18">
        <f t="shared" si="17"/>
        <v>1808</v>
      </c>
      <c r="L39" s="19" t="str">
        <f t="shared" si="15"/>
        <v/>
      </c>
      <c r="M39" s="19" t="str">
        <f t="shared" si="14"/>
        <v/>
      </c>
      <c r="N39" s="19" t="str">
        <f t="shared" si="10"/>
        <v/>
      </c>
      <c r="O39" s="19">
        <f t="shared" si="11"/>
        <v>-4.0000000000013358</v>
      </c>
      <c r="P39" s="19">
        <f t="shared" si="12"/>
        <v>-2.9999999999992255</v>
      </c>
      <c r="Q39" s="19">
        <f t="shared" si="13"/>
        <v>-3.0000000000001137</v>
      </c>
      <c r="R39" s="19">
        <f t="shared" si="3"/>
        <v>-7.0000000000050022</v>
      </c>
      <c r="S39" s="27" t="str">
        <f t="shared" si="16"/>
        <v/>
      </c>
      <c r="T39" s="28" t="str">
        <f t="shared" si="16"/>
        <v/>
      </c>
      <c r="U39" s="28" t="str">
        <f t="shared" si="16"/>
        <v/>
      </c>
      <c r="V39" s="28">
        <f t="shared" si="16"/>
        <v>0</v>
      </c>
      <c r="W39" s="28">
        <f t="shared" si="16"/>
        <v>0</v>
      </c>
      <c r="X39" s="29">
        <f t="shared" si="16"/>
        <v>0</v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 t="str">
        <f t="shared" si="17"/>
        <v/>
      </c>
      <c r="L40" s="19" t="str">
        <f t="shared" si="15"/>
        <v/>
      </c>
      <c r="M40" s="19" t="str">
        <f t="shared" si="14"/>
        <v/>
      </c>
      <c r="N40" s="19" t="str">
        <f t="shared" si="10"/>
        <v/>
      </c>
      <c r="O40" s="19" t="str">
        <f t="shared" si="11"/>
        <v/>
      </c>
      <c r="P40" s="19" t="str">
        <f t="shared" si="12"/>
        <v/>
      </c>
      <c r="Q40" s="19" t="str">
        <f t="shared" si="13"/>
        <v/>
      </c>
      <c r="R40" s="19" t="str">
        <f t="shared" si="3"/>
        <v/>
      </c>
      <c r="S40" s="27" t="str">
        <f t="shared" si="16"/>
        <v/>
      </c>
      <c r="T40" s="28" t="str">
        <f t="shared" si="16"/>
        <v/>
      </c>
      <c r="U40" s="28" t="str">
        <f t="shared" si="16"/>
        <v/>
      </c>
      <c r="V40" s="28" t="str">
        <f t="shared" si="16"/>
        <v/>
      </c>
      <c r="W40" s="28" t="str">
        <f t="shared" si="16"/>
        <v/>
      </c>
      <c r="X40" s="29" t="str">
        <f t="shared" si="16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 t="str">
        <f t="shared" si="17"/>
        <v/>
      </c>
      <c r="L41" s="19" t="str">
        <f t="shared" si="15"/>
        <v/>
      </c>
      <c r="M41" s="19" t="str">
        <f t="shared" si="14"/>
        <v/>
      </c>
      <c r="N41" s="19" t="str">
        <f t="shared" si="10"/>
        <v/>
      </c>
      <c r="O41" s="19" t="str">
        <f t="shared" si="11"/>
        <v/>
      </c>
      <c r="P41" s="19" t="str">
        <f t="shared" si="12"/>
        <v/>
      </c>
      <c r="Q41" s="19" t="str">
        <f t="shared" si="13"/>
        <v/>
      </c>
      <c r="R41" s="19" t="str">
        <f t="shared" si="3"/>
        <v/>
      </c>
      <c r="S41" s="27" t="str">
        <f t="shared" si="16"/>
        <v/>
      </c>
      <c r="T41" s="28" t="str">
        <f t="shared" si="16"/>
        <v/>
      </c>
      <c r="U41" s="28" t="str">
        <f t="shared" si="16"/>
        <v/>
      </c>
      <c r="V41" s="28" t="str">
        <f t="shared" si="16"/>
        <v/>
      </c>
      <c r="W41" s="28" t="str">
        <f t="shared" si="16"/>
        <v/>
      </c>
      <c r="X41" s="29" t="str">
        <f t="shared" si="16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 t="str">
        <f t="shared" si="17"/>
        <v/>
      </c>
      <c r="L42" s="19" t="str">
        <f t="shared" si="15"/>
        <v/>
      </c>
      <c r="M42" s="19" t="str">
        <f t="shared" si="14"/>
        <v/>
      </c>
      <c r="N42" s="19" t="str">
        <f t="shared" si="10"/>
        <v/>
      </c>
      <c r="O42" s="19" t="str">
        <f t="shared" si="11"/>
        <v/>
      </c>
      <c r="P42" s="19" t="str">
        <f t="shared" si="12"/>
        <v/>
      </c>
      <c r="Q42" s="19" t="str">
        <f t="shared" si="13"/>
        <v/>
      </c>
      <c r="R42" s="19" t="str">
        <f t="shared" si="3"/>
        <v/>
      </c>
      <c r="S42" s="27" t="str">
        <f t="shared" si="16"/>
        <v/>
      </c>
      <c r="T42" s="28" t="str">
        <f t="shared" si="16"/>
        <v/>
      </c>
      <c r="U42" s="28" t="str">
        <f t="shared" si="16"/>
        <v/>
      </c>
      <c r="V42" s="28" t="str">
        <f t="shared" si="16"/>
        <v/>
      </c>
      <c r="W42" s="28" t="str">
        <f t="shared" si="16"/>
        <v/>
      </c>
      <c r="X42" s="29" t="str">
        <f t="shared" si="16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17"/>
        <v/>
      </c>
      <c r="L43" s="19" t="str">
        <f t="shared" si="15"/>
        <v/>
      </c>
      <c r="M43" s="19" t="str">
        <f t="shared" si="14"/>
        <v/>
      </c>
      <c r="N43" s="19" t="str">
        <f t="shared" si="10"/>
        <v/>
      </c>
      <c r="O43" s="19" t="str">
        <f t="shared" si="11"/>
        <v/>
      </c>
      <c r="P43" s="19" t="str">
        <f t="shared" si="12"/>
        <v/>
      </c>
      <c r="Q43" s="19" t="str">
        <f t="shared" si="13"/>
        <v/>
      </c>
      <c r="R43" s="19" t="str">
        <f t="shared" si="3"/>
        <v/>
      </c>
      <c r="S43" s="27" t="str">
        <f t="shared" si="16"/>
        <v/>
      </c>
      <c r="T43" s="28" t="str">
        <f t="shared" si="16"/>
        <v/>
      </c>
      <c r="U43" s="28" t="str">
        <f t="shared" si="16"/>
        <v/>
      </c>
      <c r="V43" s="28" t="str">
        <f t="shared" si="16"/>
        <v/>
      </c>
      <c r="W43" s="28" t="str">
        <f t="shared" si="16"/>
        <v/>
      </c>
      <c r="X43" s="29" t="str">
        <f t="shared" si="16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17"/>
        <v/>
      </c>
      <c r="L44" s="19" t="str">
        <f t="shared" si="15"/>
        <v/>
      </c>
      <c r="M44" s="19" t="str">
        <f t="shared" si="14"/>
        <v/>
      </c>
      <c r="N44" s="19" t="str">
        <f t="shared" si="10"/>
        <v/>
      </c>
      <c r="O44" s="19" t="str">
        <f t="shared" si="11"/>
        <v/>
      </c>
      <c r="P44" s="19" t="str">
        <f t="shared" si="12"/>
        <v/>
      </c>
      <c r="Q44" s="19" t="str">
        <f t="shared" si="13"/>
        <v/>
      </c>
      <c r="R44" s="19" t="str">
        <f t="shared" si="3"/>
        <v/>
      </c>
      <c r="S44" s="27" t="str">
        <f t="shared" si="16"/>
        <v/>
      </c>
      <c r="T44" s="28" t="str">
        <f t="shared" si="16"/>
        <v/>
      </c>
      <c r="U44" s="28" t="str">
        <f t="shared" si="16"/>
        <v/>
      </c>
      <c r="V44" s="28" t="str">
        <f t="shared" si="16"/>
        <v/>
      </c>
      <c r="W44" s="28" t="str">
        <f t="shared" si="16"/>
        <v/>
      </c>
      <c r="X44" s="29" t="str">
        <f t="shared" si="16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17"/>
        <v/>
      </c>
      <c r="L45" s="19" t="str">
        <f t="shared" si="15"/>
        <v/>
      </c>
      <c r="M45" s="19" t="str">
        <f t="shared" si="14"/>
        <v/>
      </c>
      <c r="N45" s="19" t="str">
        <f t="shared" si="10"/>
        <v/>
      </c>
      <c r="O45" s="19" t="str">
        <f t="shared" si="11"/>
        <v/>
      </c>
      <c r="P45" s="19" t="str">
        <f t="shared" si="12"/>
        <v/>
      </c>
      <c r="Q45" s="19" t="str">
        <f t="shared" si="13"/>
        <v/>
      </c>
      <c r="R45" s="19" t="str">
        <f t="shared" si="3"/>
        <v/>
      </c>
      <c r="S45" s="27" t="str">
        <f t="shared" si="16"/>
        <v/>
      </c>
      <c r="T45" s="28" t="str">
        <f t="shared" si="16"/>
        <v/>
      </c>
      <c r="U45" s="28" t="str">
        <f t="shared" si="16"/>
        <v/>
      </c>
      <c r="V45" s="28" t="str">
        <f t="shared" si="16"/>
        <v/>
      </c>
      <c r="W45" s="28" t="str">
        <f t="shared" si="16"/>
        <v/>
      </c>
      <c r="X45" s="29" t="str">
        <f t="shared" si="16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17"/>
        <v/>
      </c>
      <c r="L46" s="19" t="str">
        <f t="shared" si="15"/>
        <v/>
      </c>
      <c r="M46" s="19" t="str">
        <f t="shared" si="14"/>
        <v/>
      </c>
      <c r="N46" s="19" t="str">
        <f t="shared" si="10"/>
        <v/>
      </c>
      <c r="O46" s="19" t="str">
        <f t="shared" si="11"/>
        <v/>
      </c>
      <c r="P46" s="19" t="str">
        <f t="shared" si="12"/>
        <v/>
      </c>
      <c r="Q46" s="19" t="str">
        <f t="shared" si="13"/>
        <v/>
      </c>
      <c r="R46" s="19" t="str">
        <f t="shared" si="3"/>
        <v/>
      </c>
      <c r="S46" s="27" t="str">
        <f t="shared" si="16"/>
        <v/>
      </c>
      <c r="T46" s="28" t="str">
        <f t="shared" si="16"/>
        <v/>
      </c>
      <c r="U46" s="28" t="str">
        <f t="shared" si="16"/>
        <v/>
      </c>
      <c r="V46" s="28" t="str">
        <f t="shared" si="16"/>
        <v/>
      </c>
      <c r="W46" s="28" t="str">
        <f t="shared" si="16"/>
        <v/>
      </c>
      <c r="X46" s="29" t="str">
        <f t="shared" si="16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17"/>
        <v/>
      </c>
      <c r="L47" s="19" t="str">
        <f t="shared" si="15"/>
        <v/>
      </c>
      <c r="M47" s="19" t="str">
        <f t="shared" si="14"/>
        <v/>
      </c>
      <c r="N47" s="19" t="str">
        <f t="shared" si="10"/>
        <v/>
      </c>
      <c r="O47" s="19" t="str">
        <f t="shared" si="11"/>
        <v/>
      </c>
      <c r="P47" s="19" t="str">
        <f t="shared" si="12"/>
        <v/>
      </c>
      <c r="Q47" s="19" t="str">
        <f t="shared" si="13"/>
        <v/>
      </c>
      <c r="R47" s="19" t="str">
        <f t="shared" si="3"/>
        <v/>
      </c>
      <c r="S47" s="27" t="str">
        <f t="shared" si="16"/>
        <v/>
      </c>
      <c r="T47" s="28" t="str">
        <f t="shared" si="16"/>
        <v/>
      </c>
      <c r="U47" s="28" t="str">
        <f t="shared" si="16"/>
        <v/>
      </c>
      <c r="V47" s="28" t="str">
        <f t="shared" si="16"/>
        <v/>
      </c>
      <c r="W47" s="28" t="str">
        <f t="shared" si="16"/>
        <v/>
      </c>
      <c r="X47" s="29" t="str">
        <f t="shared" si="16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17"/>
        <v/>
      </c>
      <c r="L48" s="19" t="str">
        <f t="shared" si="15"/>
        <v/>
      </c>
      <c r="M48" s="19" t="str">
        <f t="shared" ref="M48:M79" si="18">IF(ISBLANK(D48),"",(D48-D$16)*1000)</f>
        <v/>
      </c>
      <c r="N48" s="19" t="str">
        <f t="shared" si="10"/>
        <v/>
      </c>
      <c r="O48" s="19" t="str">
        <f t="shared" si="11"/>
        <v/>
      </c>
      <c r="P48" s="19" t="str">
        <f t="shared" si="12"/>
        <v/>
      </c>
      <c r="Q48" s="19" t="str">
        <f t="shared" si="13"/>
        <v/>
      </c>
      <c r="R48" s="19" t="str">
        <f t="shared" si="3"/>
        <v/>
      </c>
      <c r="S48" s="27" t="str">
        <f t="shared" si="16"/>
        <v/>
      </c>
      <c r="T48" s="28" t="str">
        <f t="shared" si="16"/>
        <v/>
      </c>
      <c r="U48" s="28" t="str">
        <f t="shared" si="16"/>
        <v/>
      </c>
      <c r="V48" s="28" t="str">
        <f t="shared" si="16"/>
        <v/>
      </c>
      <c r="W48" s="28" t="str">
        <f t="shared" si="16"/>
        <v/>
      </c>
      <c r="X48" s="29" t="str">
        <f t="shared" si="16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17"/>
        <v/>
      </c>
      <c r="L49" s="19" t="str">
        <f t="shared" si="15"/>
        <v/>
      </c>
      <c r="M49" s="19" t="str">
        <f t="shared" si="18"/>
        <v/>
      </c>
      <c r="N49" s="19" t="str">
        <f t="shared" si="10"/>
        <v/>
      </c>
      <c r="O49" s="19" t="str">
        <f t="shared" si="11"/>
        <v/>
      </c>
      <c r="P49" s="19" t="str">
        <f t="shared" si="12"/>
        <v/>
      </c>
      <c r="Q49" s="19" t="str">
        <f t="shared" si="13"/>
        <v/>
      </c>
      <c r="R49" s="19" t="str">
        <f t="shared" si="3"/>
        <v/>
      </c>
      <c r="S49" s="27" t="str">
        <f t="shared" ref="S49:X64" si="19">IF(C49="","",((C49-C48)*1000)/($B49-$B48))</f>
        <v/>
      </c>
      <c r="T49" s="28" t="str">
        <f t="shared" si="19"/>
        <v/>
      </c>
      <c r="U49" s="28" t="str">
        <f t="shared" si="19"/>
        <v/>
      </c>
      <c r="V49" s="28" t="str">
        <f t="shared" si="19"/>
        <v/>
      </c>
      <c r="W49" s="28" t="str">
        <f t="shared" si="19"/>
        <v/>
      </c>
      <c r="X49" s="29" t="str">
        <f t="shared" si="19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17"/>
        <v/>
      </c>
      <c r="L50" s="19" t="str">
        <f t="shared" si="15"/>
        <v/>
      </c>
      <c r="M50" s="19" t="str">
        <f t="shared" si="18"/>
        <v/>
      </c>
      <c r="N50" s="19" t="str">
        <f t="shared" si="10"/>
        <v/>
      </c>
      <c r="O50" s="19" t="str">
        <f t="shared" si="11"/>
        <v/>
      </c>
      <c r="P50" s="19" t="str">
        <f t="shared" si="12"/>
        <v/>
      </c>
      <c r="Q50" s="19" t="str">
        <f t="shared" si="13"/>
        <v/>
      </c>
      <c r="R50" s="19" t="str">
        <f t="shared" si="3"/>
        <v/>
      </c>
      <c r="S50" s="27" t="str">
        <f t="shared" si="19"/>
        <v/>
      </c>
      <c r="T50" s="28" t="str">
        <f t="shared" si="19"/>
        <v/>
      </c>
      <c r="U50" s="28" t="str">
        <f t="shared" si="19"/>
        <v/>
      </c>
      <c r="V50" s="28" t="str">
        <f t="shared" si="19"/>
        <v/>
      </c>
      <c r="W50" s="28" t="str">
        <f t="shared" si="19"/>
        <v/>
      </c>
      <c r="X50" s="29" t="str">
        <f t="shared" si="19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17"/>
        <v/>
      </c>
      <c r="L51" s="19" t="str">
        <f t="shared" si="15"/>
        <v/>
      </c>
      <c r="M51" s="19" t="str">
        <f t="shared" si="18"/>
        <v/>
      </c>
      <c r="N51" s="19" t="str">
        <f t="shared" si="10"/>
        <v/>
      </c>
      <c r="O51" s="19" t="str">
        <f t="shared" si="11"/>
        <v/>
      </c>
      <c r="P51" s="19" t="str">
        <f t="shared" si="12"/>
        <v/>
      </c>
      <c r="Q51" s="19" t="str">
        <f t="shared" si="13"/>
        <v/>
      </c>
      <c r="R51" s="19" t="str">
        <f t="shared" si="3"/>
        <v/>
      </c>
      <c r="S51" s="27" t="str">
        <f t="shared" si="19"/>
        <v/>
      </c>
      <c r="T51" s="28" t="str">
        <f t="shared" si="19"/>
        <v/>
      </c>
      <c r="U51" s="28" t="str">
        <f t="shared" si="19"/>
        <v/>
      </c>
      <c r="V51" s="28" t="str">
        <f t="shared" si="19"/>
        <v/>
      </c>
      <c r="W51" s="28" t="str">
        <f t="shared" si="19"/>
        <v/>
      </c>
      <c r="X51" s="29" t="str">
        <f t="shared" si="19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17"/>
        <v/>
      </c>
      <c r="L52" s="19" t="str">
        <f t="shared" si="15"/>
        <v/>
      </c>
      <c r="M52" s="19" t="str">
        <f t="shared" si="18"/>
        <v/>
      </c>
      <c r="N52" s="19" t="str">
        <f t="shared" si="10"/>
        <v/>
      </c>
      <c r="O52" s="19" t="str">
        <f t="shared" si="11"/>
        <v/>
      </c>
      <c r="P52" s="19" t="str">
        <f t="shared" si="12"/>
        <v/>
      </c>
      <c r="Q52" s="19" t="str">
        <f t="shared" si="13"/>
        <v/>
      </c>
      <c r="R52" s="19" t="str">
        <f t="shared" si="3"/>
        <v/>
      </c>
      <c r="S52" s="27" t="str">
        <f t="shared" si="19"/>
        <v/>
      </c>
      <c r="T52" s="28" t="str">
        <f t="shared" si="19"/>
        <v/>
      </c>
      <c r="U52" s="28" t="str">
        <f t="shared" si="19"/>
        <v/>
      </c>
      <c r="V52" s="28" t="str">
        <f t="shared" si="19"/>
        <v/>
      </c>
      <c r="W52" s="28" t="str">
        <f t="shared" si="19"/>
        <v/>
      </c>
      <c r="X52" s="29" t="str">
        <f t="shared" si="19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17"/>
        <v/>
      </c>
      <c r="L53" s="19" t="str">
        <f t="shared" si="15"/>
        <v/>
      </c>
      <c r="M53" s="19" t="str">
        <f t="shared" si="18"/>
        <v/>
      </c>
      <c r="N53" s="19" t="str">
        <f t="shared" si="10"/>
        <v/>
      </c>
      <c r="O53" s="19" t="str">
        <f t="shared" si="11"/>
        <v/>
      </c>
      <c r="P53" s="19" t="str">
        <f t="shared" si="12"/>
        <v/>
      </c>
      <c r="Q53" s="19" t="str">
        <f t="shared" si="13"/>
        <v/>
      </c>
      <c r="R53" s="19" t="str">
        <f t="shared" si="3"/>
        <v/>
      </c>
      <c r="S53" s="27" t="str">
        <f t="shared" si="19"/>
        <v/>
      </c>
      <c r="T53" s="28" t="str">
        <f t="shared" si="19"/>
        <v/>
      </c>
      <c r="U53" s="28" t="str">
        <f t="shared" si="19"/>
        <v/>
      </c>
      <c r="V53" s="28" t="str">
        <f t="shared" si="19"/>
        <v/>
      </c>
      <c r="W53" s="28" t="str">
        <f t="shared" si="19"/>
        <v/>
      </c>
      <c r="X53" s="29" t="str">
        <f t="shared" si="19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17"/>
        <v/>
      </c>
      <c r="L54" s="19" t="str">
        <f t="shared" si="15"/>
        <v/>
      </c>
      <c r="M54" s="19" t="str">
        <f t="shared" si="18"/>
        <v/>
      </c>
      <c r="N54" s="19" t="str">
        <f t="shared" si="10"/>
        <v/>
      </c>
      <c r="O54" s="19" t="str">
        <f t="shared" si="11"/>
        <v/>
      </c>
      <c r="P54" s="19" t="str">
        <f t="shared" si="12"/>
        <v/>
      </c>
      <c r="Q54" s="19" t="str">
        <f t="shared" si="13"/>
        <v/>
      </c>
      <c r="R54" s="19" t="str">
        <f t="shared" si="3"/>
        <v/>
      </c>
      <c r="S54" s="27" t="str">
        <f t="shared" si="19"/>
        <v/>
      </c>
      <c r="T54" s="28" t="str">
        <f t="shared" si="19"/>
        <v/>
      </c>
      <c r="U54" s="28" t="str">
        <f t="shared" si="19"/>
        <v/>
      </c>
      <c r="V54" s="28" t="str">
        <f t="shared" si="19"/>
        <v/>
      </c>
      <c r="W54" s="28" t="str">
        <f t="shared" si="19"/>
        <v/>
      </c>
      <c r="X54" s="29" t="str">
        <f t="shared" si="19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17"/>
        <v/>
      </c>
      <c r="L55" s="19" t="str">
        <f t="shared" si="15"/>
        <v/>
      </c>
      <c r="M55" s="19" t="str">
        <f t="shared" si="18"/>
        <v/>
      </c>
      <c r="N55" s="19" t="str">
        <f t="shared" si="10"/>
        <v/>
      </c>
      <c r="O55" s="19" t="str">
        <f t="shared" si="11"/>
        <v/>
      </c>
      <c r="P55" s="19" t="str">
        <f t="shared" si="12"/>
        <v/>
      </c>
      <c r="Q55" s="19" t="str">
        <f t="shared" si="13"/>
        <v/>
      </c>
      <c r="R55" s="19" t="str">
        <f t="shared" si="3"/>
        <v/>
      </c>
      <c r="S55" s="27" t="str">
        <f t="shared" si="19"/>
        <v/>
      </c>
      <c r="T55" s="28" t="str">
        <f t="shared" si="19"/>
        <v/>
      </c>
      <c r="U55" s="28" t="str">
        <f t="shared" si="19"/>
        <v/>
      </c>
      <c r="V55" s="28" t="str">
        <f t="shared" si="19"/>
        <v/>
      </c>
      <c r="W55" s="28" t="str">
        <f t="shared" si="19"/>
        <v/>
      </c>
      <c r="X55" s="29" t="str">
        <f t="shared" si="19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17"/>
        <v/>
      </c>
      <c r="L56" s="19" t="str">
        <f t="shared" si="15"/>
        <v/>
      </c>
      <c r="M56" s="19" t="str">
        <f t="shared" si="18"/>
        <v/>
      </c>
      <c r="N56" s="19" t="str">
        <f t="shared" si="10"/>
        <v/>
      </c>
      <c r="O56" s="19" t="str">
        <f t="shared" si="11"/>
        <v/>
      </c>
      <c r="P56" s="19" t="str">
        <f t="shared" si="12"/>
        <v/>
      </c>
      <c r="Q56" s="19" t="str">
        <f t="shared" si="13"/>
        <v/>
      </c>
      <c r="R56" s="19" t="str">
        <f t="shared" si="3"/>
        <v/>
      </c>
      <c r="S56" s="27" t="str">
        <f t="shared" si="19"/>
        <v/>
      </c>
      <c r="T56" s="28" t="str">
        <f t="shared" si="19"/>
        <v/>
      </c>
      <c r="U56" s="28" t="str">
        <f t="shared" si="19"/>
        <v/>
      </c>
      <c r="V56" s="28" t="str">
        <f t="shared" si="19"/>
        <v/>
      </c>
      <c r="W56" s="28" t="str">
        <f t="shared" si="19"/>
        <v/>
      </c>
      <c r="X56" s="29" t="str">
        <f t="shared" si="19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17"/>
        <v/>
      </c>
      <c r="L57" s="19" t="str">
        <f t="shared" si="15"/>
        <v/>
      </c>
      <c r="M57" s="19" t="str">
        <f t="shared" si="18"/>
        <v/>
      </c>
      <c r="N57" s="19" t="str">
        <f t="shared" si="10"/>
        <v/>
      </c>
      <c r="O57" s="19" t="str">
        <f t="shared" si="11"/>
        <v/>
      </c>
      <c r="P57" s="19" t="str">
        <f t="shared" si="12"/>
        <v/>
      </c>
      <c r="Q57" s="19" t="str">
        <f t="shared" si="13"/>
        <v/>
      </c>
      <c r="R57" s="19" t="str">
        <f t="shared" si="3"/>
        <v/>
      </c>
      <c r="S57" s="27" t="str">
        <f t="shared" si="19"/>
        <v/>
      </c>
      <c r="T57" s="28" t="str">
        <f t="shared" si="19"/>
        <v/>
      </c>
      <c r="U57" s="28" t="str">
        <f t="shared" si="19"/>
        <v/>
      </c>
      <c r="V57" s="28" t="str">
        <f t="shared" si="19"/>
        <v/>
      </c>
      <c r="W57" s="28" t="str">
        <f t="shared" si="19"/>
        <v/>
      </c>
      <c r="X57" s="29" t="str">
        <f t="shared" si="19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17"/>
        <v/>
      </c>
      <c r="L58" s="19" t="str">
        <f t="shared" si="15"/>
        <v/>
      </c>
      <c r="M58" s="19" t="str">
        <f t="shared" si="18"/>
        <v/>
      </c>
      <c r="N58" s="19" t="str">
        <f t="shared" si="10"/>
        <v/>
      </c>
      <c r="O58" s="19" t="str">
        <f t="shared" si="11"/>
        <v/>
      </c>
      <c r="P58" s="19" t="str">
        <f t="shared" si="12"/>
        <v/>
      </c>
      <c r="Q58" s="19" t="str">
        <f t="shared" si="13"/>
        <v/>
      </c>
      <c r="R58" s="19" t="str">
        <f t="shared" si="3"/>
        <v/>
      </c>
      <c r="S58" s="27" t="str">
        <f t="shared" si="19"/>
        <v/>
      </c>
      <c r="T58" s="28" t="str">
        <f t="shared" si="19"/>
        <v/>
      </c>
      <c r="U58" s="28" t="str">
        <f t="shared" si="19"/>
        <v/>
      </c>
      <c r="V58" s="28" t="str">
        <f t="shared" si="19"/>
        <v/>
      </c>
      <c r="W58" s="28" t="str">
        <f t="shared" si="19"/>
        <v/>
      </c>
      <c r="X58" s="29" t="str">
        <f t="shared" si="19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17"/>
        <v/>
      </c>
      <c r="L59" s="19" t="str">
        <f t="shared" si="15"/>
        <v/>
      </c>
      <c r="M59" s="19" t="str">
        <f t="shared" si="18"/>
        <v/>
      </c>
      <c r="N59" s="19" t="str">
        <f t="shared" si="10"/>
        <v/>
      </c>
      <c r="O59" s="19" t="str">
        <f t="shared" si="11"/>
        <v/>
      </c>
      <c r="P59" s="19" t="str">
        <f t="shared" si="12"/>
        <v/>
      </c>
      <c r="Q59" s="19" t="str">
        <f t="shared" si="13"/>
        <v/>
      </c>
      <c r="R59" s="19" t="str">
        <f t="shared" si="3"/>
        <v/>
      </c>
      <c r="S59" s="27" t="str">
        <f t="shared" si="19"/>
        <v/>
      </c>
      <c r="T59" s="28" t="str">
        <f t="shared" si="19"/>
        <v/>
      </c>
      <c r="U59" s="28" t="str">
        <f t="shared" si="19"/>
        <v/>
      </c>
      <c r="V59" s="28" t="str">
        <f t="shared" si="19"/>
        <v/>
      </c>
      <c r="W59" s="28" t="str">
        <f t="shared" si="19"/>
        <v/>
      </c>
      <c r="X59" s="29" t="str">
        <f t="shared" si="19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17"/>
        <v/>
      </c>
      <c r="L60" s="19" t="str">
        <f t="shared" si="15"/>
        <v/>
      </c>
      <c r="M60" s="19" t="str">
        <f t="shared" si="18"/>
        <v/>
      </c>
      <c r="N60" s="19" t="str">
        <f t="shared" si="10"/>
        <v/>
      </c>
      <c r="O60" s="19" t="str">
        <f t="shared" si="11"/>
        <v/>
      </c>
      <c r="P60" s="19" t="str">
        <f t="shared" si="12"/>
        <v/>
      </c>
      <c r="Q60" s="19" t="str">
        <f t="shared" si="13"/>
        <v/>
      </c>
      <c r="R60" s="19" t="str">
        <f t="shared" si="3"/>
        <v/>
      </c>
      <c r="S60" s="27" t="str">
        <f t="shared" si="19"/>
        <v/>
      </c>
      <c r="T60" s="28" t="str">
        <f t="shared" si="19"/>
        <v/>
      </c>
      <c r="U60" s="28" t="str">
        <f t="shared" si="19"/>
        <v/>
      </c>
      <c r="V60" s="28" t="str">
        <f t="shared" si="19"/>
        <v/>
      </c>
      <c r="W60" s="28" t="str">
        <f t="shared" si="19"/>
        <v/>
      </c>
      <c r="X60" s="29" t="str">
        <f t="shared" si="19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17"/>
        <v/>
      </c>
      <c r="L61" s="19" t="str">
        <f t="shared" si="15"/>
        <v/>
      </c>
      <c r="M61" s="19" t="str">
        <f t="shared" si="18"/>
        <v/>
      </c>
      <c r="N61" s="19" t="str">
        <f t="shared" si="10"/>
        <v/>
      </c>
      <c r="O61" s="19" t="str">
        <f t="shared" si="11"/>
        <v/>
      </c>
      <c r="P61" s="19" t="str">
        <f t="shared" si="12"/>
        <v/>
      </c>
      <c r="Q61" s="19" t="str">
        <f t="shared" si="13"/>
        <v/>
      </c>
      <c r="R61" s="19" t="str">
        <f t="shared" si="3"/>
        <v/>
      </c>
      <c r="S61" s="27" t="str">
        <f t="shared" si="19"/>
        <v/>
      </c>
      <c r="T61" s="28" t="str">
        <f t="shared" si="19"/>
        <v/>
      </c>
      <c r="U61" s="28" t="str">
        <f t="shared" si="19"/>
        <v/>
      </c>
      <c r="V61" s="28" t="str">
        <f t="shared" si="19"/>
        <v/>
      </c>
      <c r="W61" s="28" t="str">
        <f t="shared" si="19"/>
        <v/>
      </c>
      <c r="X61" s="29" t="str">
        <f t="shared" si="19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17"/>
        <v/>
      </c>
      <c r="L62" s="19" t="str">
        <f t="shared" si="15"/>
        <v/>
      </c>
      <c r="M62" s="19" t="str">
        <f t="shared" si="18"/>
        <v/>
      </c>
      <c r="N62" s="19" t="str">
        <f t="shared" si="10"/>
        <v/>
      </c>
      <c r="O62" s="19" t="str">
        <f t="shared" si="11"/>
        <v/>
      </c>
      <c r="P62" s="19" t="str">
        <f t="shared" si="12"/>
        <v/>
      </c>
      <c r="Q62" s="19" t="str">
        <f t="shared" si="13"/>
        <v/>
      </c>
      <c r="R62" s="19" t="str">
        <f t="shared" si="3"/>
        <v/>
      </c>
      <c r="S62" s="27" t="str">
        <f t="shared" si="19"/>
        <v/>
      </c>
      <c r="T62" s="28" t="str">
        <f t="shared" si="19"/>
        <v/>
      </c>
      <c r="U62" s="28" t="str">
        <f t="shared" si="19"/>
        <v/>
      </c>
      <c r="V62" s="28" t="str">
        <f t="shared" si="19"/>
        <v/>
      </c>
      <c r="W62" s="28" t="str">
        <f t="shared" si="19"/>
        <v/>
      </c>
      <c r="X62" s="29" t="str">
        <f t="shared" si="19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17"/>
        <v/>
      </c>
      <c r="L63" s="19" t="str">
        <f t="shared" si="15"/>
        <v/>
      </c>
      <c r="M63" s="19" t="str">
        <f t="shared" si="18"/>
        <v/>
      </c>
      <c r="N63" s="19" t="str">
        <f t="shared" si="10"/>
        <v/>
      </c>
      <c r="O63" s="19" t="str">
        <f t="shared" si="11"/>
        <v/>
      </c>
      <c r="P63" s="19" t="str">
        <f t="shared" si="12"/>
        <v/>
      </c>
      <c r="Q63" s="19" t="str">
        <f t="shared" si="13"/>
        <v/>
      </c>
      <c r="R63" s="19" t="str">
        <f t="shared" si="3"/>
        <v/>
      </c>
      <c r="S63" s="27" t="str">
        <f t="shared" si="19"/>
        <v/>
      </c>
      <c r="T63" s="28" t="str">
        <f t="shared" si="19"/>
        <v/>
      </c>
      <c r="U63" s="28" t="str">
        <f t="shared" si="19"/>
        <v/>
      </c>
      <c r="V63" s="28" t="str">
        <f t="shared" si="19"/>
        <v/>
      </c>
      <c r="W63" s="28" t="str">
        <f t="shared" si="19"/>
        <v/>
      </c>
      <c r="X63" s="29" t="str">
        <f t="shared" si="19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17"/>
        <v/>
      </c>
      <c r="L64" s="19" t="str">
        <f t="shared" si="15"/>
        <v/>
      </c>
      <c r="M64" s="19" t="str">
        <f t="shared" si="18"/>
        <v/>
      </c>
      <c r="N64" s="19" t="str">
        <f t="shared" si="10"/>
        <v/>
      </c>
      <c r="O64" s="19" t="str">
        <f t="shared" si="11"/>
        <v/>
      </c>
      <c r="P64" s="19" t="str">
        <f t="shared" si="12"/>
        <v/>
      </c>
      <c r="Q64" s="19" t="str">
        <f t="shared" si="13"/>
        <v/>
      </c>
      <c r="R64" s="19" t="str">
        <f t="shared" si="3"/>
        <v/>
      </c>
      <c r="S64" s="27" t="str">
        <f t="shared" si="19"/>
        <v/>
      </c>
      <c r="T64" s="28" t="str">
        <f t="shared" si="19"/>
        <v/>
      </c>
      <c r="U64" s="28" t="str">
        <f t="shared" si="19"/>
        <v/>
      </c>
      <c r="V64" s="28" t="str">
        <f t="shared" si="19"/>
        <v/>
      </c>
      <c r="W64" s="28" t="str">
        <f t="shared" si="19"/>
        <v/>
      </c>
      <c r="X64" s="29" t="str">
        <f t="shared" si="19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17"/>
        <v/>
      </c>
      <c r="L65" s="19" t="str">
        <f t="shared" si="15"/>
        <v/>
      </c>
      <c r="M65" s="19" t="str">
        <f t="shared" si="18"/>
        <v/>
      </c>
      <c r="N65" s="19" t="str">
        <f t="shared" si="10"/>
        <v/>
      </c>
      <c r="O65" s="19" t="str">
        <f t="shared" si="11"/>
        <v/>
      </c>
      <c r="P65" s="19" t="str">
        <f t="shared" si="12"/>
        <v/>
      </c>
      <c r="Q65" s="19" t="str">
        <f t="shared" si="13"/>
        <v/>
      </c>
      <c r="R65" s="19" t="str">
        <f t="shared" si="3"/>
        <v/>
      </c>
      <c r="S65" s="27" t="str">
        <f t="shared" ref="S65:X80" si="20">IF(C65="","",((C65-C64)*1000)/($B65-$B64))</f>
        <v/>
      </c>
      <c r="T65" s="28" t="str">
        <f t="shared" si="20"/>
        <v/>
      </c>
      <c r="U65" s="28" t="str">
        <f t="shared" si="20"/>
        <v/>
      </c>
      <c r="V65" s="28" t="str">
        <f t="shared" si="20"/>
        <v/>
      </c>
      <c r="W65" s="28" t="str">
        <f t="shared" si="20"/>
        <v/>
      </c>
      <c r="X65" s="29" t="str">
        <f t="shared" si="20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17"/>
        <v/>
      </c>
      <c r="L66" s="19" t="str">
        <f t="shared" si="15"/>
        <v/>
      </c>
      <c r="M66" s="19" t="str">
        <f t="shared" si="18"/>
        <v/>
      </c>
      <c r="N66" s="19" t="str">
        <f t="shared" si="10"/>
        <v/>
      </c>
      <c r="O66" s="19" t="str">
        <f t="shared" si="11"/>
        <v/>
      </c>
      <c r="P66" s="19" t="str">
        <f t="shared" si="12"/>
        <v/>
      </c>
      <c r="Q66" s="19" t="str">
        <f t="shared" si="13"/>
        <v/>
      </c>
      <c r="R66" s="19" t="str">
        <f t="shared" si="3"/>
        <v/>
      </c>
      <c r="S66" s="27" t="str">
        <f t="shared" si="20"/>
        <v/>
      </c>
      <c r="T66" s="28" t="str">
        <f t="shared" si="20"/>
        <v/>
      </c>
      <c r="U66" s="28" t="str">
        <f t="shared" si="20"/>
        <v/>
      </c>
      <c r="V66" s="28" t="str">
        <f t="shared" si="20"/>
        <v/>
      </c>
      <c r="W66" s="28" t="str">
        <f t="shared" si="20"/>
        <v/>
      </c>
      <c r="X66" s="29" t="str">
        <f t="shared" si="20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17"/>
        <v/>
      </c>
      <c r="L67" s="19" t="str">
        <f t="shared" si="15"/>
        <v/>
      </c>
      <c r="M67" s="19" t="str">
        <f t="shared" si="18"/>
        <v/>
      </c>
      <c r="N67" s="19" t="str">
        <f t="shared" si="10"/>
        <v/>
      </c>
      <c r="O67" s="19" t="str">
        <f t="shared" si="11"/>
        <v/>
      </c>
      <c r="P67" s="19" t="str">
        <f t="shared" si="12"/>
        <v/>
      </c>
      <c r="Q67" s="19" t="str">
        <f t="shared" si="13"/>
        <v/>
      </c>
      <c r="R67" s="19" t="str">
        <f t="shared" si="3"/>
        <v/>
      </c>
      <c r="S67" s="27" t="str">
        <f t="shared" si="20"/>
        <v/>
      </c>
      <c r="T67" s="28" t="str">
        <f t="shared" si="20"/>
        <v/>
      </c>
      <c r="U67" s="28" t="str">
        <f t="shared" si="20"/>
        <v/>
      </c>
      <c r="V67" s="28" t="str">
        <f t="shared" si="20"/>
        <v/>
      </c>
      <c r="W67" s="28" t="str">
        <f t="shared" si="20"/>
        <v/>
      </c>
      <c r="X67" s="29" t="str">
        <f t="shared" si="20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17"/>
        <v/>
      </c>
      <c r="L68" s="19" t="str">
        <f t="shared" si="15"/>
        <v/>
      </c>
      <c r="M68" s="19" t="str">
        <f t="shared" si="18"/>
        <v/>
      </c>
      <c r="N68" s="19" t="str">
        <f t="shared" si="10"/>
        <v/>
      </c>
      <c r="O68" s="19" t="str">
        <f t="shared" si="11"/>
        <v/>
      </c>
      <c r="P68" s="19" t="str">
        <f t="shared" si="12"/>
        <v/>
      </c>
      <c r="Q68" s="19" t="str">
        <f t="shared" si="13"/>
        <v/>
      </c>
      <c r="R68" s="19" t="str">
        <f t="shared" si="3"/>
        <v/>
      </c>
      <c r="S68" s="27" t="str">
        <f t="shared" si="20"/>
        <v/>
      </c>
      <c r="T68" s="28" t="str">
        <f t="shared" si="20"/>
        <v/>
      </c>
      <c r="U68" s="28" t="str">
        <f t="shared" si="20"/>
        <v/>
      </c>
      <c r="V68" s="28" t="str">
        <f t="shared" si="20"/>
        <v/>
      </c>
      <c r="W68" s="28" t="str">
        <f t="shared" si="20"/>
        <v/>
      </c>
      <c r="X68" s="29" t="str">
        <f t="shared" si="20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17"/>
        <v/>
      </c>
      <c r="L69" s="19" t="str">
        <f t="shared" si="15"/>
        <v/>
      </c>
      <c r="M69" s="19" t="str">
        <f t="shared" si="18"/>
        <v/>
      </c>
      <c r="N69" s="19" t="str">
        <f t="shared" si="10"/>
        <v/>
      </c>
      <c r="O69" s="19" t="str">
        <f t="shared" si="11"/>
        <v/>
      </c>
      <c r="P69" s="19" t="str">
        <f t="shared" si="12"/>
        <v/>
      </c>
      <c r="Q69" s="19" t="str">
        <f t="shared" si="13"/>
        <v/>
      </c>
      <c r="R69" s="19" t="str">
        <f t="shared" si="3"/>
        <v/>
      </c>
      <c r="S69" s="27" t="str">
        <f t="shared" si="20"/>
        <v/>
      </c>
      <c r="T69" s="28" t="str">
        <f t="shared" si="20"/>
        <v/>
      </c>
      <c r="U69" s="28" t="str">
        <f t="shared" si="20"/>
        <v/>
      </c>
      <c r="V69" s="28" t="str">
        <f t="shared" si="20"/>
        <v/>
      </c>
      <c r="W69" s="28" t="str">
        <f t="shared" si="20"/>
        <v/>
      </c>
      <c r="X69" s="29" t="str">
        <f t="shared" si="20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17"/>
        <v/>
      </c>
      <c r="L70" s="19" t="str">
        <f t="shared" si="15"/>
        <v/>
      </c>
      <c r="M70" s="19" t="str">
        <f t="shared" si="18"/>
        <v/>
      </c>
      <c r="N70" s="19" t="str">
        <f t="shared" si="10"/>
        <v/>
      </c>
      <c r="O70" s="19" t="str">
        <f t="shared" si="11"/>
        <v/>
      </c>
      <c r="P70" s="19" t="str">
        <f t="shared" si="12"/>
        <v/>
      </c>
      <c r="Q70" s="19" t="str">
        <f t="shared" si="13"/>
        <v/>
      </c>
      <c r="R70" s="19" t="str">
        <f t="shared" si="3"/>
        <v/>
      </c>
      <c r="S70" s="27" t="str">
        <f t="shared" si="20"/>
        <v/>
      </c>
      <c r="T70" s="28" t="str">
        <f t="shared" si="20"/>
        <v/>
      </c>
      <c r="U70" s="28" t="str">
        <f t="shared" si="20"/>
        <v/>
      </c>
      <c r="V70" s="28" t="str">
        <f t="shared" si="20"/>
        <v/>
      </c>
      <c r="W70" s="28" t="str">
        <f t="shared" si="20"/>
        <v/>
      </c>
      <c r="X70" s="29" t="str">
        <f t="shared" si="20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17"/>
        <v/>
      </c>
      <c r="L71" s="19" t="str">
        <f t="shared" si="15"/>
        <v/>
      </c>
      <c r="M71" s="19" t="str">
        <f t="shared" si="18"/>
        <v/>
      </c>
      <c r="N71" s="19" t="str">
        <f t="shared" si="10"/>
        <v/>
      </c>
      <c r="O71" s="19" t="str">
        <f t="shared" si="11"/>
        <v/>
      </c>
      <c r="P71" s="19" t="str">
        <f t="shared" si="12"/>
        <v/>
      </c>
      <c r="Q71" s="19" t="str">
        <f t="shared" si="13"/>
        <v/>
      </c>
      <c r="R71" s="19" t="str">
        <f t="shared" si="3"/>
        <v/>
      </c>
      <c r="S71" s="27" t="str">
        <f t="shared" si="20"/>
        <v/>
      </c>
      <c r="T71" s="28" t="str">
        <f t="shared" si="20"/>
        <v/>
      </c>
      <c r="U71" s="28" t="str">
        <f t="shared" si="20"/>
        <v/>
      </c>
      <c r="V71" s="28" t="str">
        <f t="shared" si="20"/>
        <v/>
      </c>
      <c r="W71" s="28" t="str">
        <f t="shared" si="20"/>
        <v/>
      </c>
      <c r="X71" s="29" t="str">
        <f t="shared" si="20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17"/>
        <v/>
      </c>
      <c r="L72" s="19" t="str">
        <f t="shared" si="15"/>
        <v/>
      </c>
      <c r="M72" s="19" t="str">
        <f t="shared" si="18"/>
        <v/>
      </c>
      <c r="N72" s="19" t="str">
        <f t="shared" si="10"/>
        <v/>
      </c>
      <c r="O72" s="19" t="str">
        <f t="shared" si="11"/>
        <v/>
      </c>
      <c r="P72" s="19" t="str">
        <f t="shared" si="12"/>
        <v/>
      </c>
      <c r="Q72" s="19" t="str">
        <f t="shared" si="13"/>
        <v/>
      </c>
      <c r="R72" s="19" t="str">
        <f t="shared" si="3"/>
        <v/>
      </c>
      <c r="S72" s="27" t="str">
        <f t="shared" si="20"/>
        <v/>
      </c>
      <c r="T72" s="28" t="str">
        <f t="shared" si="20"/>
        <v/>
      </c>
      <c r="U72" s="28" t="str">
        <f t="shared" si="20"/>
        <v/>
      </c>
      <c r="V72" s="28" t="str">
        <f t="shared" si="20"/>
        <v/>
      </c>
      <c r="W72" s="28" t="str">
        <f t="shared" si="20"/>
        <v/>
      </c>
      <c r="X72" s="29" t="str">
        <f t="shared" si="20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17"/>
        <v/>
      </c>
      <c r="L73" s="19" t="str">
        <f t="shared" si="15"/>
        <v/>
      </c>
      <c r="M73" s="19" t="str">
        <f t="shared" si="18"/>
        <v/>
      </c>
      <c r="N73" s="19" t="str">
        <f t="shared" si="10"/>
        <v/>
      </c>
      <c r="O73" s="19" t="str">
        <f t="shared" si="11"/>
        <v/>
      </c>
      <c r="P73" s="19" t="str">
        <f t="shared" si="12"/>
        <v/>
      </c>
      <c r="Q73" s="19" t="str">
        <f t="shared" si="13"/>
        <v/>
      </c>
      <c r="R73" s="19" t="str">
        <f t="shared" si="3"/>
        <v/>
      </c>
      <c r="S73" s="27" t="str">
        <f t="shared" si="20"/>
        <v/>
      </c>
      <c r="T73" s="28" t="str">
        <f t="shared" si="20"/>
        <v/>
      </c>
      <c r="U73" s="28" t="str">
        <f t="shared" si="20"/>
        <v/>
      </c>
      <c r="V73" s="28" t="str">
        <f t="shared" si="20"/>
        <v/>
      </c>
      <c r="W73" s="28" t="str">
        <f t="shared" si="20"/>
        <v/>
      </c>
      <c r="X73" s="29" t="str">
        <f t="shared" si="20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17"/>
        <v/>
      </c>
      <c r="L74" s="19" t="str">
        <f t="shared" si="15"/>
        <v/>
      </c>
      <c r="M74" s="19" t="str">
        <f t="shared" si="18"/>
        <v/>
      </c>
      <c r="N74" s="19" t="str">
        <f t="shared" si="10"/>
        <v/>
      </c>
      <c r="O74" s="19" t="str">
        <f t="shared" si="11"/>
        <v/>
      </c>
      <c r="P74" s="19" t="str">
        <f t="shared" si="12"/>
        <v/>
      </c>
      <c r="Q74" s="19" t="str">
        <f t="shared" si="13"/>
        <v/>
      </c>
      <c r="R74" s="19" t="str">
        <f t="shared" si="3"/>
        <v/>
      </c>
      <c r="S74" s="27" t="str">
        <f t="shared" si="20"/>
        <v/>
      </c>
      <c r="T74" s="28" t="str">
        <f t="shared" si="20"/>
        <v/>
      </c>
      <c r="U74" s="28" t="str">
        <f t="shared" si="20"/>
        <v/>
      </c>
      <c r="V74" s="28" t="str">
        <f t="shared" si="20"/>
        <v/>
      </c>
      <c r="W74" s="28" t="str">
        <f t="shared" si="20"/>
        <v/>
      </c>
      <c r="X74" s="29" t="str">
        <f t="shared" si="20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17"/>
        <v/>
      </c>
      <c r="L75" s="19" t="str">
        <f t="shared" si="15"/>
        <v/>
      </c>
      <c r="M75" s="19" t="str">
        <f t="shared" si="18"/>
        <v/>
      </c>
      <c r="N75" s="19" t="str">
        <f t="shared" si="10"/>
        <v/>
      </c>
      <c r="O75" s="19" t="str">
        <f t="shared" si="11"/>
        <v/>
      </c>
      <c r="P75" s="19" t="str">
        <f t="shared" si="12"/>
        <v/>
      </c>
      <c r="Q75" s="19" t="str">
        <f t="shared" si="13"/>
        <v/>
      </c>
      <c r="R75" s="19" t="str">
        <f t="shared" si="3"/>
        <v/>
      </c>
      <c r="S75" s="27" t="str">
        <f t="shared" si="20"/>
        <v/>
      </c>
      <c r="T75" s="28" t="str">
        <f t="shared" si="20"/>
        <v/>
      </c>
      <c r="U75" s="28" t="str">
        <f t="shared" si="20"/>
        <v/>
      </c>
      <c r="V75" s="28" t="str">
        <f t="shared" si="20"/>
        <v/>
      </c>
      <c r="W75" s="28" t="str">
        <f t="shared" si="20"/>
        <v/>
      </c>
      <c r="X75" s="29" t="str">
        <f t="shared" si="20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17"/>
        <v/>
      </c>
      <c r="L76" s="19" t="str">
        <f t="shared" si="15"/>
        <v/>
      </c>
      <c r="M76" s="19" t="str">
        <f t="shared" si="18"/>
        <v/>
      </c>
      <c r="N76" s="19" t="str">
        <f t="shared" si="10"/>
        <v/>
      </c>
      <c r="O76" s="19" t="str">
        <f t="shared" si="11"/>
        <v/>
      </c>
      <c r="P76" s="19" t="str">
        <f t="shared" si="12"/>
        <v/>
      </c>
      <c r="Q76" s="19" t="str">
        <f t="shared" si="13"/>
        <v/>
      </c>
      <c r="R76" s="19" t="str">
        <f t="shared" si="3"/>
        <v/>
      </c>
      <c r="S76" s="27" t="str">
        <f t="shared" si="20"/>
        <v/>
      </c>
      <c r="T76" s="28" t="str">
        <f t="shared" si="20"/>
        <v/>
      </c>
      <c r="U76" s="28" t="str">
        <f t="shared" si="20"/>
        <v/>
      </c>
      <c r="V76" s="28" t="str">
        <f t="shared" si="20"/>
        <v/>
      </c>
      <c r="W76" s="28" t="str">
        <f t="shared" si="20"/>
        <v/>
      </c>
      <c r="X76" s="29" t="str">
        <f t="shared" si="20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17"/>
        <v/>
      </c>
      <c r="L77" s="19" t="str">
        <f t="shared" si="15"/>
        <v/>
      </c>
      <c r="M77" s="19" t="str">
        <f t="shared" si="18"/>
        <v/>
      </c>
      <c r="N77" s="19" t="str">
        <f t="shared" si="10"/>
        <v/>
      </c>
      <c r="O77" s="19" t="str">
        <f t="shared" si="11"/>
        <v/>
      </c>
      <c r="P77" s="19" t="str">
        <f t="shared" si="12"/>
        <v/>
      </c>
      <c r="Q77" s="19" t="str">
        <f t="shared" si="13"/>
        <v/>
      </c>
      <c r="R77" s="19" t="str">
        <f t="shared" si="3"/>
        <v/>
      </c>
      <c r="S77" s="27" t="str">
        <f t="shared" si="20"/>
        <v/>
      </c>
      <c r="T77" s="28" t="str">
        <f t="shared" si="20"/>
        <v/>
      </c>
      <c r="U77" s="28" t="str">
        <f t="shared" si="20"/>
        <v/>
      </c>
      <c r="V77" s="28" t="str">
        <f t="shared" si="20"/>
        <v/>
      </c>
      <c r="W77" s="28" t="str">
        <f t="shared" si="20"/>
        <v/>
      </c>
      <c r="X77" s="29" t="str">
        <f t="shared" si="20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17"/>
        <v/>
      </c>
      <c r="L78" s="19" t="str">
        <f t="shared" si="15"/>
        <v/>
      </c>
      <c r="M78" s="19" t="str">
        <f t="shared" si="18"/>
        <v/>
      </c>
      <c r="N78" s="19" t="str">
        <f t="shared" si="10"/>
        <v/>
      </c>
      <c r="O78" s="19" t="str">
        <f t="shared" si="11"/>
        <v/>
      </c>
      <c r="P78" s="19" t="str">
        <f t="shared" si="12"/>
        <v/>
      </c>
      <c r="Q78" s="19" t="str">
        <f t="shared" si="13"/>
        <v/>
      </c>
      <c r="R78" s="19" t="str">
        <f t="shared" si="3"/>
        <v/>
      </c>
      <c r="S78" s="27" t="str">
        <f t="shared" si="20"/>
        <v/>
      </c>
      <c r="T78" s="28" t="str">
        <f t="shared" si="20"/>
        <v/>
      </c>
      <c r="U78" s="28" t="str">
        <f t="shared" si="20"/>
        <v/>
      </c>
      <c r="V78" s="28" t="str">
        <f t="shared" si="20"/>
        <v/>
      </c>
      <c r="W78" s="28" t="str">
        <f t="shared" si="20"/>
        <v/>
      </c>
      <c r="X78" s="29" t="str">
        <f t="shared" si="20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17"/>
        <v/>
      </c>
      <c r="L79" s="19" t="str">
        <f t="shared" si="15"/>
        <v/>
      </c>
      <c r="M79" s="19" t="str">
        <f t="shared" si="18"/>
        <v/>
      </c>
      <c r="N79" s="19" t="str">
        <f t="shared" si="10"/>
        <v/>
      </c>
      <c r="O79" s="19" t="str">
        <f t="shared" si="11"/>
        <v/>
      </c>
      <c r="P79" s="19" t="str">
        <f t="shared" si="12"/>
        <v/>
      </c>
      <c r="Q79" s="19" t="str">
        <f t="shared" si="13"/>
        <v/>
      </c>
      <c r="R79" s="19" t="str">
        <f t="shared" si="3"/>
        <v/>
      </c>
      <c r="S79" s="27" t="str">
        <f t="shared" si="20"/>
        <v/>
      </c>
      <c r="T79" s="28" t="str">
        <f t="shared" si="20"/>
        <v/>
      </c>
      <c r="U79" s="28" t="str">
        <f t="shared" si="20"/>
        <v/>
      </c>
      <c r="V79" s="28" t="str">
        <f t="shared" si="20"/>
        <v/>
      </c>
      <c r="W79" s="28" t="str">
        <f t="shared" si="20"/>
        <v/>
      </c>
      <c r="X79" s="29" t="str">
        <f t="shared" si="20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17"/>
        <v/>
      </c>
      <c r="L80" s="19" t="str">
        <f t="shared" si="15"/>
        <v/>
      </c>
      <c r="M80" s="19" t="str">
        <f t="shared" ref="M80:M111" si="21">IF(ISBLANK(D80),"",(D80-D$16)*1000)</f>
        <v/>
      </c>
      <c r="N80" s="19" t="str">
        <f t="shared" si="10"/>
        <v/>
      </c>
      <c r="O80" s="19" t="str">
        <f t="shared" si="11"/>
        <v/>
      </c>
      <c r="P80" s="19" t="str">
        <f t="shared" si="12"/>
        <v/>
      </c>
      <c r="Q80" s="19" t="str">
        <f t="shared" si="13"/>
        <v/>
      </c>
      <c r="R80" s="19" t="str">
        <f t="shared" ref="R80:R111" si="22">IF(ISBLANK(I80),"",(I80-I$16)*1000)</f>
        <v/>
      </c>
      <c r="S80" s="27" t="str">
        <f t="shared" si="20"/>
        <v/>
      </c>
      <c r="T80" s="28" t="str">
        <f t="shared" si="20"/>
        <v/>
      </c>
      <c r="U80" s="28" t="str">
        <f t="shared" si="20"/>
        <v/>
      </c>
      <c r="V80" s="28" t="str">
        <f t="shared" si="20"/>
        <v/>
      </c>
      <c r="W80" s="28" t="str">
        <f t="shared" si="20"/>
        <v/>
      </c>
      <c r="X80" s="29" t="str">
        <f t="shared" si="20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17"/>
        <v/>
      </c>
      <c r="L81" s="19" t="str">
        <f t="shared" si="15"/>
        <v/>
      </c>
      <c r="M81" s="19" t="str">
        <f t="shared" si="21"/>
        <v/>
      </c>
      <c r="N81" s="19" t="str">
        <f t="shared" si="10"/>
        <v/>
      </c>
      <c r="O81" s="19" t="str">
        <f t="shared" si="11"/>
        <v/>
      </c>
      <c r="P81" s="19" t="str">
        <f t="shared" si="12"/>
        <v/>
      </c>
      <c r="Q81" s="19" t="str">
        <f t="shared" si="13"/>
        <v/>
      </c>
      <c r="R81" s="19" t="str">
        <f t="shared" si="22"/>
        <v/>
      </c>
      <c r="S81" s="27" t="str">
        <f t="shared" ref="S81:X96" si="23">IF(C81="","",((C81-C80)*1000)/($B81-$B80))</f>
        <v/>
      </c>
      <c r="T81" s="28" t="str">
        <f t="shared" si="23"/>
        <v/>
      </c>
      <c r="U81" s="28" t="str">
        <f t="shared" si="23"/>
        <v/>
      </c>
      <c r="V81" s="28" t="str">
        <f t="shared" si="23"/>
        <v/>
      </c>
      <c r="W81" s="28" t="str">
        <f t="shared" si="23"/>
        <v/>
      </c>
      <c r="X81" s="29" t="str">
        <f t="shared" si="2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17"/>
        <v/>
      </c>
      <c r="L82" s="19" t="str">
        <f t="shared" si="15"/>
        <v/>
      </c>
      <c r="M82" s="19" t="str">
        <f t="shared" si="21"/>
        <v/>
      </c>
      <c r="N82" s="19" t="str">
        <f t="shared" si="10"/>
        <v/>
      </c>
      <c r="O82" s="19" t="str">
        <f t="shared" si="11"/>
        <v/>
      </c>
      <c r="P82" s="19" t="str">
        <f t="shared" si="12"/>
        <v/>
      </c>
      <c r="Q82" s="19" t="str">
        <f t="shared" si="13"/>
        <v/>
      </c>
      <c r="R82" s="19" t="str">
        <f t="shared" si="22"/>
        <v/>
      </c>
      <c r="S82" s="27" t="str">
        <f t="shared" si="23"/>
        <v/>
      </c>
      <c r="T82" s="28" t="str">
        <f t="shared" si="23"/>
        <v/>
      </c>
      <c r="U82" s="28" t="str">
        <f t="shared" si="23"/>
        <v/>
      </c>
      <c r="V82" s="28" t="str">
        <f t="shared" si="23"/>
        <v/>
      </c>
      <c r="W82" s="28" t="str">
        <f t="shared" si="23"/>
        <v/>
      </c>
      <c r="X82" s="29" t="str">
        <f t="shared" si="2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17"/>
        <v/>
      </c>
      <c r="L83" s="19" t="str">
        <f t="shared" si="15"/>
        <v/>
      </c>
      <c r="M83" s="19" t="str">
        <f t="shared" si="21"/>
        <v/>
      </c>
      <c r="N83" s="19" t="str">
        <f t="shared" si="10"/>
        <v/>
      </c>
      <c r="O83" s="19" t="str">
        <f t="shared" si="11"/>
        <v/>
      </c>
      <c r="P83" s="19" t="str">
        <f t="shared" si="12"/>
        <v/>
      </c>
      <c r="Q83" s="19" t="str">
        <f t="shared" si="13"/>
        <v/>
      </c>
      <c r="R83" s="19" t="str">
        <f t="shared" si="22"/>
        <v/>
      </c>
      <c r="S83" s="27" t="str">
        <f t="shared" si="23"/>
        <v/>
      </c>
      <c r="T83" s="28" t="str">
        <f t="shared" si="23"/>
        <v/>
      </c>
      <c r="U83" s="28" t="str">
        <f t="shared" si="23"/>
        <v/>
      </c>
      <c r="V83" s="28" t="str">
        <f t="shared" si="23"/>
        <v/>
      </c>
      <c r="W83" s="28" t="str">
        <f t="shared" si="23"/>
        <v/>
      </c>
      <c r="X83" s="29" t="str">
        <f t="shared" si="2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17"/>
        <v/>
      </c>
      <c r="L84" s="19" t="str">
        <f t="shared" si="15"/>
        <v/>
      </c>
      <c r="M84" s="19" t="str">
        <f t="shared" si="21"/>
        <v/>
      </c>
      <c r="N84" s="19" t="str">
        <f t="shared" si="10"/>
        <v/>
      </c>
      <c r="O84" s="19" t="str">
        <f t="shared" si="11"/>
        <v/>
      </c>
      <c r="P84" s="19" t="str">
        <f t="shared" si="12"/>
        <v/>
      </c>
      <c r="Q84" s="19" t="str">
        <f t="shared" si="13"/>
        <v/>
      </c>
      <c r="R84" s="19" t="str">
        <f t="shared" si="22"/>
        <v/>
      </c>
      <c r="S84" s="27" t="str">
        <f t="shared" si="23"/>
        <v/>
      </c>
      <c r="T84" s="28" t="str">
        <f t="shared" si="23"/>
        <v/>
      </c>
      <c r="U84" s="28" t="str">
        <f t="shared" si="23"/>
        <v/>
      </c>
      <c r="V84" s="28" t="str">
        <f t="shared" si="23"/>
        <v/>
      </c>
      <c r="W84" s="28" t="str">
        <f t="shared" si="23"/>
        <v/>
      </c>
      <c r="X84" s="29" t="str">
        <f t="shared" si="2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17"/>
        <v/>
      </c>
      <c r="L85" s="19" t="str">
        <f t="shared" si="15"/>
        <v/>
      </c>
      <c r="M85" s="19" t="str">
        <f t="shared" si="21"/>
        <v/>
      </c>
      <c r="N85" s="19" t="str">
        <f t="shared" si="10"/>
        <v/>
      </c>
      <c r="O85" s="19" t="str">
        <f t="shared" si="11"/>
        <v/>
      </c>
      <c r="P85" s="19" t="str">
        <f t="shared" si="12"/>
        <v/>
      </c>
      <c r="Q85" s="19" t="str">
        <f t="shared" si="13"/>
        <v/>
      </c>
      <c r="R85" s="19" t="str">
        <f t="shared" si="22"/>
        <v/>
      </c>
      <c r="S85" s="27" t="str">
        <f t="shared" si="23"/>
        <v/>
      </c>
      <c r="T85" s="28" t="str">
        <f t="shared" si="23"/>
        <v/>
      </c>
      <c r="U85" s="28" t="str">
        <f t="shared" si="23"/>
        <v/>
      </c>
      <c r="V85" s="28" t="str">
        <f t="shared" si="23"/>
        <v/>
      </c>
      <c r="W85" s="28" t="str">
        <f t="shared" si="23"/>
        <v/>
      </c>
      <c r="X85" s="29" t="str">
        <f t="shared" si="2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17"/>
        <v/>
      </c>
      <c r="L86" s="19" t="str">
        <f t="shared" si="15"/>
        <v/>
      </c>
      <c r="M86" s="19" t="str">
        <f t="shared" si="21"/>
        <v/>
      </c>
      <c r="N86" s="19" t="str">
        <f t="shared" si="10"/>
        <v/>
      </c>
      <c r="O86" s="19" t="str">
        <f t="shared" si="11"/>
        <v/>
      </c>
      <c r="P86" s="19" t="str">
        <f t="shared" si="12"/>
        <v/>
      </c>
      <c r="Q86" s="19" t="str">
        <f t="shared" si="13"/>
        <v/>
      </c>
      <c r="R86" s="19" t="str">
        <f t="shared" si="22"/>
        <v/>
      </c>
      <c r="S86" s="27" t="str">
        <f t="shared" si="23"/>
        <v/>
      </c>
      <c r="T86" s="28" t="str">
        <f t="shared" si="23"/>
        <v/>
      </c>
      <c r="U86" s="28" t="str">
        <f t="shared" si="23"/>
        <v/>
      </c>
      <c r="V86" s="28" t="str">
        <f t="shared" si="23"/>
        <v/>
      </c>
      <c r="W86" s="28" t="str">
        <f t="shared" si="23"/>
        <v/>
      </c>
      <c r="X86" s="29" t="str">
        <f t="shared" si="2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17"/>
        <v/>
      </c>
      <c r="L87" s="19" t="str">
        <f t="shared" si="15"/>
        <v/>
      </c>
      <c r="M87" s="19" t="str">
        <f t="shared" si="21"/>
        <v/>
      </c>
      <c r="N87" s="19" t="str">
        <f t="shared" si="10"/>
        <v/>
      </c>
      <c r="O87" s="19" t="str">
        <f t="shared" si="11"/>
        <v/>
      </c>
      <c r="P87" s="19" t="str">
        <f t="shared" si="12"/>
        <v/>
      </c>
      <c r="Q87" s="19" t="str">
        <f t="shared" si="13"/>
        <v/>
      </c>
      <c r="R87" s="19" t="str">
        <f t="shared" si="22"/>
        <v/>
      </c>
      <c r="S87" s="27" t="str">
        <f t="shared" si="23"/>
        <v/>
      </c>
      <c r="T87" s="28" t="str">
        <f t="shared" si="23"/>
        <v/>
      </c>
      <c r="U87" s="28" t="str">
        <f t="shared" si="23"/>
        <v/>
      </c>
      <c r="V87" s="28" t="str">
        <f t="shared" si="23"/>
        <v/>
      </c>
      <c r="W87" s="28" t="str">
        <f t="shared" si="23"/>
        <v/>
      </c>
      <c r="X87" s="29" t="str">
        <f t="shared" si="2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17"/>
        <v/>
      </c>
      <c r="L88" s="19" t="str">
        <f t="shared" si="15"/>
        <v/>
      </c>
      <c r="M88" s="19" t="str">
        <f t="shared" si="21"/>
        <v/>
      </c>
      <c r="N88" s="19" t="str">
        <f t="shared" si="10"/>
        <v/>
      </c>
      <c r="O88" s="19" t="str">
        <f t="shared" si="11"/>
        <v/>
      </c>
      <c r="P88" s="19" t="str">
        <f t="shared" si="12"/>
        <v/>
      </c>
      <c r="Q88" s="19" t="str">
        <f t="shared" si="13"/>
        <v/>
      </c>
      <c r="R88" s="19" t="str">
        <f t="shared" si="22"/>
        <v/>
      </c>
      <c r="S88" s="27" t="str">
        <f t="shared" si="23"/>
        <v/>
      </c>
      <c r="T88" s="28" t="str">
        <f t="shared" si="23"/>
        <v/>
      </c>
      <c r="U88" s="28" t="str">
        <f t="shared" si="23"/>
        <v/>
      </c>
      <c r="V88" s="28" t="str">
        <f t="shared" si="23"/>
        <v/>
      </c>
      <c r="W88" s="28" t="str">
        <f t="shared" si="23"/>
        <v/>
      </c>
      <c r="X88" s="29" t="str">
        <f t="shared" si="2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17"/>
        <v/>
      </c>
      <c r="L89" s="19" t="str">
        <f t="shared" si="15"/>
        <v/>
      </c>
      <c r="M89" s="19" t="str">
        <f t="shared" si="21"/>
        <v/>
      </c>
      <c r="N89" s="19" t="str">
        <f t="shared" si="10"/>
        <v/>
      </c>
      <c r="O89" s="19" t="str">
        <f t="shared" si="11"/>
        <v/>
      </c>
      <c r="P89" s="19" t="str">
        <f t="shared" si="12"/>
        <v/>
      </c>
      <c r="Q89" s="19" t="str">
        <f t="shared" si="13"/>
        <v/>
      </c>
      <c r="R89" s="19" t="str">
        <f t="shared" si="22"/>
        <v/>
      </c>
      <c r="S89" s="27" t="str">
        <f t="shared" si="23"/>
        <v/>
      </c>
      <c r="T89" s="28" t="str">
        <f t="shared" si="23"/>
        <v/>
      </c>
      <c r="U89" s="28" t="str">
        <f t="shared" si="23"/>
        <v/>
      </c>
      <c r="V89" s="28" t="str">
        <f t="shared" si="23"/>
        <v/>
      </c>
      <c r="W89" s="28" t="str">
        <f t="shared" si="23"/>
        <v/>
      </c>
      <c r="X89" s="29" t="str">
        <f t="shared" si="2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17"/>
        <v/>
      </c>
      <c r="L90" s="19" t="str">
        <f t="shared" si="15"/>
        <v/>
      </c>
      <c r="M90" s="19" t="str">
        <f t="shared" si="21"/>
        <v/>
      </c>
      <c r="N90" s="19" t="str">
        <f t="shared" si="10"/>
        <v/>
      </c>
      <c r="O90" s="19" t="str">
        <f t="shared" si="11"/>
        <v/>
      </c>
      <c r="P90" s="19" t="str">
        <f t="shared" si="12"/>
        <v/>
      </c>
      <c r="Q90" s="19" t="str">
        <f t="shared" si="13"/>
        <v/>
      </c>
      <c r="R90" s="19" t="str">
        <f t="shared" si="22"/>
        <v/>
      </c>
      <c r="S90" s="27" t="str">
        <f t="shared" si="23"/>
        <v/>
      </c>
      <c r="T90" s="28" t="str">
        <f t="shared" si="23"/>
        <v/>
      </c>
      <c r="U90" s="28" t="str">
        <f t="shared" si="23"/>
        <v/>
      </c>
      <c r="V90" s="28" t="str">
        <f t="shared" si="23"/>
        <v/>
      </c>
      <c r="W90" s="28" t="str">
        <f t="shared" si="23"/>
        <v/>
      </c>
      <c r="X90" s="29" t="str">
        <f t="shared" si="2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17"/>
        <v/>
      </c>
      <c r="L91" s="19" t="str">
        <f t="shared" si="15"/>
        <v/>
      </c>
      <c r="M91" s="19" t="str">
        <f t="shared" si="21"/>
        <v/>
      </c>
      <c r="N91" s="19" t="str">
        <f t="shared" ref="N91:N153" si="24">IF(ISBLANK(E91),"",((E91-E$26)*1000)+N$25)</f>
        <v/>
      </c>
      <c r="O91" s="19" t="str">
        <f t="shared" ref="O91:O153" si="25">IF(ISBLANK(F91),"",((F91-F$26)*1000)+L$26)</f>
        <v/>
      </c>
      <c r="P91" s="19" t="str">
        <f t="shared" ref="P91:P153" si="26">IF(ISBLANK(G91),"",((G91-G$26)*1000)+M$26)</f>
        <v/>
      </c>
      <c r="Q91" s="19" t="str">
        <f t="shared" ref="Q91:Q153" si="27">IF(ISBLANK(H91),"",((H91-H$26)*1000)+N$26)</f>
        <v/>
      </c>
      <c r="R91" s="19" t="str">
        <f t="shared" si="22"/>
        <v/>
      </c>
      <c r="S91" s="27" t="str">
        <f t="shared" si="23"/>
        <v/>
      </c>
      <c r="T91" s="28" t="str">
        <f t="shared" si="23"/>
        <v/>
      </c>
      <c r="U91" s="28" t="str">
        <f t="shared" si="23"/>
        <v/>
      </c>
      <c r="V91" s="28" t="str">
        <f t="shared" si="23"/>
        <v/>
      </c>
      <c r="W91" s="28" t="str">
        <f t="shared" si="23"/>
        <v/>
      </c>
      <c r="X91" s="29" t="str">
        <f t="shared" si="2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17"/>
        <v/>
      </c>
      <c r="L92" s="19" t="str">
        <f t="shared" si="15"/>
        <v/>
      </c>
      <c r="M92" s="19" t="str">
        <f t="shared" si="21"/>
        <v/>
      </c>
      <c r="N92" s="19" t="str">
        <f t="shared" si="24"/>
        <v/>
      </c>
      <c r="O92" s="19" t="str">
        <f t="shared" si="25"/>
        <v/>
      </c>
      <c r="P92" s="19" t="str">
        <f t="shared" si="26"/>
        <v/>
      </c>
      <c r="Q92" s="19" t="str">
        <f t="shared" si="27"/>
        <v/>
      </c>
      <c r="R92" s="19" t="str">
        <f t="shared" si="22"/>
        <v/>
      </c>
      <c r="S92" s="27" t="str">
        <f t="shared" si="23"/>
        <v/>
      </c>
      <c r="T92" s="28" t="str">
        <f t="shared" si="23"/>
        <v/>
      </c>
      <c r="U92" s="28" t="str">
        <f t="shared" si="23"/>
        <v/>
      </c>
      <c r="V92" s="28" t="str">
        <f t="shared" si="23"/>
        <v/>
      </c>
      <c r="W92" s="28" t="str">
        <f t="shared" si="23"/>
        <v/>
      </c>
      <c r="X92" s="29" t="str">
        <f t="shared" si="2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17"/>
        <v/>
      </c>
      <c r="L93" s="19" t="str">
        <f t="shared" ref="L93:L153" si="28">IF(ISBLANK(C93),"",((C93-C$28)*1000)+L$27)</f>
        <v/>
      </c>
      <c r="M93" s="19" t="str">
        <f t="shared" si="21"/>
        <v/>
      </c>
      <c r="N93" s="19" t="str">
        <f t="shared" si="24"/>
        <v/>
      </c>
      <c r="O93" s="19" t="str">
        <f t="shared" si="25"/>
        <v/>
      </c>
      <c r="P93" s="19" t="str">
        <f t="shared" si="26"/>
        <v/>
      </c>
      <c r="Q93" s="19" t="str">
        <f t="shared" si="27"/>
        <v/>
      </c>
      <c r="R93" s="19" t="str">
        <f t="shared" si="22"/>
        <v/>
      </c>
      <c r="S93" s="27" t="str">
        <f t="shared" si="23"/>
        <v/>
      </c>
      <c r="T93" s="28" t="str">
        <f t="shared" si="23"/>
        <v/>
      </c>
      <c r="U93" s="28" t="str">
        <f t="shared" si="23"/>
        <v/>
      </c>
      <c r="V93" s="28" t="str">
        <f t="shared" si="23"/>
        <v/>
      </c>
      <c r="W93" s="28" t="str">
        <f t="shared" si="23"/>
        <v/>
      </c>
      <c r="X93" s="29" t="str">
        <f t="shared" si="2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17"/>
        <v/>
      </c>
      <c r="L94" s="19" t="str">
        <f t="shared" si="28"/>
        <v/>
      </c>
      <c r="M94" s="19" t="str">
        <f t="shared" si="21"/>
        <v/>
      </c>
      <c r="N94" s="19" t="str">
        <f t="shared" si="24"/>
        <v/>
      </c>
      <c r="O94" s="19" t="str">
        <f t="shared" si="25"/>
        <v/>
      </c>
      <c r="P94" s="19" t="str">
        <f t="shared" si="26"/>
        <v/>
      </c>
      <c r="Q94" s="19" t="str">
        <f t="shared" si="27"/>
        <v/>
      </c>
      <c r="R94" s="19" t="str">
        <f t="shared" si="22"/>
        <v/>
      </c>
      <c r="S94" s="27" t="str">
        <f t="shared" si="23"/>
        <v/>
      </c>
      <c r="T94" s="28" t="str">
        <f t="shared" si="23"/>
        <v/>
      </c>
      <c r="U94" s="28" t="str">
        <f t="shared" si="23"/>
        <v/>
      </c>
      <c r="V94" s="28" t="str">
        <f t="shared" si="23"/>
        <v/>
      </c>
      <c r="W94" s="28" t="str">
        <f t="shared" si="23"/>
        <v/>
      </c>
      <c r="X94" s="29" t="str">
        <f t="shared" si="2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17"/>
        <v/>
      </c>
      <c r="L95" s="19" t="str">
        <f t="shared" si="28"/>
        <v/>
      </c>
      <c r="M95" s="19" t="str">
        <f t="shared" si="21"/>
        <v/>
      </c>
      <c r="N95" s="19" t="str">
        <f t="shared" si="24"/>
        <v/>
      </c>
      <c r="O95" s="19" t="str">
        <f t="shared" si="25"/>
        <v/>
      </c>
      <c r="P95" s="19" t="str">
        <f t="shared" si="26"/>
        <v/>
      </c>
      <c r="Q95" s="19" t="str">
        <f t="shared" si="27"/>
        <v/>
      </c>
      <c r="R95" s="19" t="str">
        <f t="shared" si="22"/>
        <v/>
      </c>
      <c r="S95" s="27" t="str">
        <f t="shared" si="23"/>
        <v/>
      </c>
      <c r="T95" s="28" t="str">
        <f t="shared" si="23"/>
        <v/>
      </c>
      <c r="U95" s="28" t="str">
        <f t="shared" si="23"/>
        <v/>
      </c>
      <c r="V95" s="28" t="str">
        <f t="shared" si="23"/>
        <v/>
      </c>
      <c r="W95" s="28" t="str">
        <f t="shared" si="23"/>
        <v/>
      </c>
      <c r="X95" s="29" t="str">
        <f t="shared" si="2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17"/>
        <v/>
      </c>
      <c r="L96" s="19" t="str">
        <f t="shared" si="28"/>
        <v/>
      </c>
      <c r="M96" s="19" t="str">
        <f t="shared" si="21"/>
        <v/>
      </c>
      <c r="N96" s="19" t="str">
        <f t="shared" si="24"/>
        <v/>
      </c>
      <c r="O96" s="19" t="str">
        <f t="shared" si="25"/>
        <v/>
      </c>
      <c r="P96" s="19" t="str">
        <f t="shared" si="26"/>
        <v/>
      </c>
      <c r="Q96" s="19" t="str">
        <f t="shared" si="27"/>
        <v/>
      </c>
      <c r="R96" s="19" t="str">
        <f t="shared" si="22"/>
        <v/>
      </c>
      <c r="S96" s="27" t="str">
        <f t="shared" si="23"/>
        <v/>
      </c>
      <c r="T96" s="28" t="str">
        <f t="shared" si="23"/>
        <v/>
      </c>
      <c r="U96" s="28" t="str">
        <f t="shared" si="23"/>
        <v/>
      </c>
      <c r="V96" s="28" t="str">
        <f t="shared" si="23"/>
        <v/>
      </c>
      <c r="W96" s="28" t="str">
        <f t="shared" si="23"/>
        <v/>
      </c>
      <c r="X96" s="29" t="str">
        <f t="shared" si="2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si="17"/>
        <v/>
      </c>
      <c r="L97" s="19" t="str">
        <f t="shared" si="28"/>
        <v/>
      </c>
      <c r="M97" s="19" t="str">
        <f t="shared" si="21"/>
        <v/>
      </c>
      <c r="N97" s="19" t="str">
        <f t="shared" si="24"/>
        <v/>
      </c>
      <c r="O97" s="19" t="str">
        <f t="shared" si="25"/>
        <v/>
      </c>
      <c r="P97" s="19" t="str">
        <f t="shared" si="26"/>
        <v/>
      </c>
      <c r="Q97" s="19" t="str">
        <f t="shared" si="27"/>
        <v/>
      </c>
      <c r="R97" s="19" t="str">
        <f t="shared" si="22"/>
        <v/>
      </c>
      <c r="S97" s="27" t="str">
        <f t="shared" ref="S97:X112" si="29">IF(C97="","",((C97-C96)*1000)/($B97-$B96))</f>
        <v/>
      </c>
      <c r="T97" s="28" t="str">
        <f t="shared" si="29"/>
        <v/>
      </c>
      <c r="U97" s="28" t="str">
        <f t="shared" si="29"/>
        <v/>
      </c>
      <c r="V97" s="28" t="str">
        <f t="shared" si="29"/>
        <v/>
      </c>
      <c r="W97" s="28" t="str">
        <f t="shared" si="29"/>
        <v/>
      </c>
      <c r="X97" s="29" t="str">
        <f t="shared" si="2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7"/>
        <v/>
      </c>
      <c r="L98" s="19" t="str">
        <f t="shared" si="28"/>
        <v/>
      </c>
      <c r="M98" s="19" t="str">
        <f t="shared" si="21"/>
        <v/>
      </c>
      <c r="N98" s="19" t="str">
        <f t="shared" si="24"/>
        <v/>
      </c>
      <c r="O98" s="19" t="str">
        <f t="shared" si="25"/>
        <v/>
      </c>
      <c r="P98" s="19" t="str">
        <f t="shared" si="26"/>
        <v/>
      </c>
      <c r="Q98" s="19" t="str">
        <f t="shared" si="27"/>
        <v/>
      </c>
      <c r="R98" s="19" t="str">
        <f t="shared" si="22"/>
        <v/>
      </c>
      <c r="S98" s="27" t="str">
        <f t="shared" si="29"/>
        <v/>
      </c>
      <c r="T98" s="28" t="str">
        <f t="shared" si="29"/>
        <v/>
      </c>
      <c r="U98" s="28" t="str">
        <f t="shared" si="29"/>
        <v/>
      </c>
      <c r="V98" s="28" t="str">
        <f t="shared" si="29"/>
        <v/>
      </c>
      <c r="W98" s="28" t="str">
        <f t="shared" si="29"/>
        <v/>
      </c>
      <c r="X98" s="29" t="str">
        <f t="shared" si="2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7"/>
        <v/>
      </c>
      <c r="L99" s="19" t="str">
        <f t="shared" si="28"/>
        <v/>
      </c>
      <c r="M99" s="19" t="str">
        <f t="shared" si="21"/>
        <v/>
      </c>
      <c r="N99" s="19" t="str">
        <f t="shared" si="24"/>
        <v/>
      </c>
      <c r="O99" s="19" t="str">
        <f t="shared" si="25"/>
        <v/>
      </c>
      <c r="P99" s="19" t="str">
        <f t="shared" si="26"/>
        <v/>
      </c>
      <c r="Q99" s="19" t="str">
        <f t="shared" si="27"/>
        <v/>
      </c>
      <c r="R99" s="19" t="str">
        <f t="shared" si="22"/>
        <v/>
      </c>
      <c r="S99" s="27" t="str">
        <f t="shared" si="29"/>
        <v/>
      </c>
      <c r="T99" s="28" t="str">
        <f t="shared" si="29"/>
        <v/>
      </c>
      <c r="U99" s="28" t="str">
        <f t="shared" si="29"/>
        <v/>
      </c>
      <c r="V99" s="28" t="str">
        <f t="shared" si="29"/>
        <v/>
      </c>
      <c r="W99" s="28" t="str">
        <f t="shared" si="29"/>
        <v/>
      </c>
      <c r="X99" s="29" t="str">
        <f t="shared" si="2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ref="K100:K153" si="30">IF(ISBLANK(J100),"",(J100-$J$8))</f>
        <v/>
      </c>
      <c r="L100" s="19" t="str">
        <f t="shared" si="28"/>
        <v/>
      </c>
      <c r="M100" s="19" t="str">
        <f t="shared" si="21"/>
        <v/>
      </c>
      <c r="N100" s="19" t="str">
        <f t="shared" si="24"/>
        <v/>
      </c>
      <c r="O100" s="19" t="str">
        <f t="shared" si="25"/>
        <v/>
      </c>
      <c r="P100" s="19" t="str">
        <f t="shared" si="26"/>
        <v/>
      </c>
      <c r="Q100" s="19" t="str">
        <f t="shared" si="27"/>
        <v/>
      </c>
      <c r="R100" s="19" t="str">
        <f t="shared" si="22"/>
        <v/>
      </c>
      <c r="S100" s="27" t="str">
        <f t="shared" si="29"/>
        <v/>
      </c>
      <c r="T100" s="28" t="str">
        <f t="shared" si="29"/>
        <v/>
      </c>
      <c r="U100" s="28" t="str">
        <f t="shared" si="29"/>
        <v/>
      </c>
      <c r="V100" s="28" t="str">
        <f t="shared" si="29"/>
        <v/>
      </c>
      <c r="W100" s="28" t="str">
        <f t="shared" si="29"/>
        <v/>
      </c>
      <c r="X100" s="29" t="str">
        <f t="shared" si="2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30"/>
        <v/>
      </c>
      <c r="L101" s="19" t="str">
        <f t="shared" si="28"/>
        <v/>
      </c>
      <c r="M101" s="19" t="str">
        <f t="shared" si="21"/>
        <v/>
      </c>
      <c r="N101" s="19" t="str">
        <f t="shared" si="24"/>
        <v/>
      </c>
      <c r="O101" s="19" t="str">
        <f t="shared" si="25"/>
        <v/>
      </c>
      <c r="P101" s="19" t="str">
        <f t="shared" si="26"/>
        <v/>
      </c>
      <c r="Q101" s="19" t="str">
        <f t="shared" si="27"/>
        <v/>
      </c>
      <c r="R101" s="19" t="str">
        <f t="shared" si="22"/>
        <v/>
      </c>
      <c r="S101" s="27" t="str">
        <f t="shared" si="29"/>
        <v/>
      </c>
      <c r="T101" s="28" t="str">
        <f t="shared" si="29"/>
        <v/>
      </c>
      <c r="U101" s="28" t="str">
        <f t="shared" si="29"/>
        <v/>
      </c>
      <c r="V101" s="28" t="str">
        <f t="shared" si="29"/>
        <v/>
      </c>
      <c r="W101" s="28" t="str">
        <f t="shared" si="29"/>
        <v/>
      </c>
      <c r="X101" s="29" t="str">
        <f t="shared" si="2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30"/>
        <v/>
      </c>
      <c r="L102" s="19" t="str">
        <f t="shared" si="28"/>
        <v/>
      </c>
      <c r="M102" s="19" t="str">
        <f t="shared" si="21"/>
        <v/>
      </c>
      <c r="N102" s="19" t="str">
        <f t="shared" si="24"/>
        <v/>
      </c>
      <c r="O102" s="19" t="str">
        <f t="shared" si="25"/>
        <v/>
      </c>
      <c r="P102" s="19" t="str">
        <f t="shared" si="26"/>
        <v/>
      </c>
      <c r="Q102" s="19" t="str">
        <f t="shared" si="27"/>
        <v/>
      </c>
      <c r="R102" s="19" t="str">
        <f t="shared" si="22"/>
        <v/>
      </c>
      <c r="S102" s="27" t="str">
        <f t="shared" si="29"/>
        <v/>
      </c>
      <c r="T102" s="28" t="str">
        <f t="shared" si="29"/>
        <v/>
      </c>
      <c r="U102" s="28" t="str">
        <f t="shared" si="29"/>
        <v/>
      </c>
      <c r="V102" s="28" t="str">
        <f t="shared" si="29"/>
        <v/>
      </c>
      <c r="W102" s="28" t="str">
        <f t="shared" si="29"/>
        <v/>
      </c>
      <c r="X102" s="29" t="str">
        <f t="shared" si="2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30"/>
        <v/>
      </c>
      <c r="L103" s="19" t="str">
        <f t="shared" si="28"/>
        <v/>
      </c>
      <c r="M103" s="19" t="str">
        <f t="shared" si="21"/>
        <v/>
      </c>
      <c r="N103" s="19" t="str">
        <f t="shared" si="24"/>
        <v/>
      </c>
      <c r="O103" s="19" t="str">
        <f t="shared" si="25"/>
        <v/>
      </c>
      <c r="P103" s="19" t="str">
        <f t="shared" si="26"/>
        <v/>
      </c>
      <c r="Q103" s="19" t="str">
        <f t="shared" si="27"/>
        <v/>
      </c>
      <c r="R103" s="19" t="str">
        <f t="shared" si="22"/>
        <v/>
      </c>
      <c r="S103" s="27" t="str">
        <f t="shared" si="29"/>
        <v/>
      </c>
      <c r="T103" s="28" t="str">
        <f t="shared" si="29"/>
        <v/>
      </c>
      <c r="U103" s="28" t="str">
        <f t="shared" si="29"/>
        <v/>
      </c>
      <c r="V103" s="28" t="str">
        <f t="shared" si="29"/>
        <v/>
      </c>
      <c r="W103" s="28" t="str">
        <f t="shared" si="29"/>
        <v/>
      </c>
      <c r="X103" s="29" t="str">
        <f t="shared" si="2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30"/>
        <v/>
      </c>
      <c r="L104" s="19" t="str">
        <f t="shared" si="28"/>
        <v/>
      </c>
      <c r="M104" s="19" t="str">
        <f t="shared" si="21"/>
        <v/>
      </c>
      <c r="N104" s="19" t="str">
        <f t="shared" si="24"/>
        <v/>
      </c>
      <c r="O104" s="19" t="str">
        <f t="shared" si="25"/>
        <v/>
      </c>
      <c r="P104" s="19" t="str">
        <f t="shared" si="26"/>
        <v/>
      </c>
      <c r="Q104" s="19" t="str">
        <f t="shared" si="27"/>
        <v/>
      </c>
      <c r="R104" s="19" t="str">
        <f t="shared" si="22"/>
        <v/>
      </c>
      <c r="S104" s="27" t="str">
        <f t="shared" si="29"/>
        <v/>
      </c>
      <c r="T104" s="28" t="str">
        <f t="shared" si="29"/>
        <v/>
      </c>
      <c r="U104" s="28" t="str">
        <f t="shared" si="29"/>
        <v/>
      </c>
      <c r="V104" s="28" t="str">
        <f t="shared" si="29"/>
        <v/>
      </c>
      <c r="W104" s="28" t="str">
        <f t="shared" si="29"/>
        <v/>
      </c>
      <c r="X104" s="29" t="str">
        <f t="shared" si="2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30"/>
        <v/>
      </c>
      <c r="L105" s="19" t="str">
        <f t="shared" si="28"/>
        <v/>
      </c>
      <c r="M105" s="19" t="str">
        <f t="shared" si="21"/>
        <v/>
      </c>
      <c r="N105" s="19" t="str">
        <f t="shared" si="24"/>
        <v/>
      </c>
      <c r="O105" s="19" t="str">
        <f t="shared" si="25"/>
        <v/>
      </c>
      <c r="P105" s="19" t="str">
        <f t="shared" si="26"/>
        <v/>
      </c>
      <c r="Q105" s="19" t="str">
        <f t="shared" si="27"/>
        <v/>
      </c>
      <c r="R105" s="19" t="str">
        <f t="shared" si="22"/>
        <v/>
      </c>
      <c r="S105" s="27" t="str">
        <f t="shared" si="29"/>
        <v/>
      </c>
      <c r="T105" s="28" t="str">
        <f t="shared" si="29"/>
        <v/>
      </c>
      <c r="U105" s="28" t="str">
        <f t="shared" si="29"/>
        <v/>
      </c>
      <c r="V105" s="28" t="str">
        <f t="shared" si="29"/>
        <v/>
      </c>
      <c r="W105" s="28" t="str">
        <f t="shared" si="29"/>
        <v/>
      </c>
      <c r="X105" s="29" t="str">
        <f t="shared" si="2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30"/>
        <v/>
      </c>
      <c r="L106" s="19" t="str">
        <f t="shared" si="28"/>
        <v/>
      </c>
      <c r="M106" s="19" t="str">
        <f t="shared" si="21"/>
        <v/>
      </c>
      <c r="N106" s="19" t="str">
        <f t="shared" si="24"/>
        <v/>
      </c>
      <c r="O106" s="19" t="str">
        <f t="shared" si="25"/>
        <v/>
      </c>
      <c r="P106" s="19" t="str">
        <f t="shared" si="26"/>
        <v/>
      </c>
      <c r="Q106" s="19" t="str">
        <f t="shared" si="27"/>
        <v/>
      </c>
      <c r="R106" s="19" t="str">
        <f t="shared" si="22"/>
        <v/>
      </c>
      <c r="S106" s="27" t="str">
        <f t="shared" si="29"/>
        <v/>
      </c>
      <c r="T106" s="28" t="str">
        <f t="shared" si="29"/>
        <v/>
      </c>
      <c r="U106" s="28" t="str">
        <f t="shared" si="29"/>
        <v/>
      </c>
      <c r="V106" s="28" t="str">
        <f t="shared" si="29"/>
        <v/>
      </c>
      <c r="W106" s="28" t="str">
        <f t="shared" si="29"/>
        <v/>
      </c>
      <c r="X106" s="29" t="str">
        <f t="shared" si="2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30"/>
        <v/>
      </c>
      <c r="L107" s="19" t="str">
        <f t="shared" si="28"/>
        <v/>
      </c>
      <c r="M107" s="19" t="str">
        <f t="shared" si="21"/>
        <v/>
      </c>
      <c r="N107" s="19" t="str">
        <f t="shared" si="24"/>
        <v/>
      </c>
      <c r="O107" s="19" t="str">
        <f t="shared" si="25"/>
        <v/>
      </c>
      <c r="P107" s="19" t="str">
        <f t="shared" si="26"/>
        <v/>
      </c>
      <c r="Q107" s="19" t="str">
        <f t="shared" si="27"/>
        <v/>
      </c>
      <c r="R107" s="19" t="str">
        <f t="shared" si="22"/>
        <v/>
      </c>
      <c r="S107" s="27" t="str">
        <f t="shared" si="29"/>
        <v/>
      </c>
      <c r="T107" s="28" t="str">
        <f t="shared" si="29"/>
        <v/>
      </c>
      <c r="U107" s="28" t="str">
        <f t="shared" si="29"/>
        <v/>
      </c>
      <c r="V107" s="28" t="str">
        <f t="shared" si="29"/>
        <v/>
      </c>
      <c r="W107" s="28" t="str">
        <f t="shared" si="29"/>
        <v/>
      </c>
      <c r="X107" s="29" t="str">
        <f t="shared" si="2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30"/>
        <v/>
      </c>
      <c r="L108" s="19" t="str">
        <f t="shared" si="28"/>
        <v/>
      </c>
      <c r="M108" s="19" t="str">
        <f t="shared" si="21"/>
        <v/>
      </c>
      <c r="N108" s="19" t="str">
        <f t="shared" si="24"/>
        <v/>
      </c>
      <c r="O108" s="19" t="str">
        <f t="shared" si="25"/>
        <v/>
      </c>
      <c r="P108" s="19" t="str">
        <f t="shared" si="26"/>
        <v/>
      </c>
      <c r="Q108" s="19" t="str">
        <f t="shared" si="27"/>
        <v/>
      </c>
      <c r="R108" s="19" t="str">
        <f t="shared" si="22"/>
        <v/>
      </c>
      <c r="S108" s="27" t="str">
        <f t="shared" si="29"/>
        <v/>
      </c>
      <c r="T108" s="28" t="str">
        <f t="shared" si="29"/>
        <v/>
      </c>
      <c r="U108" s="28" t="str">
        <f t="shared" si="29"/>
        <v/>
      </c>
      <c r="V108" s="28" t="str">
        <f t="shared" si="29"/>
        <v/>
      </c>
      <c r="W108" s="28" t="str">
        <f t="shared" si="29"/>
        <v/>
      </c>
      <c r="X108" s="29" t="str">
        <f t="shared" si="2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30"/>
        <v/>
      </c>
      <c r="L109" s="19" t="str">
        <f t="shared" si="28"/>
        <v/>
      </c>
      <c r="M109" s="19" t="str">
        <f t="shared" si="21"/>
        <v/>
      </c>
      <c r="N109" s="19" t="str">
        <f t="shared" si="24"/>
        <v/>
      </c>
      <c r="O109" s="19" t="str">
        <f t="shared" si="25"/>
        <v/>
      </c>
      <c r="P109" s="19" t="str">
        <f t="shared" si="26"/>
        <v/>
      </c>
      <c r="Q109" s="19" t="str">
        <f t="shared" si="27"/>
        <v/>
      </c>
      <c r="R109" s="19" t="str">
        <f t="shared" si="22"/>
        <v/>
      </c>
      <c r="S109" s="27" t="str">
        <f t="shared" si="29"/>
        <v/>
      </c>
      <c r="T109" s="28" t="str">
        <f t="shared" si="29"/>
        <v/>
      </c>
      <c r="U109" s="28" t="str">
        <f t="shared" si="29"/>
        <v/>
      </c>
      <c r="V109" s="28" t="str">
        <f t="shared" si="29"/>
        <v/>
      </c>
      <c r="W109" s="28" t="str">
        <f t="shared" si="29"/>
        <v/>
      </c>
      <c r="X109" s="29" t="str">
        <f t="shared" si="2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30"/>
        <v/>
      </c>
      <c r="L110" s="19" t="str">
        <f t="shared" si="28"/>
        <v/>
      </c>
      <c r="M110" s="19" t="str">
        <f t="shared" si="21"/>
        <v/>
      </c>
      <c r="N110" s="19" t="str">
        <f t="shared" si="24"/>
        <v/>
      </c>
      <c r="O110" s="19" t="str">
        <f t="shared" si="25"/>
        <v/>
      </c>
      <c r="P110" s="19" t="str">
        <f t="shared" si="26"/>
        <v/>
      </c>
      <c r="Q110" s="19" t="str">
        <f t="shared" si="27"/>
        <v/>
      </c>
      <c r="R110" s="19" t="str">
        <f t="shared" si="22"/>
        <v/>
      </c>
      <c r="S110" s="27" t="str">
        <f t="shared" si="29"/>
        <v/>
      </c>
      <c r="T110" s="28" t="str">
        <f t="shared" si="29"/>
        <v/>
      </c>
      <c r="U110" s="28" t="str">
        <f t="shared" si="29"/>
        <v/>
      </c>
      <c r="V110" s="28" t="str">
        <f t="shared" si="29"/>
        <v/>
      </c>
      <c r="W110" s="28" t="str">
        <f t="shared" si="29"/>
        <v/>
      </c>
      <c r="X110" s="29" t="str">
        <f t="shared" si="2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30"/>
        <v/>
      </c>
      <c r="L111" s="19" t="str">
        <f t="shared" si="28"/>
        <v/>
      </c>
      <c r="M111" s="19" t="str">
        <f t="shared" si="21"/>
        <v/>
      </c>
      <c r="N111" s="19" t="str">
        <f t="shared" si="24"/>
        <v/>
      </c>
      <c r="O111" s="19" t="str">
        <f t="shared" si="25"/>
        <v/>
      </c>
      <c r="P111" s="19" t="str">
        <f t="shared" si="26"/>
        <v/>
      </c>
      <c r="Q111" s="19" t="str">
        <f t="shared" si="27"/>
        <v/>
      </c>
      <c r="R111" s="19" t="str">
        <f t="shared" si="22"/>
        <v/>
      </c>
      <c r="S111" s="27" t="str">
        <f t="shared" si="29"/>
        <v/>
      </c>
      <c r="T111" s="28" t="str">
        <f t="shared" si="29"/>
        <v/>
      </c>
      <c r="U111" s="28" t="str">
        <f t="shared" si="29"/>
        <v/>
      </c>
      <c r="V111" s="28" t="str">
        <f t="shared" si="29"/>
        <v/>
      </c>
      <c r="W111" s="28" t="str">
        <f t="shared" si="29"/>
        <v/>
      </c>
      <c r="X111" s="29" t="str">
        <f t="shared" si="2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30"/>
        <v/>
      </c>
      <c r="L112" s="19" t="str">
        <f t="shared" si="28"/>
        <v/>
      </c>
      <c r="M112" s="19" t="str">
        <f t="shared" ref="M112:M143" si="31">IF(ISBLANK(D112),"",(D112-D$16)*1000)</f>
        <v/>
      </c>
      <c r="N112" s="19" t="str">
        <f t="shared" si="24"/>
        <v/>
      </c>
      <c r="O112" s="19" t="str">
        <f t="shared" si="25"/>
        <v/>
      </c>
      <c r="P112" s="19" t="str">
        <f t="shared" si="26"/>
        <v/>
      </c>
      <c r="Q112" s="19" t="str">
        <f t="shared" si="27"/>
        <v/>
      </c>
      <c r="R112" s="19" t="str">
        <f t="shared" ref="R112:R143" si="32">IF(ISBLANK(I112),"",(I112-I$16)*1000)</f>
        <v/>
      </c>
      <c r="S112" s="27" t="str">
        <f t="shared" si="29"/>
        <v/>
      </c>
      <c r="T112" s="28" t="str">
        <f t="shared" si="29"/>
        <v/>
      </c>
      <c r="U112" s="28" t="str">
        <f t="shared" si="29"/>
        <v/>
      </c>
      <c r="V112" s="28" t="str">
        <f t="shared" si="29"/>
        <v/>
      </c>
      <c r="W112" s="28" t="str">
        <f t="shared" si="29"/>
        <v/>
      </c>
      <c r="X112" s="29" t="str">
        <f t="shared" si="2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30"/>
        <v/>
      </c>
      <c r="L113" s="19" t="str">
        <f t="shared" si="28"/>
        <v/>
      </c>
      <c r="M113" s="19" t="str">
        <f t="shared" si="31"/>
        <v/>
      </c>
      <c r="N113" s="19" t="str">
        <f t="shared" si="24"/>
        <v/>
      </c>
      <c r="O113" s="19" t="str">
        <f t="shared" si="25"/>
        <v/>
      </c>
      <c r="P113" s="19" t="str">
        <f t="shared" si="26"/>
        <v/>
      </c>
      <c r="Q113" s="19" t="str">
        <f t="shared" si="27"/>
        <v/>
      </c>
      <c r="R113" s="19" t="str">
        <f t="shared" si="32"/>
        <v/>
      </c>
      <c r="S113" s="27" t="str">
        <f t="shared" ref="S113:X128" si="33">IF(C113="","",((C113-C112)*1000)/($B113-$B112))</f>
        <v/>
      </c>
      <c r="T113" s="28" t="str">
        <f t="shared" si="33"/>
        <v/>
      </c>
      <c r="U113" s="28" t="str">
        <f t="shared" si="33"/>
        <v/>
      </c>
      <c r="V113" s="28" t="str">
        <f t="shared" si="33"/>
        <v/>
      </c>
      <c r="W113" s="28" t="str">
        <f t="shared" si="33"/>
        <v/>
      </c>
      <c r="X113" s="29" t="str">
        <f t="shared" si="33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30"/>
        <v/>
      </c>
      <c r="L114" s="19" t="str">
        <f t="shared" si="28"/>
        <v/>
      </c>
      <c r="M114" s="19" t="str">
        <f t="shared" si="31"/>
        <v/>
      </c>
      <c r="N114" s="19" t="str">
        <f t="shared" si="24"/>
        <v/>
      </c>
      <c r="O114" s="19" t="str">
        <f t="shared" si="25"/>
        <v/>
      </c>
      <c r="P114" s="19" t="str">
        <f t="shared" si="26"/>
        <v/>
      </c>
      <c r="Q114" s="19" t="str">
        <f t="shared" si="27"/>
        <v/>
      </c>
      <c r="R114" s="19" t="str">
        <f t="shared" si="32"/>
        <v/>
      </c>
      <c r="S114" s="27" t="str">
        <f t="shared" si="33"/>
        <v/>
      </c>
      <c r="T114" s="28" t="str">
        <f t="shared" si="33"/>
        <v/>
      </c>
      <c r="U114" s="28" t="str">
        <f t="shared" si="33"/>
        <v/>
      </c>
      <c r="V114" s="28" t="str">
        <f t="shared" si="33"/>
        <v/>
      </c>
      <c r="W114" s="28" t="str">
        <f t="shared" si="33"/>
        <v/>
      </c>
      <c r="X114" s="29" t="str">
        <f t="shared" si="33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30"/>
        <v/>
      </c>
      <c r="L115" s="19" t="str">
        <f t="shared" si="28"/>
        <v/>
      </c>
      <c r="M115" s="19" t="str">
        <f t="shared" si="31"/>
        <v/>
      </c>
      <c r="N115" s="19" t="str">
        <f t="shared" si="24"/>
        <v/>
      </c>
      <c r="O115" s="19" t="str">
        <f t="shared" si="25"/>
        <v/>
      </c>
      <c r="P115" s="19" t="str">
        <f t="shared" si="26"/>
        <v/>
      </c>
      <c r="Q115" s="19" t="str">
        <f t="shared" si="27"/>
        <v/>
      </c>
      <c r="R115" s="19" t="str">
        <f t="shared" si="32"/>
        <v/>
      </c>
      <c r="S115" s="27" t="str">
        <f t="shared" si="33"/>
        <v/>
      </c>
      <c r="T115" s="28" t="str">
        <f t="shared" si="33"/>
        <v/>
      </c>
      <c r="U115" s="28" t="str">
        <f t="shared" si="33"/>
        <v/>
      </c>
      <c r="V115" s="28" t="str">
        <f t="shared" si="33"/>
        <v/>
      </c>
      <c r="W115" s="28" t="str">
        <f t="shared" si="33"/>
        <v/>
      </c>
      <c r="X115" s="29" t="str">
        <f t="shared" si="33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30"/>
        <v/>
      </c>
      <c r="L116" s="19" t="str">
        <f t="shared" si="28"/>
        <v/>
      </c>
      <c r="M116" s="19" t="str">
        <f t="shared" si="31"/>
        <v/>
      </c>
      <c r="N116" s="19" t="str">
        <f t="shared" si="24"/>
        <v/>
      </c>
      <c r="O116" s="19" t="str">
        <f t="shared" si="25"/>
        <v/>
      </c>
      <c r="P116" s="19" t="str">
        <f t="shared" si="26"/>
        <v/>
      </c>
      <c r="Q116" s="19" t="str">
        <f t="shared" si="27"/>
        <v/>
      </c>
      <c r="R116" s="19" t="str">
        <f t="shared" si="32"/>
        <v/>
      </c>
      <c r="S116" s="27" t="str">
        <f t="shared" si="33"/>
        <v/>
      </c>
      <c r="T116" s="28" t="str">
        <f t="shared" si="33"/>
        <v/>
      </c>
      <c r="U116" s="28" t="str">
        <f t="shared" si="33"/>
        <v/>
      </c>
      <c r="V116" s="28" t="str">
        <f t="shared" si="33"/>
        <v/>
      </c>
      <c r="W116" s="28" t="str">
        <f t="shared" si="33"/>
        <v/>
      </c>
      <c r="X116" s="29" t="str">
        <f t="shared" si="33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30"/>
        <v/>
      </c>
      <c r="L117" s="19" t="str">
        <f t="shared" si="28"/>
        <v/>
      </c>
      <c r="M117" s="19" t="str">
        <f t="shared" si="31"/>
        <v/>
      </c>
      <c r="N117" s="19" t="str">
        <f t="shared" si="24"/>
        <v/>
      </c>
      <c r="O117" s="19" t="str">
        <f t="shared" si="25"/>
        <v/>
      </c>
      <c r="P117" s="19" t="str">
        <f t="shared" si="26"/>
        <v/>
      </c>
      <c r="Q117" s="19" t="str">
        <f t="shared" si="27"/>
        <v/>
      </c>
      <c r="R117" s="19" t="str">
        <f t="shared" si="32"/>
        <v/>
      </c>
      <c r="S117" s="27" t="str">
        <f t="shared" si="33"/>
        <v/>
      </c>
      <c r="T117" s="28" t="str">
        <f t="shared" si="33"/>
        <v/>
      </c>
      <c r="U117" s="28" t="str">
        <f t="shared" si="33"/>
        <v/>
      </c>
      <c r="V117" s="28" t="str">
        <f t="shared" si="33"/>
        <v/>
      </c>
      <c r="W117" s="28" t="str">
        <f t="shared" si="33"/>
        <v/>
      </c>
      <c r="X117" s="29" t="str">
        <f t="shared" si="33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30"/>
        <v/>
      </c>
      <c r="L118" s="19" t="str">
        <f t="shared" si="28"/>
        <v/>
      </c>
      <c r="M118" s="19" t="str">
        <f t="shared" si="31"/>
        <v/>
      </c>
      <c r="N118" s="19" t="str">
        <f t="shared" si="24"/>
        <v/>
      </c>
      <c r="O118" s="19" t="str">
        <f t="shared" si="25"/>
        <v/>
      </c>
      <c r="P118" s="19" t="str">
        <f t="shared" si="26"/>
        <v/>
      </c>
      <c r="Q118" s="19" t="str">
        <f t="shared" si="27"/>
        <v/>
      </c>
      <c r="R118" s="19" t="str">
        <f t="shared" si="32"/>
        <v/>
      </c>
      <c r="S118" s="27" t="str">
        <f t="shared" si="33"/>
        <v/>
      </c>
      <c r="T118" s="28" t="str">
        <f t="shared" si="33"/>
        <v/>
      </c>
      <c r="U118" s="28" t="str">
        <f t="shared" si="33"/>
        <v/>
      </c>
      <c r="V118" s="28" t="str">
        <f t="shared" si="33"/>
        <v/>
      </c>
      <c r="W118" s="28" t="str">
        <f t="shared" si="33"/>
        <v/>
      </c>
      <c r="X118" s="29" t="str">
        <f t="shared" si="33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30"/>
        <v/>
      </c>
      <c r="L119" s="19" t="str">
        <f t="shared" si="28"/>
        <v/>
      </c>
      <c r="M119" s="19" t="str">
        <f t="shared" si="31"/>
        <v/>
      </c>
      <c r="N119" s="19" t="str">
        <f t="shared" si="24"/>
        <v/>
      </c>
      <c r="O119" s="19" t="str">
        <f t="shared" si="25"/>
        <v/>
      </c>
      <c r="P119" s="19" t="str">
        <f t="shared" si="26"/>
        <v/>
      </c>
      <c r="Q119" s="19" t="str">
        <f t="shared" si="27"/>
        <v/>
      </c>
      <c r="R119" s="19" t="str">
        <f t="shared" si="32"/>
        <v/>
      </c>
      <c r="S119" s="27" t="str">
        <f t="shared" si="33"/>
        <v/>
      </c>
      <c r="T119" s="28" t="str">
        <f t="shared" si="33"/>
        <v/>
      </c>
      <c r="U119" s="28" t="str">
        <f t="shared" si="33"/>
        <v/>
      </c>
      <c r="V119" s="28" t="str">
        <f t="shared" si="33"/>
        <v/>
      </c>
      <c r="W119" s="28" t="str">
        <f t="shared" si="33"/>
        <v/>
      </c>
      <c r="X119" s="29" t="str">
        <f t="shared" si="33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30"/>
        <v/>
      </c>
      <c r="L120" s="19" t="str">
        <f t="shared" si="28"/>
        <v/>
      </c>
      <c r="M120" s="19" t="str">
        <f t="shared" si="31"/>
        <v/>
      </c>
      <c r="N120" s="19" t="str">
        <f t="shared" si="24"/>
        <v/>
      </c>
      <c r="O120" s="19" t="str">
        <f t="shared" si="25"/>
        <v/>
      </c>
      <c r="P120" s="19" t="str">
        <f t="shared" si="26"/>
        <v/>
      </c>
      <c r="Q120" s="19" t="str">
        <f t="shared" si="27"/>
        <v/>
      </c>
      <c r="R120" s="19" t="str">
        <f t="shared" si="32"/>
        <v/>
      </c>
      <c r="S120" s="27" t="str">
        <f t="shared" si="33"/>
        <v/>
      </c>
      <c r="T120" s="28" t="str">
        <f t="shared" si="33"/>
        <v/>
      </c>
      <c r="U120" s="28" t="str">
        <f t="shared" si="33"/>
        <v/>
      </c>
      <c r="V120" s="28" t="str">
        <f t="shared" si="33"/>
        <v/>
      </c>
      <c r="W120" s="28" t="str">
        <f t="shared" si="33"/>
        <v/>
      </c>
      <c r="X120" s="29" t="str">
        <f t="shared" si="33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30"/>
        <v/>
      </c>
      <c r="L121" s="19" t="str">
        <f t="shared" si="28"/>
        <v/>
      </c>
      <c r="M121" s="19" t="str">
        <f t="shared" si="31"/>
        <v/>
      </c>
      <c r="N121" s="19" t="str">
        <f t="shared" si="24"/>
        <v/>
      </c>
      <c r="O121" s="19" t="str">
        <f t="shared" si="25"/>
        <v/>
      </c>
      <c r="P121" s="19" t="str">
        <f t="shared" si="26"/>
        <v/>
      </c>
      <c r="Q121" s="19" t="str">
        <f t="shared" si="27"/>
        <v/>
      </c>
      <c r="R121" s="19" t="str">
        <f t="shared" si="32"/>
        <v/>
      </c>
      <c r="S121" s="27" t="str">
        <f t="shared" si="33"/>
        <v/>
      </c>
      <c r="T121" s="28" t="str">
        <f t="shared" si="33"/>
        <v/>
      </c>
      <c r="U121" s="28" t="str">
        <f t="shared" si="33"/>
        <v/>
      </c>
      <c r="V121" s="28" t="str">
        <f t="shared" si="33"/>
        <v/>
      </c>
      <c r="W121" s="28" t="str">
        <f t="shared" si="33"/>
        <v/>
      </c>
      <c r="X121" s="29" t="str">
        <f t="shared" si="33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30"/>
        <v/>
      </c>
      <c r="L122" s="19" t="str">
        <f t="shared" si="28"/>
        <v/>
      </c>
      <c r="M122" s="19" t="str">
        <f t="shared" si="31"/>
        <v/>
      </c>
      <c r="N122" s="19" t="str">
        <f t="shared" si="24"/>
        <v/>
      </c>
      <c r="O122" s="19" t="str">
        <f t="shared" si="25"/>
        <v/>
      </c>
      <c r="P122" s="19" t="str">
        <f t="shared" si="26"/>
        <v/>
      </c>
      <c r="Q122" s="19" t="str">
        <f t="shared" si="27"/>
        <v/>
      </c>
      <c r="R122" s="19" t="str">
        <f t="shared" si="32"/>
        <v/>
      </c>
      <c r="S122" s="27" t="str">
        <f t="shared" si="33"/>
        <v/>
      </c>
      <c r="T122" s="28" t="str">
        <f t="shared" si="33"/>
        <v/>
      </c>
      <c r="U122" s="28" t="str">
        <f t="shared" si="33"/>
        <v/>
      </c>
      <c r="V122" s="28" t="str">
        <f t="shared" si="33"/>
        <v/>
      </c>
      <c r="W122" s="28" t="str">
        <f t="shared" si="33"/>
        <v/>
      </c>
      <c r="X122" s="29" t="str">
        <f t="shared" si="33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30"/>
        <v/>
      </c>
      <c r="L123" s="19" t="str">
        <f t="shared" si="28"/>
        <v/>
      </c>
      <c r="M123" s="19" t="str">
        <f t="shared" si="31"/>
        <v/>
      </c>
      <c r="N123" s="19" t="str">
        <f t="shared" si="24"/>
        <v/>
      </c>
      <c r="O123" s="19" t="str">
        <f t="shared" si="25"/>
        <v/>
      </c>
      <c r="P123" s="19" t="str">
        <f t="shared" si="26"/>
        <v/>
      </c>
      <c r="Q123" s="19" t="str">
        <f t="shared" si="27"/>
        <v/>
      </c>
      <c r="R123" s="19" t="str">
        <f t="shared" si="32"/>
        <v/>
      </c>
      <c r="S123" s="27" t="str">
        <f t="shared" si="33"/>
        <v/>
      </c>
      <c r="T123" s="28" t="str">
        <f t="shared" si="33"/>
        <v/>
      </c>
      <c r="U123" s="28" t="str">
        <f t="shared" si="33"/>
        <v/>
      </c>
      <c r="V123" s="28" t="str">
        <f t="shared" si="33"/>
        <v/>
      </c>
      <c r="W123" s="28" t="str">
        <f t="shared" si="33"/>
        <v/>
      </c>
      <c r="X123" s="29" t="str">
        <f t="shared" si="33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30"/>
        <v/>
      </c>
      <c r="L124" s="19" t="str">
        <f t="shared" si="28"/>
        <v/>
      </c>
      <c r="M124" s="19" t="str">
        <f t="shared" si="31"/>
        <v/>
      </c>
      <c r="N124" s="19" t="str">
        <f t="shared" si="24"/>
        <v/>
      </c>
      <c r="O124" s="19" t="str">
        <f t="shared" si="25"/>
        <v/>
      </c>
      <c r="P124" s="19" t="str">
        <f t="shared" si="26"/>
        <v/>
      </c>
      <c r="Q124" s="19" t="str">
        <f t="shared" si="27"/>
        <v/>
      </c>
      <c r="R124" s="19" t="str">
        <f t="shared" si="32"/>
        <v/>
      </c>
      <c r="S124" s="27" t="str">
        <f t="shared" si="33"/>
        <v/>
      </c>
      <c r="T124" s="28" t="str">
        <f t="shared" si="33"/>
        <v/>
      </c>
      <c r="U124" s="28" t="str">
        <f t="shared" si="33"/>
        <v/>
      </c>
      <c r="V124" s="28" t="str">
        <f t="shared" si="33"/>
        <v/>
      </c>
      <c r="W124" s="28" t="str">
        <f t="shared" si="33"/>
        <v/>
      </c>
      <c r="X124" s="29" t="str">
        <f t="shared" si="33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30"/>
        <v/>
      </c>
      <c r="L125" s="19" t="str">
        <f t="shared" si="28"/>
        <v/>
      </c>
      <c r="M125" s="19" t="str">
        <f t="shared" si="31"/>
        <v/>
      </c>
      <c r="N125" s="19" t="str">
        <f t="shared" si="24"/>
        <v/>
      </c>
      <c r="O125" s="19" t="str">
        <f t="shared" si="25"/>
        <v/>
      </c>
      <c r="P125" s="19" t="str">
        <f t="shared" si="26"/>
        <v/>
      </c>
      <c r="Q125" s="19" t="str">
        <f t="shared" si="27"/>
        <v/>
      </c>
      <c r="R125" s="19" t="str">
        <f t="shared" si="32"/>
        <v/>
      </c>
      <c r="S125" s="27" t="str">
        <f t="shared" si="33"/>
        <v/>
      </c>
      <c r="T125" s="28" t="str">
        <f t="shared" si="33"/>
        <v/>
      </c>
      <c r="U125" s="28" t="str">
        <f t="shared" si="33"/>
        <v/>
      </c>
      <c r="V125" s="28" t="str">
        <f t="shared" si="33"/>
        <v/>
      </c>
      <c r="W125" s="28" t="str">
        <f t="shared" si="33"/>
        <v/>
      </c>
      <c r="X125" s="29" t="str">
        <f t="shared" si="33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30"/>
        <v/>
      </c>
      <c r="L126" s="19" t="str">
        <f t="shared" si="28"/>
        <v/>
      </c>
      <c r="M126" s="19" t="str">
        <f t="shared" si="31"/>
        <v/>
      </c>
      <c r="N126" s="19" t="str">
        <f t="shared" si="24"/>
        <v/>
      </c>
      <c r="O126" s="19" t="str">
        <f t="shared" si="25"/>
        <v/>
      </c>
      <c r="P126" s="19" t="str">
        <f t="shared" si="26"/>
        <v/>
      </c>
      <c r="Q126" s="19" t="str">
        <f t="shared" si="27"/>
        <v/>
      </c>
      <c r="R126" s="19" t="str">
        <f t="shared" si="32"/>
        <v/>
      </c>
      <c r="S126" s="27" t="str">
        <f t="shared" si="33"/>
        <v/>
      </c>
      <c r="T126" s="28" t="str">
        <f t="shared" si="33"/>
        <v/>
      </c>
      <c r="U126" s="28" t="str">
        <f t="shared" si="33"/>
        <v/>
      </c>
      <c r="V126" s="28" t="str">
        <f t="shared" si="33"/>
        <v/>
      </c>
      <c r="W126" s="28" t="str">
        <f t="shared" si="33"/>
        <v/>
      </c>
      <c r="X126" s="29" t="str">
        <f t="shared" si="33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30"/>
        <v/>
      </c>
      <c r="L127" s="19" t="str">
        <f t="shared" si="28"/>
        <v/>
      </c>
      <c r="M127" s="19" t="str">
        <f t="shared" si="31"/>
        <v/>
      </c>
      <c r="N127" s="19" t="str">
        <f t="shared" si="24"/>
        <v/>
      </c>
      <c r="O127" s="19" t="str">
        <f t="shared" si="25"/>
        <v/>
      </c>
      <c r="P127" s="19" t="str">
        <f t="shared" si="26"/>
        <v/>
      </c>
      <c r="Q127" s="19" t="str">
        <f t="shared" si="27"/>
        <v/>
      </c>
      <c r="R127" s="19" t="str">
        <f t="shared" si="32"/>
        <v/>
      </c>
      <c r="S127" s="27" t="str">
        <f t="shared" si="33"/>
        <v/>
      </c>
      <c r="T127" s="28" t="str">
        <f t="shared" si="33"/>
        <v/>
      </c>
      <c r="U127" s="28" t="str">
        <f t="shared" si="33"/>
        <v/>
      </c>
      <c r="V127" s="28" t="str">
        <f t="shared" si="33"/>
        <v/>
      </c>
      <c r="W127" s="28" t="str">
        <f t="shared" si="33"/>
        <v/>
      </c>
      <c r="X127" s="29" t="str">
        <f t="shared" si="33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30"/>
        <v/>
      </c>
      <c r="L128" s="19" t="str">
        <f t="shared" si="28"/>
        <v/>
      </c>
      <c r="M128" s="19" t="str">
        <f t="shared" si="31"/>
        <v/>
      </c>
      <c r="N128" s="19" t="str">
        <f t="shared" si="24"/>
        <v/>
      </c>
      <c r="O128" s="19" t="str">
        <f t="shared" si="25"/>
        <v/>
      </c>
      <c r="P128" s="19" t="str">
        <f t="shared" si="26"/>
        <v/>
      </c>
      <c r="Q128" s="19" t="str">
        <f t="shared" si="27"/>
        <v/>
      </c>
      <c r="R128" s="19" t="str">
        <f t="shared" si="32"/>
        <v/>
      </c>
      <c r="S128" s="27" t="str">
        <f t="shared" si="33"/>
        <v/>
      </c>
      <c r="T128" s="28" t="str">
        <f t="shared" si="33"/>
        <v/>
      </c>
      <c r="U128" s="28" t="str">
        <f t="shared" si="33"/>
        <v/>
      </c>
      <c r="V128" s="28" t="str">
        <f t="shared" si="33"/>
        <v/>
      </c>
      <c r="W128" s="28" t="str">
        <f t="shared" si="33"/>
        <v/>
      </c>
      <c r="X128" s="29" t="str">
        <f t="shared" si="33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30"/>
        <v/>
      </c>
      <c r="L129" s="19" t="str">
        <f t="shared" si="28"/>
        <v/>
      </c>
      <c r="M129" s="19" t="str">
        <f t="shared" si="31"/>
        <v/>
      </c>
      <c r="N129" s="19" t="str">
        <f t="shared" si="24"/>
        <v/>
      </c>
      <c r="O129" s="19" t="str">
        <f t="shared" si="25"/>
        <v/>
      </c>
      <c r="P129" s="19" t="str">
        <f t="shared" si="26"/>
        <v/>
      </c>
      <c r="Q129" s="19" t="str">
        <f t="shared" si="27"/>
        <v/>
      </c>
      <c r="R129" s="19" t="str">
        <f t="shared" si="32"/>
        <v/>
      </c>
      <c r="S129" s="27" t="str">
        <f t="shared" ref="S129:X144" si="34">IF(C129="","",((C129-C128)*1000)/($B129-$B128))</f>
        <v/>
      </c>
      <c r="T129" s="28" t="str">
        <f t="shared" si="34"/>
        <v/>
      </c>
      <c r="U129" s="28" t="str">
        <f t="shared" si="34"/>
        <v/>
      </c>
      <c r="V129" s="28" t="str">
        <f t="shared" si="34"/>
        <v/>
      </c>
      <c r="W129" s="28" t="str">
        <f t="shared" si="34"/>
        <v/>
      </c>
      <c r="X129" s="29" t="str">
        <f t="shared" si="34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30"/>
        <v/>
      </c>
      <c r="L130" s="19" t="str">
        <f t="shared" si="28"/>
        <v/>
      </c>
      <c r="M130" s="19" t="str">
        <f t="shared" si="31"/>
        <v/>
      </c>
      <c r="N130" s="19" t="str">
        <f t="shared" si="24"/>
        <v/>
      </c>
      <c r="O130" s="19" t="str">
        <f t="shared" si="25"/>
        <v/>
      </c>
      <c r="P130" s="19" t="str">
        <f t="shared" si="26"/>
        <v/>
      </c>
      <c r="Q130" s="19" t="str">
        <f t="shared" si="27"/>
        <v/>
      </c>
      <c r="R130" s="19" t="str">
        <f t="shared" si="32"/>
        <v/>
      </c>
      <c r="S130" s="27" t="str">
        <f t="shared" si="34"/>
        <v/>
      </c>
      <c r="T130" s="28" t="str">
        <f t="shared" si="34"/>
        <v/>
      </c>
      <c r="U130" s="28" t="str">
        <f t="shared" si="34"/>
        <v/>
      </c>
      <c r="V130" s="28" t="str">
        <f t="shared" si="34"/>
        <v/>
      </c>
      <c r="W130" s="28" t="str">
        <f t="shared" si="34"/>
        <v/>
      </c>
      <c r="X130" s="29" t="str">
        <f t="shared" si="34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30"/>
        <v/>
      </c>
      <c r="L131" s="19" t="str">
        <f t="shared" si="28"/>
        <v/>
      </c>
      <c r="M131" s="19" t="str">
        <f t="shared" si="31"/>
        <v/>
      </c>
      <c r="N131" s="19" t="str">
        <f t="shared" si="24"/>
        <v/>
      </c>
      <c r="O131" s="19" t="str">
        <f t="shared" si="25"/>
        <v/>
      </c>
      <c r="P131" s="19" t="str">
        <f t="shared" si="26"/>
        <v/>
      </c>
      <c r="Q131" s="19" t="str">
        <f t="shared" si="27"/>
        <v/>
      </c>
      <c r="R131" s="19" t="str">
        <f t="shared" si="32"/>
        <v/>
      </c>
      <c r="S131" s="27" t="str">
        <f t="shared" si="34"/>
        <v/>
      </c>
      <c r="T131" s="28" t="str">
        <f t="shared" si="34"/>
        <v/>
      </c>
      <c r="U131" s="28" t="str">
        <f t="shared" si="34"/>
        <v/>
      </c>
      <c r="V131" s="28" t="str">
        <f t="shared" si="34"/>
        <v/>
      </c>
      <c r="W131" s="28" t="str">
        <f t="shared" si="34"/>
        <v/>
      </c>
      <c r="X131" s="29" t="str">
        <f t="shared" si="34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30"/>
        <v/>
      </c>
      <c r="L132" s="19" t="str">
        <f t="shared" si="28"/>
        <v/>
      </c>
      <c r="M132" s="19" t="str">
        <f t="shared" si="31"/>
        <v/>
      </c>
      <c r="N132" s="19" t="str">
        <f t="shared" si="24"/>
        <v/>
      </c>
      <c r="O132" s="19" t="str">
        <f t="shared" si="25"/>
        <v/>
      </c>
      <c r="P132" s="19" t="str">
        <f t="shared" si="26"/>
        <v/>
      </c>
      <c r="Q132" s="19" t="str">
        <f t="shared" si="27"/>
        <v/>
      </c>
      <c r="R132" s="19" t="str">
        <f t="shared" si="32"/>
        <v/>
      </c>
      <c r="S132" s="27" t="str">
        <f t="shared" si="34"/>
        <v/>
      </c>
      <c r="T132" s="28" t="str">
        <f t="shared" si="34"/>
        <v/>
      </c>
      <c r="U132" s="28" t="str">
        <f t="shared" si="34"/>
        <v/>
      </c>
      <c r="V132" s="28" t="str">
        <f t="shared" si="34"/>
        <v/>
      </c>
      <c r="W132" s="28" t="str">
        <f t="shared" si="34"/>
        <v/>
      </c>
      <c r="X132" s="29" t="str">
        <f t="shared" si="34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30"/>
        <v/>
      </c>
      <c r="L133" s="19" t="str">
        <f t="shared" si="28"/>
        <v/>
      </c>
      <c r="M133" s="19" t="str">
        <f t="shared" si="31"/>
        <v/>
      </c>
      <c r="N133" s="19" t="str">
        <f t="shared" si="24"/>
        <v/>
      </c>
      <c r="O133" s="19" t="str">
        <f t="shared" si="25"/>
        <v/>
      </c>
      <c r="P133" s="19" t="str">
        <f t="shared" si="26"/>
        <v/>
      </c>
      <c r="Q133" s="19" t="str">
        <f t="shared" si="27"/>
        <v/>
      </c>
      <c r="R133" s="19" t="str">
        <f t="shared" si="32"/>
        <v/>
      </c>
      <c r="S133" s="27" t="str">
        <f t="shared" si="34"/>
        <v/>
      </c>
      <c r="T133" s="28" t="str">
        <f t="shared" si="34"/>
        <v/>
      </c>
      <c r="U133" s="28" t="str">
        <f t="shared" si="34"/>
        <v/>
      </c>
      <c r="V133" s="28" t="str">
        <f t="shared" si="34"/>
        <v/>
      </c>
      <c r="W133" s="28" t="str">
        <f t="shared" si="34"/>
        <v/>
      </c>
      <c r="X133" s="29" t="str">
        <f t="shared" si="34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30"/>
        <v/>
      </c>
      <c r="L134" s="19" t="str">
        <f t="shared" si="28"/>
        <v/>
      </c>
      <c r="M134" s="19" t="str">
        <f t="shared" si="31"/>
        <v/>
      </c>
      <c r="N134" s="19" t="str">
        <f t="shared" si="24"/>
        <v/>
      </c>
      <c r="O134" s="19" t="str">
        <f t="shared" si="25"/>
        <v/>
      </c>
      <c r="P134" s="19" t="str">
        <f t="shared" si="26"/>
        <v/>
      </c>
      <c r="Q134" s="19" t="str">
        <f t="shared" si="27"/>
        <v/>
      </c>
      <c r="R134" s="19" t="str">
        <f t="shared" si="32"/>
        <v/>
      </c>
      <c r="S134" s="27" t="str">
        <f t="shared" si="34"/>
        <v/>
      </c>
      <c r="T134" s="28" t="str">
        <f t="shared" si="34"/>
        <v/>
      </c>
      <c r="U134" s="28" t="str">
        <f t="shared" si="34"/>
        <v/>
      </c>
      <c r="V134" s="28" t="str">
        <f t="shared" si="34"/>
        <v/>
      </c>
      <c r="W134" s="28" t="str">
        <f t="shared" si="34"/>
        <v/>
      </c>
      <c r="X134" s="29" t="str">
        <f t="shared" si="34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30"/>
        <v/>
      </c>
      <c r="L135" s="19" t="str">
        <f t="shared" si="28"/>
        <v/>
      </c>
      <c r="M135" s="19" t="str">
        <f t="shared" si="31"/>
        <v/>
      </c>
      <c r="N135" s="19" t="str">
        <f t="shared" si="24"/>
        <v/>
      </c>
      <c r="O135" s="19" t="str">
        <f t="shared" si="25"/>
        <v/>
      </c>
      <c r="P135" s="19" t="str">
        <f t="shared" si="26"/>
        <v/>
      </c>
      <c r="Q135" s="19" t="str">
        <f t="shared" si="27"/>
        <v/>
      </c>
      <c r="R135" s="19" t="str">
        <f t="shared" si="32"/>
        <v/>
      </c>
      <c r="S135" s="27" t="str">
        <f t="shared" si="34"/>
        <v/>
      </c>
      <c r="T135" s="28" t="str">
        <f t="shared" si="34"/>
        <v/>
      </c>
      <c r="U135" s="28" t="str">
        <f t="shared" si="34"/>
        <v/>
      </c>
      <c r="V135" s="28" t="str">
        <f t="shared" si="34"/>
        <v/>
      </c>
      <c r="W135" s="28" t="str">
        <f t="shared" si="34"/>
        <v/>
      </c>
      <c r="X135" s="29" t="str">
        <f t="shared" si="34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30"/>
        <v/>
      </c>
      <c r="L136" s="19" t="str">
        <f t="shared" si="28"/>
        <v/>
      </c>
      <c r="M136" s="19" t="str">
        <f t="shared" si="31"/>
        <v/>
      </c>
      <c r="N136" s="19" t="str">
        <f t="shared" si="24"/>
        <v/>
      </c>
      <c r="O136" s="19" t="str">
        <f t="shared" si="25"/>
        <v/>
      </c>
      <c r="P136" s="19" t="str">
        <f t="shared" si="26"/>
        <v/>
      </c>
      <c r="Q136" s="19" t="str">
        <f t="shared" si="27"/>
        <v/>
      </c>
      <c r="R136" s="19" t="str">
        <f t="shared" si="32"/>
        <v/>
      </c>
      <c r="S136" s="27" t="str">
        <f t="shared" si="34"/>
        <v/>
      </c>
      <c r="T136" s="28" t="str">
        <f t="shared" si="34"/>
        <v/>
      </c>
      <c r="U136" s="28" t="str">
        <f t="shared" si="34"/>
        <v/>
      </c>
      <c r="V136" s="28" t="str">
        <f t="shared" si="34"/>
        <v/>
      </c>
      <c r="W136" s="28" t="str">
        <f t="shared" si="34"/>
        <v/>
      </c>
      <c r="X136" s="29" t="str">
        <f t="shared" si="34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30"/>
        <v/>
      </c>
      <c r="L137" s="19" t="str">
        <f t="shared" si="28"/>
        <v/>
      </c>
      <c r="M137" s="19" t="str">
        <f t="shared" si="31"/>
        <v/>
      </c>
      <c r="N137" s="19" t="str">
        <f t="shared" si="24"/>
        <v/>
      </c>
      <c r="O137" s="19" t="str">
        <f t="shared" si="25"/>
        <v/>
      </c>
      <c r="P137" s="19" t="str">
        <f t="shared" si="26"/>
        <v/>
      </c>
      <c r="Q137" s="19" t="str">
        <f t="shared" si="27"/>
        <v/>
      </c>
      <c r="R137" s="19" t="str">
        <f t="shared" si="32"/>
        <v/>
      </c>
      <c r="S137" s="27" t="str">
        <f t="shared" si="34"/>
        <v/>
      </c>
      <c r="T137" s="28" t="str">
        <f t="shared" si="34"/>
        <v/>
      </c>
      <c r="U137" s="28" t="str">
        <f t="shared" si="34"/>
        <v/>
      </c>
      <c r="V137" s="28" t="str">
        <f t="shared" si="34"/>
        <v/>
      </c>
      <c r="W137" s="28" t="str">
        <f t="shared" si="34"/>
        <v/>
      </c>
      <c r="X137" s="29" t="str">
        <f t="shared" si="34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30"/>
        <v/>
      </c>
      <c r="L138" s="19" t="str">
        <f t="shared" si="28"/>
        <v/>
      </c>
      <c r="M138" s="19" t="str">
        <f t="shared" si="31"/>
        <v/>
      </c>
      <c r="N138" s="19" t="str">
        <f t="shared" si="24"/>
        <v/>
      </c>
      <c r="O138" s="19" t="str">
        <f t="shared" si="25"/>
        <v/>
      </c>
      <c r="P138" s="19" t="str">
        <f t="shared" si="26"/>
        <v/>
      </c>
      <c r="Q138" s="19" t="str">
        <f t="shared" si="27"/>
        <v/>
      </c>
      <c r="R138" s="19" t="str">
        <f t="shared" si="32"/>
        <v/>
      </c>
      <c r="S138" s="27" t="str">
        <f t="shared" si="34"/>
        <v/>
      </c>
      <c r="T138" s="28" t="str">
        <f t="shared" si="34"/>
        <v/>
      </c>
      <c r="U138" s="28" t="str">
        <f t="shared" si="34"/>
        <v/>
      </c>
      <c r="V138" s="28" t="str">
        <f t="shared" si="34"/>
        <v/>
      </c>
      <c r="W138" s="28" t="str">
        <f t="shared" si="34"/>
        <v/>
      </c>
      <c r="X138" s="29" t="str">
        <f t="shared" si="34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30"/>
        <v/>
      </c>
      <c r="L139" s="19" t="str">
        <f t="shared" si="28"/>
        <v/>
      </c>
      <c r="M139" s="19" t="str">
        <f t="shared" si="31"/>
        <v/>
      </c>
      <c r="N139" s="19" t="str">
        <f t="shared" si="24"/>
        <v/>
      </c>
      <c r="O139" s="19" t="str">
        <f t="shared" si="25"/>
        <v/>
      </c>
      <c r="P139" s="19" t="str">
        <f t="shared" si="26"/>
        <v/>
      </c>
      <c r="Q139" s="19" t="str">
        <f t="shared" si="27"/>
        <v/>
      </c>
      <c r="R139" s="19" t="str">
        <f t="shared" si="32"/>
        <v/>
      </c>
      <c r="S139" s="27" t="str">
        <f t="shared" si="34"/>
        <v/>
      </c>
      <c r="T139" s="28" t="str">
        <f t="shared" si="34"/>
        <v/>
      </c>
      <c r="U139" s="28" t="str">
        <f t="shared" si="34"/>
        <v/>
      </c>
      <c r="V139" s="28" t="str">
        <f t="shared" si="34"/>
        <v/>
      </c>
      <c r="W139" s="28" t="str">
        <f t="shared" si="34"/>
        <v/>
      </c>
      <c r="X139" s="29" t="str">
        <f t="shared" si="34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30"/>
        <v/>
      </c>
      <c r="L140" s="19" t="str">
        <f t="shared" si="28"/>
        <v/>
      </c>
      <c r="M140" s="19" t="str">
        <f t="shared" si="31"/>
        <v/>
      </c>
      <c r="N140" s="19" t="str">
        <f t="shared" si="24"/>
        <v/>
      </c>
      <c r="O140" s="19" t="str">
        <f t="shared" si="25"/>
        <v/>
      </c>
      <c r="P140" s="19" t="str">
        <f t="shared" si="26"/>
        <v/>
      </c>
      <c r="Q140" s="19" t="str">
        <f t="shared" si="27"/>
        <v/>
      </c>
      <c r="R140" s="19" t="str">
        <f t="shared" si="32"/>
        <v/>
      </c>
      <c r="S140" s="27" t="str">
        <f t="shared" si="34"/>
        <v/>
      </c>
      <c r="T140" s="28" t="str">
        <f t="shared" si="34"/>
        <v/>
      </c>
      <c r="U140" s="28" t="str">
        <f t="shared" si="34"/>
        <v/>
      </c>
      <c r="V140" s="28" t="str">
        <f t="shared" si="34"/>
        <v/>
      </c>
      <c r="W140" s="28" t="str">
        <f t="shared" si="34"/>
        <v/>
      </c>
      <c r="X140" s="29" t="str">
        <f t="shared" si="34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30"/>
        <v/>
      </c>
      <c r="L141" s="19" t="str">
        <f t="shared" si="28"/>
        <v/>
      </c>
      <c r="M141" s="19" t="str">
        <f t="shared" si="31"/>
        <v/>
      </c>
      <c r="N141" s="19" t="str">
        <f t="shared" si="24"/>
        <v/>
      </c>
      <c r="O141" s="19" t="str">
        <f t="shared" si="25"/>
        <v/>
      </c>
      <c r="P141" s="19" t="str">
        <f t="shared" si="26"/>
        <v/>
      </c>
      <c r="Q141" s="19" t="str">
        <f t="shared" si="27"/>
        <v/>
      </c>
      <c r="R141" s="19" t="str">
        <f t="shared" si="32"/>
        <v/>
      </c>
      <c r="S141" s="27" t="str">
        <f t="shared" si="34"/>
        <v/>
      </c>
      <c r="T141" s="28" t="str">
        <f t="shared" si="34"/>
        <v/>
      </c>
      <c r="U141" s="28" t="str">
        <f t="shared" si="34"/>
        <v/>
      </c>
      <c r="V141" s="28" t="str">
        <f t="shared" si="34"/>
        <v/>
      </c>
      <c r="W141" s="28" t="str">
        <f t="shared" si="34"/>
        <v/>
      </c>
      <c r="X141" s="29" t="str">
        <f t="shared" si="34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30"/>
        <v/>
      </c>
      <c r="L142" s="19" t="str">
        <f t="shared" si="28"/>
        <v/>
      </c>
      <c r="M142" s="19" t="str">
        <f t="shared" si="31"/>
        <v/>
      </c>
      <c r="N142" s="19" t="str">
        <f t="shared" si="24"/>
        <v/>
      </c>
      <c r="O142" s="19" t="str">
        <f t="shared" si="25"/>
        <v/>
      </c>
      <c r="P142" s="19" t="str">
        <f t="shared" si="26"/>
        <v/>
      </c>
      <c r="Q142" s="19" t="str">
        <f t="shared" si="27"/>
        <v/>
      </c>
      <c r="R142" s="19" t="str">
        <f t="shared" si="32"/>
        <v/>
      </c>
      <c r="S142" s="27" t="str">
        <f t="shared" si="34"/>
        <v/>
      </c>
      <c r="T142" s="28" t="str">
        <f t="shared" si="34"/>
        <v/>
      </c>
      <c r="U142" s="28" t="str">
        <f t="shared" si="34"/>
        <v/>
      </c>
      <c r="V142" s="28" t="str">
        <f t="shared" si="34"/>
        <v/>
      </c>
      <c r="W142" s="28" t="str">
        <f t="shared" si="34"/>
        <v/>
      </c>
      <c r="X142" s="29" t="str">
        <f t="shared" si="34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30"/>
        <v/>
      </c>
      <c r="L143" s="19" t="str">
        <f t="shared" si="28"/>
        <v/>
      </c>
      <c r="M143" s="19" t="str">
        <f t="shared" si="31"/>
        <v/>
      </c>
      <c r="N143" s="19" t="str">
        <f t="shared" si="24"/>
        <v/>
      </c>
      <c r="O143" s="19" t="str">
        <f t="shared" si="25"/>
        <v/>
      </c>
      <c r="P143" s="19" t="str">
        <f t="shared" si="26"/>
        <v/>
      </c>
      <c r="Q143" s="19" t="str">
        <f t="shared" si="27"/>
        <v/>
      </c>
      <c r="R143" s="19" t="str">
        <f t="shared" si="32"/>
        <v/>
      </c>
      <c r="S143" s="27" t="str">
        <f t="shared" si="34"/>
        <v/>
      </c>
      <c r="T143" s="28" t="str">
        <f t="shared" si="34"/>
        <v/>
      </c>
      <c r="U143" s="28" t="str">
        <f t="shared" si="34"/>
        <v/>
      </c>
      <c r="V143" s="28" t="str">
        <f t="shared" si="34"/>
        <v/>
      </c>
      <c r="W143" s="28" t="str">
        <f t="shared" si="34"/>
        <v/>
      </c>
      <c r="X143" s="29" t="str">
        <f t="shared" si="34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30"/>
        <v/>
      </c>
      <c r="L144" s="19" t="str">
        <f t="shared" si="28"/>
        <v/>
      </c>
      <c r="M144" s="19" t="str">
        <f t="shared" ref="M144:M153" si="35">IF(ISBLANK(D144),"",(D144-D$16)*1000)</f>
        <v/>
      </c>
      <c r="N144" s="19" t="str">
        <f t="shared" si="24"/>
        <v/>
      </c>
      <c r="O144" s="19" t="str">
        <f t="shared" si="25"/>
        <v/>
      </c>
      <c r="P144" s="19" t="str">
        <f t="shared" si="26"/>
        <v/>
      </c>
      <c r="Q144" s="19" t="str">
        <f t="shared" si="27"/>
        <v/>
      </c>
      <c r="R144" s="19" t="str">
        <f t="shared" ref="R144:R153" si="36">IF(ISBLANK(I144),"",(I144-I$16)*1000)</f>
        <v/>
      </c>
      <c r="S144" s="27" t="str">
        <f t="shared" si="34"/>
        <v/>
      </c>
      <c r="T144" s="28" t="str">
        <f t="shared" si="34"/>
        <v/>
      </c>
      <c r="U144" s="28" t="str">
        <f t="shared" si="34"/>
        <v/>
      </c>
      <c r="V144" s="28" t="str">
        <f t="shared" si="34"/>
        <v/>
      </c>
      <c r="W144" s="28" t="str">
        <f t="shared" si="34"/>
        <v/>
      </c>
      <c r="X144" s="29" t="str">
        <f t="shared" si="34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30"/>
        <v/>
      </c>
      <c r="L145" s="19" t="str">
        <f t="shared" si="28"/>
        <v/>
      </c>
      <c r="M145" s="19" t="str">
        <f t="shared" si="35"/>
        <v/>
      </c>
      <c r="N145" s="19" t="str">
        <f t="shared" si="24"/>
        <v/>
      </c>
      <c r="O145" s="19" t="str">
        <f t="shared" si="25"/>
        <v/>
      </c>
      <c r="P145" s="19" t="str">
        <f t="shared" si="26"/>
        <v/>
      </c>
      <c r="Q145" s="19" t="str">
        <f t="shared" si="27"/>
        <v/>
      </c>
      <c r="R145" s="19" t="str">
        <f t="shared" si="36"/>
        <v/>
      </c>
      <c r="S145" s="27" t="str">
        <f t="shared" ref="S145:X153" si="37">IF(C145="","",((C145-C144)*1000)/($B145-$B144))</f>
        <v/>
      </c>
      <c r="T145" s="28" t="str">
        <f t="shared" si="37"/>
        <v/>
      </c>
      <c r="U145" s="28" t="str">
        <f t="shared" si="37"/>
        <v/>
      </c>
      <c r="V145" s="28" t="str">
        <f t="shared" si="37"/>
        <v/>
      </c>
      <c r="W145" s="28" t="str">
        <f t="shared" si="37"/>
        <v/>
      </c>
      <c r="X145" s="29" t="str">
        <f t="shared" si="37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30"/>
        <v/>
      </c>
      <c r="L146" s="19" t="str">
        <f t="shared" si="28"/>
        <v/>
      </c>
      <c r="M146" s="19" t="str">
        <f t="shared" si="35"/>
        <v/>
      </c>
      <c r="N146" s="19" t="str">
        <f t="shared" si="24"/>
        <v/>
      </c>
      <c r="O146" s="19" t="str">
        <f t="shared" si="25"/>
        <v/>
      </c>
      <c r="P146" s="19" t="str">
        <f t="shared" si="26"/>
        <v/>
      </c>
      <c r="Q146" s="19" t="str">
        <f t="shared" si="27"/>
        <v/>
      </c>
      <c r="R146" s="19" t="str">
        <f t="shared" si="36"/>
        <v/>
      </c>
      <c r="S146" s="27" t="str">
        <f t="shared" si="37"/>
        <v/>
      </c>
      <c r="T146" s="28" t="str">
        <f t="shared" si="37"/>
        <v/>
      </c>
      <c r="U146" s="28" t="str">
        <f t="shared" si="37"/>
        <v/>
      </c>
      <c r="V146" s="28" t="str">
        <f t="shared" si="37"/>
        <v/>
      </c>
      <c r="W146" s="28" t="str">
        <f t="shared" si="37"/>
        <v/>
      </c>
      <c r="X146" s="29" t="str">
        <f t="shared" si="37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30"/>
        <v/>
      </c>
      <c r="L147" s="19" t="str">
        <f t="shared" si="28"/>
        <v/>
      </c>
      <c r="M147" s="19" t="str">
        <f t="shared" si="35"/>
        <v/>
      </c>
      <c r="N147" s="19" t="str">
        <f t="shared" si="24"/>
        <v/>
      </c>
      <c r="O147" s="19" t="str">
        <f t="shared" si="25"/>
        <v/>
      </c>
      <c r="P147" s="19" t="str">
        <f t="shared" si="26"/>
        <v/>
      </c>
      <c r="Q147" s="19" t="str">
        <f t="shared" si="27"/>
        <v/>
      </c>
      <c r="R147" s="19" t="str">
        <f t="shared" si="36"/>
        <v/>
      </c>
      <c r="S147" s="27" t="str">
        <f t="shared" si="37"/>
        <v/>
      </c>
      <c r="T147" s="28" t="str">
        <f t="shared" si="37"/>
        <v/>
      </c>
      <c r="U147" s="28" t="str">
        <f t="shared" si="37"/>
        <v/>
      </c>
      <c r="V147" s="28" t="str">
        <f t="shared" si="37"/>
        <v/>
      </c>
      <c r="W147" s="28" t="str">
        <f t="shared" si="37"/>
        <v/>
      </c>
      <c r="X147" s="29" t="str">
        <f t="shared" si="37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30"/>
        <v/>
      </c>
      <c r="L148" s="19" t="str">
        <f t="shared" si="28"/>
        <v/>
      </c>
      <c r="M148" s="19" t="str">
        <f t="shared" si="35"/>
        <v/>
      </c>
      <c r="N148" s="19" t="str">
        <f t="shared" si="24"/>
        <v/>
      </c>
      <c r="O148" s="19" t="str">
        <f t="shared" si="25"/>
        <v/>
      </c>
      <c r="P148" s="19" t="str">
        <f t="shared" si="26"/>
        <v/>
      </c>
      <c r="Q148" s="19" t="str">
        <f t="shared" si="27"/>
        <v/>
      </c>
      <c r="R148" s="19" t="str">
        <f t="shared" si="36"/>
        <v/>
      </c>
      <c r="S148" s="27" t="str">
        <f t="shared" si="37"/>
        <v/>
      </c>
      <c r="T148" s="28" t="str">
        <f t="shared" si="37"/>
        <v/>
      </c>
      <c r="U148" s="28" t="str">
        <f t="shared" si="37"/>
        <v/>
      </c>
      <c r="V148" s="28" t="str">
        <f t="shared" si="37"/>
        <v/>
      </c>
      <c r="W148" s="28" t="str">
        <f t="shared" si="37"/>
        <v/>
      </c>
      <c r="X148" s="29" t="str">
        <f t="shared" si="37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30"/>
        <v/>
      </c>
      <c r="L149" s="19" t="str">
        <f t="shared" si="28"/>
        <v/>
      </c>
      <c r="M149" s="19" t="str">
        <f t="shared" si="35"/>
        <v/>
      </c>
      <c r="N149" s="19" t="str">
        <f t="shared" si="24"/>
        <v/>
      </c>
      <c r="O149" s="19" t="str">
        <f t="shared" si="25"/>
        <v/>
      </c>
      <c r="P149" s="19" t="str">
        <f t="shared" si="26"/>
        <v/>
      </c>
      <c r="Q149" s="19" t="str">
        <f t="shared" si="27"/>
        <v/>
      </c>
      <c r="R149" s="19" t="str">
        <f t="shared" si="36"/>
        <v/>
      </c>
      <c r="S149" s="27" t="str">
        <f t="shared" si="37"/>
        <v/>
      </c>
      <c r="T149" s="28" t="str">
        <f t="shared" si="37"/>
        <v/>
      </c>
      <c r="U149" s="28" t="str">
        <f t="shared" si="37"/>
        <v/>
      </c>
      <c r="V149" s="28" t="str">
        <f t="shared" si="37"/>
        <v/>
      </c>
      <c r="W149" s="28" t="str">
        <f t="shared" si="37"/>
        <v/>
      </c>
      <c r="X149" s="29" t="str">
        <f t="shared" si="37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30"/>
        <v/>
      </c>
      <c r="L150" s="19" t="str">
        <f t="shared" si="28"/>
        <v/>
      </c>
      <c r="M150" s="19" t="str">
        <f t="shared" si="35"/>
        <v/>
      </c>
      <c r="N150" s="19" t="str">
        <f t="shared" si="24"/>
        <v/>
      </c>
      <c r="O150" s="19" t="str">
        <f t="shared" si="25"/>
        <v/>
      </c>
      <c r="P150" s="19" t="str">
        <f t="shared" si="26"/>
        <v/>
      </c>
      <c r="Q150" s="19" t="str">
        <f t="shared" si="27"/>
        <v/>
      </c>
      <c r="R150" s="19" t="str">
        <f t="shared" si="36"/>
        <v/>
      </c>
      <c r="S150" s="27" t="str">
        <f t="shared" si="37"/>
        <v/>
      </c>
      <c r="T150" s="28" t="str">
        <f t="shared" si="37"/>
        <v/>
      </c>
      <c r="U150" s="28" t="str">
        <f t="shared" si="37"/>
        <v/>
      </c>
      <c r="V150" s="28" t="str">
        <f t="shared" si="37"/>
        <v/>
      </c>
      <c r="W150" s="28" t="str">
        <f t="shared" si="37"/>
        <v/>
      </c>
      <c r="X150" s="29" t="str">
        <f t="shared" si="37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30"/>
        <v/>
      </c>
      <c r="L151" s="19" t="str">
        <f t="shared" si="28"/>
        <v/>
      </c>
      <c r="M151" s="19" t="str">
        <f t="shared" si="35"/>
        <v/>
      </c>
      <c r="N151" s="19" t="str">
        <f t="shared" si="24"/>
        <v/>
      </c>
      <c r="O151" s="19" t="str">
        <f t="shared" si="25"/>
        <v/>
      </c>
      <c r="P151" s="19" t="str">
        <f t="shared" si="26"/>
        <v/>
      </c>
      <c r="Q151" s="19" t="str">
        <f t="shared" si="27"/>
        <v/>
      </c>
      <c r="R151" s="19" t="str">
        <f t="shared" si="36"/>
        <v/>
      </c>
      <c r="S151" s="27" t="str">
        <f t="shared" si="37"/>
        <v/>
      </c>
      <c r="T151" s="28" t="str">
        <f t="shared" si="37"/>
        <v/>
      </c>
      <c r="U151" s="28" t="str">
        <f t="shared" si="37"/>
        <v/>
      </c>
      <c r="V151" s="28" t="str">
        <f t="shared" si="37"/>
        <v/>
      </c>
      <c r="W151" s="28" t="str">
        <f t="shared" si="37"/>
        <v/>
      </c>
      <c r="X151" s="29" t="str">
        <f t="shared" si="37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30"/>
        <v/>
      </c>
      <c r="L152" s="19" t="str">
        <f t="shared" si="28"/>
        <v/>
      </c>
      <c r="M152" s="19" t="str">
        <f t="shared" si="35"/>
        <v/>
      </c>
      <c r="N152" s="19" t="str">
        <f t="shared" si="24"/>
        <v/>
      </c>
      <c r="O152" s="19" t="str">
        <f t="shared" si="25"/>
        <v/>
      </c>
      <c r="P152" s="19" t="str">
        <f t="shared" si="26"/>
        <v/>
      </c>
      <c r="Q152" s="19" t="str">
        <f t="shared" si="27"/>
        <v/>
      </c>
      <c r="R152" s="19" t="str">
        <f t="shared" si="36"/>
        <v/>
      </c>
      <c r="S152" s="27" t="str">
        <f t="shared" si="37"/>
        <v/>
      </c>
      <c r="T152" s="28" t="str">
        <f t="shared" si="37"/>
        <v/>
      </c>
      <c r="U152" s="28" t="str">
        <f t="shared" si="37"/>
        <v/>
      </c>
      <c r="V152" s="28" t="str">
        <f t="shared" si="37"/>
        <v/>
      </c>
      <c r="W152" s="28" t="str">
        <f t="shared" si="37"/>
        <v/>
      </c>
      <c r="X152" s="29" t="str">
        <f t="shared" si="37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30"/>
        <v/>
      </c>
      <c r="L153" s="19" t="str">
        <f t="shared" si="28"/>
        <v/>
      </c>
      <c r="M153" s="19" t="str">
        <f t="shared" si="35"/>
        <v/>
      </c>
      <c r="N153" s="19" t="str">
        <f t="shared" si="24"/>
        <v/>
      </c>
      <c r="O153" s="19" t="str">
        <f t="shared" si="25"/>
        <v/>
      </c>
      <c r="P153" s="19" t="str">
        <f t="shared" si="26"/>
        <v/>
      </c>
      <c r="Q153" s="19" t="str">
        <f t="shared" si="27"/>
        <v/>
      </c>
      <c r="R153" s="19" t="str">
        <f t="shared" si="36"/>
        <v/>
      </c>
      <c r="S153" s="27" t="str">
        <f t="shared" si="37"/>
        <v/>
      </c>
      <c r="T153" s="28" t="str">
        <f t="shared" si="37"/>
        <v/>
      </c>
      <c r="U153" s="28" t="str">
        <f t="shared" si="37"/>
        <v/>
      </c>
      <c r="V153" s="28" t="str">
        <f t="shared" si="37"/>
        <v/>
      </c>
      <c r="W153" s="28" t="str">
        <f t="shared" si="37"/>
        <v/>
      </c>
      <c r="X153" s="29" t="str">
        <f t="shared" si="37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3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TZ-32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/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/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/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/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880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/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41795</v>
      </c>
      <c r="C16" s="14">
        <v>13.085000000000001</v>
      </c>
      <c r="D16" s="15">
        <v>7.4420000000000002</v>
      </c>
      <c r="E16" s="15">
        <v>8.7390000000000008</v>
      </c>
      <c r="F16" s="42"/>
      <c r="G16" s="42"/>
      <c r="H16" s="42"/>
      <c r="I16" s="41">
        <v>105.40900000000001</v>
      </c>
      <c r="J16" s="62">
        <v>898</v>
      </c>
      <c r="K16" s="55">
        <f t="shared" ref="K16:K22" si="0">IF(ISBLANK(J16),"",(J16-$J$8))</f>
        <v>18</v>
      </c>
      <c r="L16" s="19">
        <f t="shared" ref="L16:Q47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:R79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41796</v>
      </c>
      <c r="C17" s="25">
        <v>13.084</v>
      </c>
      <c r="D17" s="26">
        <v>7.44</v>
      </c>
      <c r="E17" s="26">
        <v>8.7370000000000001</v>
      </c>
      <c r="F17" s="16"/>
      <c r="G17" s="16"/>
      <c r="H17" s="16"/>
      <c r="I17" s="17">
        <v>105.408</v>
      </c>
      <c r="J17" s="58">
        <v>910</v>
      </c>
      <c r="K17" s="18">
        <f t="shared" si="0"/>
        <v>30</v>
      </c>
      <c r="L17" s="19">
        <f t="shared" si="1"/>
        <v>-1.0000000000012221</v>
      </c>
      <c r="M17" s="19">
        <f t="shared" si="1"/>
        <v>-1.9999999999997797</v>
      </c>
      <c r="N17" s="19">
        <f t="shared" si="1"/>
        <v>-2.0000000000006679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si="2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-2.0000000000006679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41799</v>
      </c>
      <c r="C18" s="25">
        <v>13.084</v>
      </c>
      <c r="D18" s="26">
        <v>7.4409999999999998</v>
      </c>
      <c r="E18" s="26">
        <v>8.7370000000000001</v>
      </c>
      <c r="F18" s="16"/>
      <c r="G18" s="16"/>
      <c r="H18" s="16"/>
      <c r="I18" s="17">
        <v>105.408</v>
      </c>
      <c r="J18" s="58">
        <v>919</v>
      </c>
      <c r="K18" s="18">
        <f t="shared" si="0"/>
        <v>39</v>
      </c>
      <c r="L18" s="19">
        <f t="shared" si="1"/>
        <v>-1.0000000000012221</v>
      </c>
      <c r="M18" s="19">
        <f t="shared" si="1"/>
        <v>-1.000000000000334</v>
      </c>
      <c r="N18" s="19">
        <f t="shared" si="1"/>
        <v>-2.0000000000006679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2"/>
        <v>-1.0000000000047748</v>
      </c>
      <c r="S18" s="27">
        <f t="shared" si="3"/>
        <v>0</v>
      </c>
      <c r="T18" s="28">
        <f t="shared" si="3"/>
        <v>0.33333333333314857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41800</v>
      </c>
      <c r="C19" s="25">
        <v>13.084</v>
      </c>
      <c r="D19" s="26">
        <v>7.44</v>
      </c>
      <c r="E19" s="26">
        <v>8.7360000000000007</v>
      </c>
      <c r="F19" s="16"/>
      <c r="G19" s="16"/>
      <c r="H19" s="16"/>
      <c r="I19" s="17">
        <v>105.407</v>
      </c>
      <c r="J19" s="58">
        <v>929</v>
      </c>
      <c r="K19" s="18">
        <f t="shared" si="0"/>
        <v>49</v>
      </c>
      <c r="L19" s="19">
        <f t="shared" si="1"/>
        <v>-1.0000000000012221</v>
      </c>
      <c r="M19" s="19">
        <f t="shared" si="1"/>
        <v>-1.9999999999997797</v>
      </c>
      <c r="N19" s="19">
        <f t="shared" si="1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2"/>
        <v>-2.0000000000095497</v>
      </c>
      <c r="S19" s="27">
        <f t="shared" si="3"/>
        <v>0</v>
      </c>
      <c r="T19" s="28">
        <f t="shared" si="3"/>
        <v>-0.99999999999944578</v>
      </c>
      <c r="U19" s="28">
        <f t="shared" si="3"/>
        <v>-0.99999999999944578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41801</v>
      </c>
      <c r="C20" s="25">
        <v>13.083</v>
      </c>
      <c r="D20" s="26">
        <v>7.44</v>
      </c>
      <c r="E20" s="26">
        <v>8.7360000000000007</v>
      </c>
      <c r="F20" s="16"/>
      <c r="G20" s="16"/>
      <c r="H20" s="16"/>
      <c r="I20" s="17">
        <v>105.407</v>
      </c>
      <c r="J20" s="58">
        <v>941</v>
      </c>
      <c r="K20" s="18">
        <f t="shared" si="0"/>
        <v>61</v>
      </c>
      <c r="L20" s="19">
        <f t="shared" si="1"/>
        <v>-2.0000000000006679</v>
      </c>
      <c r="M20" s="19">
        <f t="shared" si="1"/>
        <v>-1.9999999999997797</v>
      </c>
      <c r="N20" s="19">
        <f t="shared" si="1"/>
        <v>-3.0000000000001137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2"/>
        <v>-2.0000000000095497</v>
      </c>
      <c r="S20" s="27">
        <f t="shared" si="3"/>
        <v>-0.99999999999944578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41802</v>
      </c>
      <c r="C21" s="25">
        <v>13.084</v>
      </c>
      <c r="D21" s="26">
        <v>7.4409999999999998</v>
      </c>
      <c r="E21" s="26">
        <v>8.7370000000000001</v>
      </c>
      <c r="F21" s="16"/>
      <c r="G21" s="16"/>
      <c r="H21" s="16"/>
      <c r="I21" s="17">
        <v>105.407</v>
      </c>
      <c r="J21" s="58">
        <v>947</v>
      </c>
      <c r="K21" s="18">
        <f t="shared" si="0"/>
        <v>67</v>
      </c>
      <c r="L21" s="19">
        <f t="shared" si="1"/>
        <v>-1.0000000000012221</v>
      </c>
      <c r="M21" s="19">
        <f t="shared" si="1"/>
        <v>-1.000000000000334</v>
      </c>
      <c r="N21" s="19">
        <f t="shared" si="1"/>
        <v>-2.0000000000006679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2"/>
        <v>-2.0000000000095497</v>
      </c>
      <c r="S21" s="27">
        <f t="shared" si="3"/>
        <v>0.99999999999944578</v>
      </c>
      <c r="T21" s="28">
        <f t="shared" si="3"/>
        <v>0.99999999999944578</v>
      </c>
      <c r="U21" s="28">
        <f t="shared" si="3"/>
        <v>0.99999999999944578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41803</v>
      </c>
      <c r="C22" s="25">
        <v>13.084</v>
      </c>
      <c r="D22" s="26">
        <v>7.4409999999999998</v>
      </c>
      <c r="E22" s="26">
        <v>8.7370000000000001</v>
      </c>
      <c r="F22" s="16"/>
      <c r="G22" s="16"/>
      <c r="H22" s="16"/>
      <c r="I22" s="17">
        <v>105.407</v>
      </c>
      <c r="J22" s="58">
        <v>958</v>
      </c>
      <c r="K22" s="18">
        <f t="shared" si="0"/>
        <v>78</v>
      </c>
      <c r="L22" s="19">
        <f t="shared" si="1"/>
        <v>-1.0000000000012221</v>
      </c>
      <c r="M22" s="19">
        <f t="shared" si="1"/>
        <v>-1.000000000000334</v>
      </c>
      <c r="N22" s="19">
        <f t="shared" si="1"/>
        <v>-2.0000000000006679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2"/>
        <v>-2.0000000000095497</v>
      </c>
      <c r="S22" s="27">
        <f t="shared" si="3"/>
        <v>0</v>
      </c>
      <c r="T22" s="28">
        <f t="shared" si="3"/>
        <v>0</v>
      </c>
      <c r="U22" s="28">
        <f t="shared" si="3"/>
        <v>0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41838</v>
      </c>
      <c r="C23" s="25">
        <v>13.082000000000001</v>
      </c>
      <c r="D23" s="26">
        <v>7.44</v>
      </c>
      <c r="E23" s="26">
        <v>8.7370000000000001</v>
      </c>
      <c r="F23" s="16">
        <v>14.124000000000001</v>
      </c>
      <c r="G23" s="16">
        <v>9.6189999999999998</v>
      </c>
      <c r="H23" s="16">
        <v>11.257</v>
      </c>
      <c r="I23" s="17">
        <v>105.402</v>
      </c>
      <c r="J23" s="58">
        <v>970</v>
      </c>
      <c r="K23" s="18">
        <f t="shared" ref="K23:K32" si="4">IF(ISBLANK(J23),"",(J23-$J$8))</f>
        <v>90</v>
      </c>
      <c r="L23" s="19">
        <f t="shared" si="1"/>
        <v>-3.0000000000001137</v>
      </c>
      <c r="M23" s="19">
        <f t="shared" si="1"/>
        <v>-1.9999999999997797</v>
      </c>
      <c r="N23" s="19">
        <f t="shared" si="1"/>
        <v>-2.0000000000006679</v>
      </c>
      <c r="O23" s="19">
        <f>IF(ISBLANK(F23),"",((F23-F$23)*1000)+L$23)</f>
        <v>-3.0000000000001137</v>
      </c>
      <c r="P23" s="19">
        <f>IF(ISBLANK(G23),"",((G23-G$23)*1000)+M$23)</f>
        <v>-1.9999999999997797</v>
      </c>
      <c r="Q23" s="19">
        <f>IF(ISBLANK(H23),"",((H23-H$23)*1000)+N$23)</f>
        <v>-2.0000000000006679</v>
      </c>
      <c r="R23" s="19">
        <f t="shared" si="2"/>
        <v>-7.0000000000050022</v>
      </c>
      <c r="S23" s="27">
        <f t="shared" si="3"/>
        <v>-5.7142857142825472E-2</v>
      </c>
      <c r="T23" s="28">
        <f t="shared" si="3"/>
        <v>-2.8571428571412736E-2</v>
      </c>
      <c r="U23" s="28">
        <f t="shared" si="3"/>
        <v>0</v>
      </c>
      <c r="V23" s="28">
        <f t="shared" si="3"/>
        <v>403.54285714285714</v>
      </c>
      <c r="W23" s="28">
        <f t="shared" si="3"/>
        <v>274.82857142857142</v>
      </c>
      <c r="X23" s="29">
        <f t="shared" si="3"/>
        <v>321.62857142857143</v>
      </c>
      <c r="Y23" s="24"/>
    </row>
    <row r="24" spans="2:25" ht="15" customHeight="1" x14ac:dyDescent="0.2">
      <c r="B24" s="31">
        <v>41841</v>
      </c>
      <c r="C24" s="25">
        <v>13.082000000000001</v>
      </c>
      <c r="D24" s="26">
        <v>7.44</v>
      </c>
      <c r="E24" s="26">
        <v>8.7370000000000001</v>
      </c>
      <c r="F24" s="16">
        <v>14.122999999999999</v>
      </c>
      <c r="G24" s="16">
        <v>9.6189999999999998</v>
      </c>
      <c r="H24" s="16">
        <v>11.256</v>
      </c>
      <c r="I24" s="17">
        <v>105.401</v>
      </c>
      <c r="J24" s="58">
        <v>970</v>
      </c>
      <c r="K24" s="18">
        <f t="shared" si="4"/>
        <v>90</v>
      </c>
      <c r="L24" s="19">
        <f t="shared" si="1"/>
        <v>-3.0000000000001137</v>
      </c>
      <c r="M24" s="19">
        <f t="shared" si="1"/>
        <v>-1.9999999999997797</v>
      </c>
      <c r="N24" s="19">
        <f t="shared" si="1"/>
        <v>-2.0000000000006679</v>
      </c>
      <c r="O24" s="19">
        <f t="shared" ref="O24:O87" si="5">IF(ISBLANK(F24),"",((F24-F$23)*1000)+L$23)</f>
        <v>-4.0000000000013358</v>
      </c>
      <c r="P24" s="19">
        <f t="shared" ref="P24:P87" si="6">IF(ISBLANK(G24),"",((G24-G$23)*1000)+M$23)</f>
        <v>-1.9999999999997797</v>
      </c>
      <c r="Q24" s="19">
        <f t="shared" ref="Q24:Q87" si="7">IF(ISBLANK(H24),"",((H24-H$23)*1000)+N$23)</f>
        <v>-3.0000000000001137</v>
      </c>
      <c r="R24" s="19">
        <f t="shared" si="2"/>
        <v>-8.0000000000097771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>
        <f t="shared" si="3"/>
        <v>-0.33333333333374071</v>
      </c>
      <c r="W24" s="28">
        <f t="shared" si="3"/>
        <v>0</v>
      </c>
      <c r="X24" s="29">
        <f t="shared" si="3"/>
        <v>-0.33333333333314857</v>
      </c>
      <c r="Y24" s="24"/>
    </row>
    <row r="25" spans="2:25" ht="15" customHeight="1" x14ac:dyDescent="0.2">
      <c r="B25" s="31">
        <v>41842</v>
      </c>
      <c r="C25" s="25">
        <v>13.082000000000001</v>
      </c>
      <c r="D25" s="26">
        <v>7.44</v>
      </c>
      <c r="E25" s="26">
        <v>8.7370000000000001</v>
      </c>
      <c r="F25" s="16">
        <v>14.122999999999999</v>
      </c>
      <c r="G25" s="16">
        <v>9.6189999999999998</v>
      </c>
      <c r="H25" s="16">
        <v>11.257</v>
      </c>
      <c r="I25" s="17">
        <v>105.401</v>
      </c>
      <c r="J25" s="58">
        <v>970</v>
      </c>
      <c r="K25" s="18">
        <f t="shared" si="4"/>
        <v>90</v>
      </c>
      <c r="L25" s="19">
        <f t="shared" si="1"/>
        <v>-3.0000000000001137</v>
      </c>
      <c r="M25" s="19">
        <f t="shared" si="1"/>
        <v>-1.9999999999997797</v>
      </c>
      <c r="N25" s="19">
        <f t="shared" si="1"/>
        <v>-2.0000000000006679</v>
      </c>
      <c r="O25" s="19">
        <f t="shared" si="5"/>
        <v>-4.0000000000013358</v>
      </c>
      <c r="P25" s="19">
        <f t="shared" si="6"/>
        <v>-1.9999999999997797</v>
      </c>
      <c r="Q25" s="19">
        <f t="shared" si="7"/>
        <v>-2.0000000000006679</v>
      </c>
      <c r="R25" s="19">
        <f t="shared" si="2"/>
        <v>-8.0000000000097771</v>
      </c>
      <c r="S25" s="27">
        <f t="shared" si="3"/>
        <v>0</v>
      </c>
      <c r="T25" s="28">
        <f t="shared" si="3"/>
        <v>0</v>
      </c>
      <c r="U25" s="28">
        <f t="shared" si="3"/>
        <v>0</v>
      </c>
      <c r="V25" s="28">
        <f t="shared" si="3"/>
        <v>0</v>
      </c>
      <c r="W25" s="28">
        <f t="shared" si="3"/>
        <v>0</v>
      </c>
      <c r="X25" s="29">
        <f t="shared" si="3"/>
        <v>0.99999999999944578</v>
      </c>
      <c r="Y25" s="24"/>
    </row>
    <row r="26" spans="2:25" ht="15" customHeight="1" x14ac:dyDescent="0.2">
      <c r="B26" s="31">
        <v>41843</v>
      </c>
      <c r="C26" s="25">
        <v>13.082000000000001</v>
      </c>
      <c r="D26" s="26">
        <v>7.44</v>
      </c>
      <c r="E26" s="26">
        <v>8.7349999999999994</v>
      </c>
      <c r="F26" s="16">
        <v>14.122999999999999</v>
      </c>
      <c r="G26" s="16">
        <v>9.6189999999999998</v>
      </c>
      <c r="H26" s="16">
        <v>11.257</v>
      </c>
      <c r="I26" s="17">
        <v>105.4</v>
      </c>
      <c r="J26" s="58">
        <v>975</v>
      </c>
      <c r="K26" s="18">
        <f t="shared" si="4"/>
        <v>95</v>
      </c>
      <c r="L26" s="19">
        <f t="shared" si="1"/>
        <v>-3.0000000000001137</v>
      </c>
      <c r="M26" s="19">
        <f t="shared" si="1"/>
        <v>-1.9999999999997797</v>
      </c>
      <c r="N26" s="19">
        <f t="shared" si="1"/>
        <v>-4.0000000000013358</v>
      </c>
      <c r="O26" s="19">
        <f t="shared" si="5"/>
        <v>-4.0000000000013358</v>
      </c>
      <c r="P26" s="19">
        <f t="shared" si="6"/>
        <v>-1.9999999999997797</v>
      </c>
      <c r="Q26" s="19">
        <f t="shared" si="7"/>
        <v>-2.0000000000006679</v>
      </c>
      <c r="R26" s="19">
        <f t="shared" si="2"/>
        <v>-9.0000000000003411</v>
      </c>
      <c r="S26" s="27">
        <f t="shared" si="3"/>
        <v>0</v>
      </c>
      <c r="T26" s="28">
        <f t="shared" si="3"/>
        <v>0</v>
      </c>
      <c r="U26" s="28">
        <f t="shared" si="3"/>
        <v>-2.0000000000006679</v>
      </c>
      <c r="V26" s="28">
        <f t="shared" si="3"/>
        <v>0</v>
      </c>
      <c r="W26" s="28">
        <f t="shared" si="3"/>
        <v>0</v>
      </c>
      <c r="X26" s="29">
        <f t="shared" si="3"/>
        <v>0</v>
      </c>
      <c r="Y26" s="24"/>
    </row>
    <row r="27" spans="2:25" ht="15" customHeight="1" x14ac:dyDescent="0.2">
      <c r="B27" s="31">
        <v>41844</v>
      </c>
      <c r="C27" s="25">
        <v>13.082000000000001</v>
      </c>
      <c r="D27" s="26">
        <v>7.4409999999999998</v>
      </c>
      <c r="E27" s="26">
        <v>8.7349999999999994</v>
      </c>
      <c r="F27" s="16">
        <v>14.122999999999999</v>
      </c>
      <c r="G27" s="16">
        <v>9.6189999999999998</v>
      </c>
      <c r="H27" s="16">
        <v>11.257</v>
      </c>
      <c r="I27" s="17">
        <v>105.4</v>
      </c>
      <c r="J27" s="58">
        <v>984</v>
      </c>
      <c r="K27" s="18">
        <f t="shared" si="4"/>
        <v>104</v>
      </c>
      <c r="L27" s="19">
        <f t="shared" si="1"/>
        <v>-3.0000000000001137</v>
      </c>
      <c r="M27" s="19">
        <f t="shared" si="1"/>
        <v>-1.000000000000334</v>
      </c>
      <c r="N27" s="19">
        <f t="shared" si="1"/>
        <v>-4.0000000000013358</v>
      </c>
      <c r="O27" s="19">
        <f t="shared" si="5"/>
        <v>-4.0000000000013358</v>
      </c>
      <c r="P27" s="19">
        <f t="shared" si="6"/>
        <v>-1.9999999999997797</v>
      </c>
      <c r="Q27" s="19">
        <f t="shared" si="7"/>
        <v>-2.0000000000006679</v>
      </c>
      <c r="R27" s="19">
        <f t="shared" si="2"/>
        <v>-9.0000000000003411</v>
      </c>
      <c r="S27" s="27">
        <f t="shared" si="3"/>
        <v>0</v>
      </c>
      <c r="T27" s="28">
        <f t="shared" si="3"/>
        <v>0.99999999999944578</v>
      </c>
      <c r="U27" s="28">
        <f t="shared" si="3"/>
        <v>0</v>
      </c>
      <c r="V27" s="28">
        <f t="shared" si="3"/>
        <v>0</v>
      </c>
      <c r="W27" s="28">
        <f t="shared" si="3"/>
        <v>0</v>
      </c>
      <c r="X27" s="29">
        <f t="shared" si="3"/>
        <v>0</v>
      </c>
      <c r="Y27" s="24"/>
    </row>
    <row r="28" spans="2:25" ht="15" customHeight="1" x14ac:dyDescent="0.2">
      <c r="B28" s="31">
        <v>41848</v>
      </c>
      <c r="C28" s="25">
        <v>13.082000000000001</v>
      </c>
      <c r="D28" s="26">
        <v>7.44</v>
      </c>
      <c r="E28" s="26">
        <v>8.7349999999999994</v>
      </c>
      <c r="F28" s="16">
        <v>14.122999999999999</v>
      </c>
      <c r="G28" s="16">
        <v>9.6189999999999998</v>
      </c>
      <c r="H28" s="16">
        <v>11.257</v>
      </c>
      <c r="I28" s="17">
        <v>105.4</v>
      </c>
      <c r="J28" s="58">
        <v>995</v>
      </c>
      <c r="K28" s="18">
        <f t="shared" si="4"/>
        <v>115</v>
      </c>
      <c r="L28" s="19">
        <f t="shared" si="1"/>
        <v>-3.0000000000001137</v>
      </c>
      <c r="M28" s="19">
        <f t="shared" si="1"/>
        <v>-1.9999999999997797</v>
      </c>
      <c r="N28" s="19">
        <f t="shared" si="1"/>
        <v>-4.0000000000013358</v>
      </c>
      <c r="O28" s="19">
        <f t="shared" si="5"/>
        <v>-4.0000000000013358</v>
      </c>
      <c r="P28" s="19">
        <f t="shared" si="6"/>
        <v>-1.9999999999997797</v>
      </c>
      <c r="Q28" s="19">
        <f t="shared" si="7"/>
        <v>-2.0000000000006679</v>
      </c>
      <c r="R28" s="19">
        <f t="shared" si="2"/>
        <v>-9.0000000000003411</v>
      </c>
      <c r="S28" s="27">
        <f t="shared" si="3"/>
        <v>0</v>
      </c>
      <c r="T28" s="28">
        <f t="shared" si="3"/>
        <v>-0.24999999999986144</v>
      </c>
      <c r="U28" s="28">
        <f t="shared" si="3"/>
        <v>0</v>
      </c>
      <c r="V28" s="28">
        <f t="shared" si="3"/>
        <v>0</v>
      </c>
      <c r="W28" s="28">
        <f t="shared" si="3"/>
        <v>0</v>
      </c>
      <c r="X28" s="29">
        <f t="shared" si="3"/>
        <v>0</v>
      </c>
      <c r="Y28" s="24"/>
    </row>
    <row r="29" spans="2:25" ht="15" customHeight="1" x14ac:dyDescent="0.2">
      <c r="B29" s="31">
        <v>41849</v>
      </c>
      <c r="C29" s="25">
        <v>13.082000000000001</v>
      </c>
      <c r="D29" s="26">
        <v>7.44</v>
      </c>
      <c r="E29" s="26">
        <v>8.7349999999999994</v>
      </c>
      <c r="F29" s="16">
        <v>14.122999999999999</v>
      </c>
      <c r="G29" s="16">
        <v>9.6189999999999998</v>
      </c>
      <c r="H29" s="16">
        <v>11.257</v>
      </c>
      <c r="I29" s="17">
        <v>105.401</v>
      </c>
      <c r="J29" s="58">
        <v>1007</v>
      </c>
      <c r="K29" s="18">
        <f t="shared" si="4"/>
        <v>127</v>
      </c>
      <c r="L29" s="19">
        <f t="shared" si="1"/>
        <v>-3.0000000000001137</v>
      </c>
      <c r="M29" s="19">
        <f t="shared" si="1"/>
        <v>-1.9999999999997797</v>
      </c>
      <c r="N29" s="19">
        <f t="shared" si="1"/>
        <v>-4.0000000000013358</v>
      </c>
      <c r="O29" s="19">
        <f t="shared" si="5"/>
        <v>-4.0000000000013358</v>
      </c>
      <c r="P29" s="19">
        <f t="shared" si="6"/>
        <v>-1.9999999999997797</v>
      </c>
      <c r="Q29" s="19">
        <f t="shared" si="7"/>
        <v>-2.0000000000006679</v>
      </c>
      <c r="R29" s="19">
        <f t="shared" si="2"/>
        <v>-8.0000000000097771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>
        <f t="shared" si="3"/>
        <v>0</v>
      </c>
      <c r="W29" s="28">
        <f t="shared" si="3"/>
        <v>0</v>
      </c>
      <c r="X29" s="29">
        <f t="shared" si="3"/>
        <v>0</v>
      </c>
      <c r="Y29" s="24"/>
    </row>
    <row r="30" spans="2:25" ht="15" customHeight="1" x14ac:dyDescent="0.2">
      <c r="B30" s="31">
        <v>41850</v>
      </c>
      <c r="C30" s="25">
        <v>13.082000000000001</v>
      </c>
      <c r="D30" s="26">
        <v>7.44</v>
      </c>
      <c r="E30" s="26">
        <v>8.7349999999999994</v>
      </c>
      <c r="F30" s="16">
        <v>14.121</v>
      </c>
      <c r="G30" s="16">
        <v>9.6189999999999998</v>
      </c>
      <c r="H30" s="16">
        <v>11.257</v>
      </c>
      <c r="I30" s="17">
        <v>105.4</v>
      </c>
      <c r="J30" s="58">
        <v>1011</v>
      </c>
      <c r="K30" s="18">
        <f t="shared" si="4"/>
        <v>131</v>
      </c>
      <c r="L30" s="19">
        <f t="shared" si="1"/>
        <v>-3.0000000000001137</v>
      </c>
      <c r="M30" s="19">
        <f t="shared" si="1"/>
        <v>-1.9999999999997797</v>
      </c>
      <c r="N30" s="19">
        <f t="shared" si="1"/>
        <v>-4.0000000000013358</v>
      </c>
      <c r="O30" s="19">
        <f t="shared" si="5"/>
        <v>-6.0000000000002274</v>
      </c>
      <c r="P30" s="19">
        <f t="shared" si="6"/>
        <v>-1.9999999999997797</v>
      </c>
      <c r="Q30" s="19">
        <f t="shared" si="7"/>
        <v>-2.0000000000006679</v>
      </c>
      <c r="R30" s="19">
        <f t="shared" si="2"/>
        <v>-9.0000000000003411</v>
      </c>
      <c r="S30" s="27">
        <f t="shared" si="3"/>
        <v>0</v>
      </c>
      <c r="T30" s="28">
        <f t="shared" si="3"/>
        <v>0</v>
      </c>
      <c r="U30" s="28">
        <f t="shared" si="3"/>
        <v>0</v>
      </c>
      <c r="V30" s="28">
        <f t="shared" si="3"/>
        <v>-1.9999999999988916</v>
      </c>
      <c r="W30" s="28">
        <f t="shared" si="3"/>
        <v>0</v>
      </c>
      <c r="X30" s="29">
        <f t="shared" si="3"/>
        <v>0</v>
      </c>
      <c r="Y30" s="24"/>
    </row>
    <row r="31" spans="2:25" ht="15" customHeight="1" x14ac:dyDescent="0.2">
      <c r="B31" s="31">
        <v>41855</v>
      </c>
      <c r="C31" s="25">
        <v>13.082000000000001</v>
      </c>
      <c r="D31" s="26">
        <v>7.4409999999999998</v>
      </c>
      <c r="E31" s="26">
        <v>8.7349999999999994</v>
      </c>
      <c r="F31" s="16">
        <v>14.121</v>
      </c>
      <c r="G31" s="16">
        <v>9.6189999999999998</v>
      </c>
      <c r="H31" s="16">
        <v>11.257</v>
      </c>
      <c r="I31" s="17">
        <v>105.401</v>
      </c>
      <c r="J31" s="58">
        <v>1033</v>
      </c>
      <c r="K31" s="18">
        <f t="shared" si="4"/>
        <v>153</v>
      </c>
      <c r="L31" s="19">
        <f t="shared" si="1"/>
        <v>-3.0000000000001137</v>
      </c>
      <c r="M31" s="19">
        <f t="shared" si="1"/>
        <v>-1.000000000000334</v>
      </c>
      <c r="N31" s="19">
        <f t="shared" si="1"/>
        <v>-4.0000000000013358</v>
      </c>
      <c r="O31" s="19">
        <f t="shared" si="5"/>
        <v>-6.0000000000002274</v>
      </c>
      <c r="P31" s="19">
        <f t="shared" si="6"/>
        <v>-1.9999999999997797</v>
      </c>
      <c r="Q31" s="19">
        <f t="shared" si="7"/>
        <v>-2.0000000000006679</v>
      </c>
      <c r="R31" s="19">
        <f t="shared" si="2"/>
        <v>-8.0000000000097771</v>
      </c>
      <c r="S31" s="27">
        <f t="shared" si="3"/>
        <v>0</v>
      </c>
      <c r="T31" s="28">
        <f t="shared" si="3"/>
        <v>0.19999999999988916</v>
      </c>
      <c r="U31" s="28">
        <f t="shared" si="3"/>
        <v>0</v>
      </c>
      <c r="V31" s="28">
        <f t="shared" si="3"/>
        <v>0</v>
      </c>
      <c r="W31" s="28">
        <f t="shared" si="3"/>
        <v>0</v>
      </c>
      <c r="X31" s="29">
        <f t="shared" si="3"/>
        <v>0</v>
      </c>
      <c r="Y31" s="24"/>
    </row>
    <row r="32" spans="2:25" ht="15" customHeight="1" x14ac:dyDescent="0.2">
      <c r="B32" s="31">
        <v>41857</v>
      </c>
      <c r="C32" s="25">
        <v>13.082000000000001</v>
      </c>
      <c r="D32" s="26">
        <v>7.4409999999999998</v>
      </c>
      <c r="E32" s="26">
        <v>8.7349999999999994</v>
      </c>
      <c r="F32" s="16">
        <v>14.122</v>
      </c>
      <c r="G32" s="16">
        <v>9.6189999999999998</v>
      </c>
      <c r="H32" s="16">
        <v>11.257</v>
      </c>
      <c r="I32" s="17">
        <v>105.4</v>
      </c>
      <c r="J32" s="58">
        <v>1043</v>
      </c>
      <c r="K32" s="18">
        <f t="shared" si="4"/>
        <v>163</v>
      </c>
      <c r="L32" s="19">
        <f t="shared" si="1"/>
        <v>-3.0000000000001137</v>
      </c>
      <c r="M32" s="19">
        <f t="shared" si="1"/>
        <v>-1.000000000000334</v>
      </c>
      <c r="N32" s="19">
        <f t="shared" si="1"/>
        <v>-4.0000000000013358</v>
      </c>
      <c r="O32" s="19">
        <f t="shared" si="5"/>
        <v>-5.0000000000007816</v>
      </c>
      <c r="P32" s="19">
        <f t="shared" si="6"/>
        <v>-1.9999999999997797</v>
      </c>
      <c r="Q32" s="19">
        <f t="shared" si="7"/>
        <v>-2.0000000000006679</v>
      </c>
      <c r="R32" s="19">
        <f t="shared" si="2"/>
        <v>-9.0000000000003411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>
        <f t="shared" si="3"/>
        <v>0.49999999999972289</v>
      </c>
      <c r="W32" s="28">
        <f t="shared" si="3"/>
        <v>0</v>
      </c>
      <c r="X32" s="29">
        <f t="shared" si="3"/>
        <v>0</v>
      </c>
      <c r="Y32" s="24"/>
    </row>
    <row r="33" spans="2:25" ht="15" customHeight="1" x14ac:dyDescent="0.2">
      <c r="B33" s="31">
        <v>41864</v>
      </c>
      <c r="C33" s="25">
        <v>13.082000000000001</v>
      </c>
      <c r="D33" s="26">
        <v>7.4409999999999998</v>
      </c>
      <c r="E33" s="26">
        <v>8.7349999999999994</v>
      </c>
      <c r="F33" s="78">
        <v>14.122</v>
      </c>
      <c r="G33" s="78">
        <v>9.6189999999999998</v>
      </c>
      <c r="H33" s="16">
        <v>11.257</v>
      </c>
      <c r="I33" s="17">
        <v>105.4</v>
      </c>
      <c r="J33" s="58">
        <v>1082</v>
      </c>
      <c r="K33" s="18">
        <f t="shared" ref="K33:K96" si="8">IF(ISBLANK(J33),"",(J33-$J$8))</f>
        <v>202</v>
      </c>
      <c r="L33" s="19">
        <f t="shared" si="1"/>
        <v>-3.0000000000001137</v>
      </c>
      <c r="M33" s="19">
        <f t="shared" si="1"/>
        <v>-1.000000000000334</v>
      </c>
      <c r="N33" s="19">
        <f t="shared" si="1"/>
        <v>-4.0000000000013358</v>
      </c>
      <c r="O33" s="19">
        <f t="shared" si="5"/>
        <v>-5.0000000000007816</v>
      </c>
      <c r="P33" s="19">
        <f t="shared" si="6"/>
        <v>-1.9999999999997797</v>
      </c>
      <c r="Q33" s="19">
        <f t="shared" si="7"/>
        <v>-2.0000000000006679</v>
      </c>
      <c r="R33" s="19">
        <f t="shared" si="2"/>
        <v>-9.0000000000003411</v>
      </c>
      <c r="S33" s="27">
        <f t="shared" ref="S33:X48" si="9">IF(C33="","",((C33-C32)*1000)/($B33-$B32))</f>
        <v>0</v>
      </c>
      <c r="T33" s="28">
        <f t="shared" si="9"/>
        <v>0</v>
      </c>
      <c r="U33" s="28">
        <f t="shared" si="9"/>
        <v>0</v>
      </c>
      <c r="V33" s="28">
        <f t="shared" si="9"/>
        <v>0</v>
      </c>
      <c r="W33" s="28">
        <f t="shared" si="9"/>
        <v>0</v>
      </c>
      <c r="X33" s="29">
        <f t="shared" si="9"/>
        <v>0</v>
      </c>
      <c r="Y33" s="24"/>
    </row>
    <row r="34" spans="2:25" ht="15" customHeight="1" x14ac:dyDescent="0.2">
      <c r="B34" s="31">
        <v>41869</v>
      </c>
      <c r="C34" s="25">
        <v>13.082000000000001</v>
      </c>
      <c r="D34" s="26">
        <v>7.4409999999999998</v>
      </c>
      <c r="E34" s="26">
        <v>8.7349999999999994</v>
      </c>
      <c r="F34" s="78">
        <v>14.122</v>
      </c>
      <c r="G34" s="78">
        <v>9.6189999999999998</v>
      </c>
      <c r="H34" s="16">
        <v>11.257</v>
      </c>
      <c r="I34" s="17">
        <v>105.4</v>
      </c>
      <c r="J34" s="58">
        <v>1099</v>
      </c>
      <c r="K34" s="18">
        <f t="shared" si="8"/>
        <v>219</v>
      </c>
      <c r="L34" s="19">
        <f t="shared" si="1"/>
        <v>-3.0000000000001137</v>
      </c>
      <c r="M34" s="19">
        <f t="shared" si="1"/>
        <v>-1.000000000000334</v>
      </c>
      <c r="N34" s="19">
        <f t="shared" si="1"/>
        <v>-4.0000000000013358</v>
      </c>
      <c r="O34" s="19">
        <f t="shared" si="5"/>
        <v>-5.0000000000007816</v>
      </c>
      <c r="P34" s="19">
        <f t="shared" si="6"/>
        <v>-1.9999999999997797</v>
      </c>
      <c r="Q34" s="19">
        <f t="shared" si="7"/>
        <v>-2.0000000000006679</v>
      </c>
      <c r="R34" s="19">
        <f t="shared" si="2"/>
        <v>-9.0000000000003411</v>
      </c>
      <c r="S34" s="27">
        <f t="shared" si="9"/>
        <v>0</v>
      </c>
      <c r="T34" s="28">
        <f t="shared" si="9"/>
        <v>0</v>
      </c>
      <c r="U34" s="28">
        <f t="shared" si="9"/>
        <v>0</v>
      </c>
      <c r="V34" s="28">
        <f t="shared" si="9"/>
        <v>0</v>
      </c>
      <c r="W34" s="28">
        <f t="shared" si="9"/>
        <v>0</v>
      </c>
      <c r="X34" s="29">
        <f t="shared" si="9"/>
        <v>0</v>
      </c>
      <c r="Y34" s="24"/>
    </row>
    <row r="35" spans="2:25" ht="15" customHeight="1" x14ac:dyDescent="0.2">
      <c r="B35" s="31">
        <v>41879</v>
      </c>
      <c r="C35" s="77">
        <v>13.082000000000001</v>
      </c>
      <c r="D35" s="76">
        <v>7.4409999999999998</v>
      </c>
      <c r="E35" s="76">
        <v>8.7349999999999994</v>
      </c>
      <c r="F35" s="78">
        <v>14.122</v>
      </c>
      <c r="G35" s="78">
        <v>9.6189999999999998</v>
      </c>
      <c r="H35" s="16">
        <v>11.257</v>
      </c>
      <c r="I35" s="17">
        <v>105.4</v>
      </c>
      <c r="J35" s="58">
        <v>943</v>
      </c>
      <c r="K35" s="18">
        <f t="shared" si="8"/>
        <v>63</v>
      </c>
      <c r="L35" s="19">
        <f t="shared" si="1"/>
        <v>-3.0000000000001137</v>
      </c>
      <c r="M35" s="19">
        <f t="shared" si="1"/>
        <v>-1.000000000000334</v>
      </c>
      <c r="N35" s="19">
        <f t="shared" si="1"/>
        <v>-4.0000000000013358</v>
      </c>
      <c r="O35" s="19">
        <f t="shared" si="5"/>
        <v>-5.0000000000007816</v>
      </c>
      <c r="P35" s="19">
        <f t="shared" si="6"/>
        <v>-1.9999999999997797</v>
      </c>
      <c r="Q35" s="19">
        <f t="shared" si="7"/>
        <v>-2.0000000000006679</v>
      </c>
      <c r="R35" s="19">
        <f t="shared" si="2"/>
        <v>-9.0000000000003411</v>
      </c>
      <c r="S35" s="27">
        <f t="shared" si="9"/>
        <v>0</v>
      </c>
      <c r="T35" s="28">
        <f t="shared" si="9"/>
        <v>0</v>
      </c>
      <c r="U35" s="28">
        <f t="shared" si="9"/>
        <v>0</v>
      </c>
      <c r="V35" s="28">
        <f t="shared" si="9"/>
        <v>0</v>
      </c>
      <c r="W35" s="28">
        <f t="shared" si="9"/>
        <v>0</v>
      </c>
      <c r="X35" s="29">
        <f t="shared" si="9"/>
        <v>0</v>
      </c>
      <c r="Y35" s="24"/>
    </row>
    <row r="36" spans="2:25" ht="15" customHeight="1" x14ac:dyDescent="0.2">
      <c r="B36" s="31">
        <v>41913</v>
      </c>
      <c r="C36" s="77">
        <v>13.082000000000001</v>
      </c>
      <c r="D36" s="76">
        <v>7.4409999999999998</v>
      </c>
      <c r="E36" s="76">
        <v>8.7349999999999994</v>
      </c>
      <c r="F36" s="78">
        <v>14.122</v>
      </c>
      <c r="G36" s="78">
        <v>9.6189999999999998</v>
      </c>
      <c r="H36" s="16">
        <v>11.257</v>
      </c>
      <c r="I36" s="17">
        <v>105.4</v>
      </c>
      <c r="J36" s="58">
        <v>943</v>
      </c>
      <c r="K36" s="18">
        <f t="shared" si="8"/>
        <v>63</v>
      </c>
      <c r="L36" s="19">
        <f t="shared" si="1"/>
        <v>-3.0000000000001137</v>
      </c>
      <c r="M36" s="19">
        <f t="shared" si="1"/>
        <v>-1.000000000000334</v>
      </c>
      <c r="N36" s="19">
        <f t="shared" si="1"/>
        <v>-4.0000000000013358</v>
      </c>
      <c r="O36" s="19">
        <f t="shared" si="5"/>
        <v>-5.0000000000007816</v>
      </c>
      <c r="P36" s="19">
        <f t="shared" si="6"/>
        <v>-1.9999999999997797</v>
      </c>
      <c r="Q36" s="19">
        <f t="shared" si="7"/>
        <v>-2.0000000000006679</v>
      </c>
      <c r="R36" s="19">
        <f t="shared" si="2"/>
        <v>-9.0000000000003411</v>
      </c>
      <c r="S36" s="27">
        <f t="shared" si="9"/>
        <v>0</v>
      </c>
      <c r="T36" s="28">
        <f t="shared" si="9"/>
        <v>0</v>
      </c>
      <c r="U36" s="28">
        <f t="shared" si="9"/>
        <v>0</v>
      </c>
      <c r="V36" s="28">
        <f t="shared" si="9"/>
        <v>0</v>
      </c>
      <c r="W36" s="28">
        <f t="shared" si="9"/>
        <v>0</v>
      </c>
      <c r="X36" s="29">
        <f t="shared" si="9"/>
        <v>0</v>
      </c>
      <c r="Y36" s="24"/>
    </row>
    <row r="37" spans="2:25" ht="15" customHeight="1" x14ac:dyDescent="0.2">
      <c r="B37" s="31">
        <v>42032</v>
      </c>
      <c r="C37" s="25">
        <v>13.081</v>
      </c>
      <c r="D37" s="26">
        <v>7.4409999999999998</v>
      </c>
      <c r="E37" s="26">
        <v>8.7349999999999994</v>
      </c>
      <c r="F37" s="78">
        <v>14.122</v>
      </c>
      <c r="G37" s="78">
        <v>9.6189999999999998</v>
      </c>
      <c r="H37" s="16">
        <v>11.257</v>
      </c>
      <c r="I37" s="17">
        <v>105.4</v>
      </c>
      <c r="J37" s="58">
        <v>943</v>
      </c>
      <c r="K37" s="18">
        <f t="shared" si="8"/>
        <v>63</v>
      </c>
      <c r="L37" s="19">
        <f t="shared" si="1"/>
        <v>-4.0000000000013358</v>
      </c>
      <c r="M37" s="19">
        <f t="shared" si="1"/>
        <v>-1.000000000000334</v>
      </c>
      <c r="N37" s="19">
        <f t="shared" si="1"/>
        <v>-4.0000000000013358</v>
      </c>
      <c r="O37" s="19">
        <f t="shared" si="5"/>
        <v>-5.0000000000007816</v>
      </c>
      <c r="P37" s="19">
        <f t="shared" si="6"/>
        <v>-1.9999999999997797</v>
      </c>
      <c r="Q37" s="19">
        <f t="shared" si="7"/>
        <v>-2.0000000000006679</v>
      </c>
      <c r="R37" s="19">
        <f t="shared" si="2"/>
        <v>-9.0000000000003411</v>
      </c>
      <c r="S37" s="27">
        <f>IF(C37="","",((C37-C36)*1000)/($B37-$B36))</f>
        <v>-8.4033613445480843E-3</v>
      </c>
      <c r="T37" s="28">
        <f>IF(D37="","",((D37-D36)*1000)/($B37-$B36))</f>
        <v>0</v>
      </c>
      <c r="U37" s="28">
        <f>IF(E37="","",((E37-E36)*1000)/($B37-$B36))</f>
        <v>0</v>
      </c>
      <c r="V37" s="28">
        <f t="shared" si="9"/>
        <v>0</v>
      </c>
      <c r="W37" s="28">
        <f t="shared" si="9"/>
        <v>0</v>
      </c>
      <c r="X37" s="29">
        <f t="shared" si="9"/>
        <v>0</v>
      </c>
      <c r="Y37" s="24"/>
    </row>
    <row r="38" spans="2:25" ht="15" customHeight="1" x14ac:dyDescent="0.2">
      <c r="B38" s="31">
        <v>42121</v>
      </c>
      <c r="C38" s="25"/>
      <c r="D38" s="26"/>
      <c r="E38" s="26"/>
      <c r="F38" s="78">
        <v>14.122</v>
      </c>
      <c r="G38" s="78">
        <v>9.6189999999999998</v>
      </c>
      <c r="H38" s="16">
        <v>11.257999999999999</v>
      </c>
      <c r="I38" s="17">
        <v>105.4</v>
      </c>
      <c r="J38" s="58">
        <v>943</v>
      </c>
      <c r="K38" s="18">
        <f t="shared" si="8"/>
        <v>63</v>
      </c>
      <c r="L38" s="19" t="str">
        <f t="shared" si="1"/>
        <v/>
      </c>
      <c r="M38" s="19" t="str">
        <f t="shared" si="1"/>
        <v/>
      </c>
      <c r="N38" s="19" t="str">
        <f t="shared" si="1"/>
        <v/>
      </c>
      <c r="O38" s="19">
        <f t="shared" si="5"/>
        <v>-5.0000000000007816</v>
      </c>
      <c r="P38" s="19">
        <f t="shared" si="6"/>
        <v>-1.9999999999997797</v>
      </c>
      <c r="Q38" s="19">
        <f t="shared" si="7"/>
        <v>-1.0000000000012221</v>
      </c>
      <c r="R38" s="19">
        <f t="shared" si="2"/>
        <v>-9.0000000000003411</v>
      </c>
      <c r="S38" s="27" t="str">
        <f t="shared" si="9"/>
        <v/>
      </c>
      <c r="T38" s="28" t="str">
        <f t="shared" si="9"/>
        <v/>
      </c>
      <c r="U38" s="28" t="str">
        <f t="shared" si="9"/>
        <v/>
      </c>
      <c r="V38" s="28">
        <f t="shared" si="9"/>
        <v>0</v>
      </c>
      <c r="W38" s="28">
        <f t="shared" si="9"/>
        <v>0</v>
      </c>
      <c r="X38" s="29">
        <f t="shared" si="9"/>
        <v>1.1235955056173547E-2</v>
      </c>
      <c r="Y38" s="24"/>
    </row>
    <row r="39" spans="2:25" ht="15" customHeight="1" x14ac:dyDescent="0.2">
      <c r="B39" s="31">
        <v>42223</v>
      </c>
      <c r="C39" s="25"/>
      <c r="D39" s="26"/>
      <c r="E39" s="26"/>
      <c r="F39" s="78">
        <v>14.122</v>
      </c>
      <c r="G39" s="78">
        <v>9.6189999999999998</v>
      </c>
      <c r="H39" s="47">
        <v>11.257999999999999</v>
      </c>
      <c r="I39" s="57">
        <v>105.4</v>
      </c>
      <c r="J39" s="32">
        <v>1304</v>
      </c>
      <c r="K39" s="18">
        <f t="shared" si="8"/>
        <v>424</v>
      </c>
      <c r="L39" s="19" t="str">
        <f t="shared" si="1"/>
        <v/>
      </c>
      <c r="M39" s="19" t="str">
        <f t="shared" si="1"/>
        <v/>
      </c>
      <c r="N39" s="19" t="str">
        <f t="shared" si="1"/>
        <v/>
      </c>
      <c r="O39" s="19">
        <f t="shared" si="5"/>
        <v>-5.0000000000007816</v>
      </c>
      <c r="P39" s="19">
        <f t="shared" si="6"/>
        <v>-1.9999999999997797</v>
      </c>
      <c r="Q39" s="19">
        <f t="shared" si="7"/>
        <v>-1.0000000000012221</v>
      </c>
      <c r="R39" s="19">
        <f t="shared" si="2"/>
        <v>-9.0000000000003411</v>
      </c>
      <c r="S39" s="27" t="str">
        <f t="shared" si="9"/>
        <v/>
      </c>
      <c r="T39" s="28" t="str">
        <f t="shared" si="9"/>
        <v/>
      </c>
      <c r="U39" s="28" t="str">
        <f t="shared" si="9"/>
        <v/>
      </c>
      <c r="V39" s="28">
        <f t="shared" si="9"/>
        <v>0</v>
      </c>
      <c r="W39" s="28">
        <f t="shared" si="9"/>
        <v>0</v>
      </c>
      <c r="X39" s="29">
        <f t="shared" si="9"/>
        <v>0</v>
      </c>
      <c r="Y39" s="24"/>
    </row>
    <row r="40" spans="2:25" ht="15" customHeight="1" x14ac:dyDescent="0.2">
      <c r="B40" s="31">
        <v>42327</v>
      </c>
      <c r="C40" s="25">
        <v>13.082000000000001</v>
      </c>
      <c r="D40" s="26">
        <v>7.4409999999999998</v>
      </c>
      <c r="E40" s="26">
        <v>8.7349999999999994</v>
      </c>
      <c r="F40" s="78">
        <v>14.122</v>
      </c>
      <c r="G40" s="78">
        <v>9.6189999999999998</v>
      </c>
      <c r="H40" s="47">
        <v>11.257</v>
      </c>
      <c r="I40" s="57">
        <v>105.4</v>
      </c>
      <c r="J40" s="32">
        <v>2251</v>
      </c>
      <c r="K40" s="18">
        <f t="shared" si="8"/>
        <v>1371</v>
      </c>
      <c r="L40" s="19">
        <f t="shared" si="1"/>
        <v>-3.0000000000001137</v>
      </c>
      <c r="M40" s="19">
        <f t="shared" si="1"/>
        <v>-1.000000000000334</v>
      </c>
      <c r="N40" s="19">
        <f t="shared" si="1"/>
        <v>-4.0000000000013358</v>
      </c>
      <c r="O40" s="19">
        <f t="shared" si="5"/>
        <v>-5.0000000000007816</v>
      </c>
      <c r="P40" s="19">
        <f t="shared" si="6"/>
        <v>-1.9999999999997797</v>
      </c>
      <c r="Q40" s="19">
        <f t="shared" si="7"/>
        <v>-2.0000000000006679</v>
      </c>
      <c r="R40" s="19">
        <f t="shared" si="2"/>
        <v>-9.0000000000003411</v>
      </c>
      <c r="S40" s="27"/>
      <c r="T40" s="28"/>
      <c r="U40" s="28"/>
      <c r="V40" s="28">
        <f t="shared" si="9"/>
        <v>0</v>
      </c>
      <c r="W40" s="28">
        <f t="shared" si="9"/>
        <v>0</v>
      </c>
      <c r="X40" s="29">
        <f t="shared" si="9"/>
        <v>-9.6153846153792868E-3</v>
      </c>
      <c r="Y40" s="24"/>
    </row>
    <row r="41" spans="2:25" ht="15" customHeight="1" x14ac:dyDescent="0.2">
      <c r="B41" s="31">
        <v>42424</v>
      </c>
      <c r="C41" s="73"/>
      <c r="D41" s="26"/>
      <c r="E41" s="71"/>
      <c r="F41" s="78">
        <v>14.122</v>
      </c>
      <c r="G41" s="78">
        <v>9.6189999999999998</v>
      </c>
      <c r="H41" s="47">
        <v>11.257</v>
      </c>
      <c r="I41" s="57">
        <v>105.4</v>
      </c>
      <c r="J41" s="32">
        <v>2540.5</v>
      </c>
      <c r="K41" s="18">
        <f t="shared" si="8"/>
        <v>1660.5</v>
      </c>
      <c r="L41" s="19" t="str">
        <f t="shared" si="1"/>
        <v/>
      </c>
      <c r="M41" s="19" t="str">
        <f t="shared" si="1"/>
        <v/>
      </c>
      <c r="N41" s="19" t="str">
        <f t="shared" si="1"/>
        <v/>
      </c>
      <c r="O41" s="19">
        <f t="shared" si="5"/>
        <v>-5.0000000000007816</v>
      </c>
      <c r="P41" s="19">
        <f t="shared" si="6"/>
        <v>-1.9999999999997797</v>
      </c>
      <c r="Q41" s="19">
        <f t="shared" si="7"/>
        <v>-2.0000000000006679</v>
      </c>
      <c r="R41" s="19">
        <f t="shared" si="2"/>
        <v>-9.0000000000003411</v>
      </c>
      <c r="S41" s="27" t="str">
        <f t="shared" si="9"/>
        <v/>
      </c>
      <c r="T41" s="28" t="str">
        <f t="shared" si="9"/>
        <v/>
      </c>
      <c r="U41" s="28" t="str">
        <f t="shared" si="9"/>
        <v/>
      </c>
      <c r="V41" s="28">
        <f t="shared" si="9"/>
        <v>0</v>
      </c>
      <c r="W41" s="28">
        <f t="shared" si="9"/>
        <v>0</v>
      </c>
      <c r="X41" s="29">
        <f t="shared" si="9"/>
        <v>0</v>
      </c>
      <c r="Y41" s="24"/>
    </row>
    <row r="42" spans="2:25" ht="15" customHeight="1" x14ac:dyDescent="0.2">
      <c r="B42" s="31">
        <v>42530</v>
      </c>
      <c r="C42" s="26"/>
      <c r="D42" s="26"/>
      <c r="E42" s="26"/>
      <c r="F42" s="47">
        <v>14.125999999999999</v>
      </c>
      <c r="G42" s="47">
        <v>9.6219999999999999</v>
      </c>
      <c r="H42" s="47">
        <v>11.256</v>
      </c>
      <c r="I42" s="57">
        <v>105.4</v>
      </c>
      <c r="J42" s="58">
        <v>2608</v>
      </c>
      <c r="K42" s="18">
        <f t="shared" si="8"/>
        <v>1728</v>
      </c>
      <c r="L42" s="19" t="str">
        <f t="shared" si="1"/>
        <v/>
      </c>
      <c r="M42" s="19" t="str">
        <f t="shared" si="1"/>
        <v/>
      </c>
      <c r="N42" s="19" t="str">
        <f t="shared" si="1"/>
        <v/>
      </c>
      <c r="O42" s="19">
        <f t="shared" si="5"/>
        <v>-1.0000000000012221</v>
      </c>
      <c r="P42" s="19">
        <f t="shared" si="6"/>
        <v>1.000000000000334</v>
      </c>
      <c r="Q42" s="19">
        <f t="shared" si="7"/>
        <v>-3.0000000000001137</v>
      </c>
      <c r="R42" s="19">
        <f t="shared" si="2"/>
        <v>-9.0000000000003411</v>
      </c>
      <c r="S42" s="27" t="str">
        <f t="shared" si="9"/>
        <v/>
      </c>
      <c r="T42" s="28" t="str">
        <f t="shared" si="9"/>
        <v/>
      </c>
      <c r="U42" s="28" t="str">
        <f t="shared" si="9"/>
        <v/>
      </c>
      <c r="V42" s="28">
        <f t="shared" si="9"/>
        <v>3.7735849056599616E-2</v>
      </c>
      <c r="W42" s="28">
        <f t="shared" si="9"/>
        <v>2.8301886792453903E-2</v>
      </c>
      <c r="X42" s="29">
        <f t="shared" si="9"/>
        <v>-9.4339622641457146E-3</v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 t="str">
        <f t="shared" si="8"/>
        <v/>
      </c>
      <c r="L43" s="19" t="str">
        <f t="shared" si="1"/>
        <v/>
      </c>
      <c r="M43" s="19" t="str">
        <f t="shared" si="1"/>
        <v/>
      </c>
      <c r="N43" s="19" t="str">
        <f t="shared" si="1"/>
        <v/>
      </c>
      <c r="O43" s="19" t="str">
        <f t="shared" si="5"/>
        <v/>
      </c>
      <c r="P43" s="19" t="str">
        <f t="shared" si="6"/>
        <v/>
      </c>
      <c r="Q43" s="19" t="str">
        <f t="shared" si="7"/>
        <v/>
      </c>
      <c r="R43" s="19" t="str">
        <f t="shared" si="2"/>
        <v/>
      </c>
      <c r="S43" s="27" t="str">
        <f t="shared" si="9"/>
        <v/>
      </c>
      <c r="T43" s="28" t="str">
        <f t="shared" si="9"/>
        <v/>
      </c>
      <c r="U43" s="28" t="str">
        <f t="shared" si="9"/>
        <v/>
      </c>
      <c r="V43" s="28" t="str">
        <f t="shared" si="9"/>
        <v/>
      </c>
      <c r="W43" s="28" t="str">
        <f t="shared" si="9"/>
        <v/>
      </c>
      <c r="X43" s="29" t="str">
        <f t="shared" si="9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18" t="str">
        <f t="shared" si="8"/>
        <v/>
      </c>
      <c r="L44" s="19" t="str">
        <f t="shared" si="1"/>
        <v/>
      </c>
      <c r="M44" s="19" t="str">
        <f t="shared" si="1"/>
        <v/>
      </c>
      <c r="N44" s="19" t="str">
        <f t="shared" si="1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2"/>
        <v/>
      </c>
      <c r="S44" s="27" t="str">
        <f t="shared" si="9"/>
        <v/>
      </c>
      <c r="T44" s="28" t="str">
        <f t="shared" si="9"/>
        <v/>
      </c>
      <c r="U44" s="28" t="str">
        <f t="shared" si="9"/>
        <v/>
      </c>
      <c r="V44" s="28" t="str">
        <f t="shared" si="9"/>
        <v/>
      </c>
      <c r="W44" s="28" t="str">
        <f t="shared" si="9"/>
        <v/>
      </c>
      <c r="X44" s="29" t="str">
        <f t="shared" si="9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18" t="str">
        <f t="shared" si="8"/>
        <v/>
      </c>
      <c r="L45" s="19" t="str">
        <f t="shared" si="1"/>
        <v/>
      </c>
      <c r="M45" s="19" t="str">
        <f t="shared" si="1"/>
        <v/>
      </c>
      <c r="N45" s="19" t="str">
        <f t="shared" si="1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2"/>
        <v/>
      </c>
      <c r="S45" s="27" t="str">
        <f t="shared" si="9"/>
        <v/>
      </c>
      <c r="T45" s="28" t="str">
        <f t="shared" si="9"/>
        <v/>
      </c>
      <c r="U45" s="28" t="str">
        <f t="shared" si="9"/>
        <v/>
      </c>
      <c r="V45" s="28" t="str">
        <f t="shared" si="9"/>
        <v/>
      </c>
      <c r="W45" s="28" t="str">
        <f t="shared" si="9"/>
        <v/>
      </c>
      <c r="X45" s="29" t="str">
        <f t="shared" si="9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18" t="str">
        <f t="shared" si="8"/>
        <v/>
      </c>
      <c r="L46" s="19" t="str">
        <f t="shared" si="1"/>
        <v/>
      </c>
      <c r="M46" s="19" t="str">
        <f t="shared" si="1"/>
        <v/>
      </c>
      <c r="N46" s="19" t="str">
        <f t="shared" si="1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2"/>
        <v/>
      </c>
      <c r="S46" s="27" t="str">
        <f t="shared" si="9"/>
        <v/>
      </c>
      <c r="T46" s="28" t="str">
        <f t="shared" si="9"/>
        <v/>
      </c>
      <c r="U46" s="28" t="str">
        <f t="shared" si="9"/>
        <v/>
      </c>
      <c r="V46" s="28" t="str">
        <f t="shared" si="9"/>
        <v/>
      </c>
      <c r="W46" s="28" t="str">
        <f t="shared" si="9"/>
        <v/>
      </c>
      <c r="X46" s="29" t="str">
        <f t="shared" si="9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 t="str">
        <f t="shared" si="8"/>
        <v/>
      </c>
      <c r="L47" s="19" t="str">
        <f t="shared" si="1"/>
        <v/>
      </c>
      <c r="M47" s="19" t="str">
        <f t="shared" si="1"/>
        <v/>
      </c>
      <c r="N47" s="19" t="str">
        <f t="shared" si="1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2"/>
        <v/>
      </c>
      <c r="S47" s="27" t="str">
        <f t="shared" si="9"/>
        <v/>
      </c>
      <c r="T47" s="28" t="str">
        <f t="shared" si="9"/>
        <v/>
      </c>
      <c r="U47" s="28" t="str">
        <f t="shared" si="9"/>
        <v/>
      </c>
      <c r="V47" s="28" t="str">
        <f t="shared" si="9"/>
        <v/>
      </c>
      <c r="W47" s="28" t="str">
        <f t="shared" si="9"/>
        <v/>
      </c>
      <c r="X47" s="29" t="str">
        <f t="shared" si="9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 t="str">
        <f t="shared" si="8"/>
        <v/>
      </c>
      <c r="L48" s="19" t="str">
        <f t="shared" ref="L48:N79" si="10">IF(ISBLANK(C48),"",(C48-C$16)*1000)</f>
        <v/>
      </c>
      <c r="M48" s="19" t="str">
        <f t="shared" si="10"/>
        <v/>
      </c>
      <c r="N48" s="19" t="str">
        <f t="shared" si="10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2"/>
        <v/>
      </c>
      <c r="S48" s="27" t="str">
        <f t="shared" si="9"/>
        <v/>
      </c>
      <c r="T48" s="28" t="str">
        <f t="shared" si="9"/>
        <v/>
      </c>
      <c r="U48" s="28" t="str">
        <f t="shared" si="9"/>
        <v/>
      </c>
      <c r="V48" s="28" t="str">
        <f t="shared" si="9"/>
        <v/>
      </c>
      <c r="W48" s="28" t="str">
        <f t="shared" si="9"/>
        <v/>
      </c>
      <c r="X48" s="29" t="str">
        <f t="shared" si="9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 t="str">
        <f t="shared" si="8"/>
        <v/>
      </c>
      <c r="L49" s="19" t="str">
        <f t="shared" si="10"/>
        <v/>
      </c>
      <c r="M49" s="19" t="str">
        <f t="shared" si="10"/>
        <v/>
      </c>
      <c r="N49" s="19" t="str">
        <f t="shared" si="10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2"/>
        <v/>
      </c>
      <c r="S49" s="27" t="str">
        <f t="shared" ref="S49:X64" si="11">IF(C49="","",((C49-C48)*1000)/($B49-$B48))</f>
        <v/>
      </c>
      <c r="T49" s="28" t="str">
        <f t="shared" si="11"/>
        <v/>
      </c>
      <c r="U49" s="28" t="str">
        <f t="shared" si="11"/>
        <v/>
      </c>
      <c r="V49" s="28" t="str">
        <f t="shared" si="11"/>
        <v/>
      </c>
      <c r="W49" s="28" t="str">
        <f t="shared" si="11"/>
        <v/>
      </c>
      <c r="X49" s="29" t="str">
        <f t="shared" si="1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 t="str">
        <f t="shared" si="8"/>
        <v/>
      </c>
      <c r="L50" s="19" t="str">
        <f t="shared" si="10"/>
        <v/>
      </c>
      <c r="M50" s="19" t="str">
        <f t="shared" si="10"/>
        <v/>
      </c>
      <c r="N50" s="19" t="str">
        <f t="shared" si="10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2"/>
        <v/>
      </c>
      <c r="S50" s="27" t="str">
        <f t="shared" si="11"/>
        <v/>
      </c>
      <c r="T50" s="28" t="str">
        <f t="shared" si="11"/>
        <v/>
      </c>
      <c r="U50" s="28" t="str">
        <f t="shared" si="11"/>
        <v/>
      </c>
      <c r="V50" s="28" t="str">
        <f t="shared" si="11"/>
        <v/>
      </c>
      <c r="W50" s="28" t="str">
        <f t="shared" si="11"/>
        <v/>
      </c>
      <c r="X50" s="29" t="str">
        <f t="shared" si="1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 t="str">
        <f t="shared" si="8"/>
        <v/>
      </c>
      <c r="L51" s="19" t="str">
        <f t="shared" si="10"/>
        <v/>
      </c>
      <c r="M51" s="19" t="str">
        <f t="shared" si="10"/>
        <v/>
      </c>
      <c r="N51" s="19" t="str">
        <f t="shared" si="10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2"/>
        <v/>
      </c>
      <c r="S51" s="27" t="str">
        <f t="shared" si="11"/>
        <v/>
      </c>
      <c r="T51" s="28" t="str">
        <f t="shared" si="11"/>
        <v/>
      </c>
      <c r="U51" s="28" t="str">
        <f t="shared" si="11"/>
        <v/>
      </c>
      <c r="V51" s="28" t="str">
        <f t="shared" si="11"/>
        <v/>
      </c>
      <c r="W51" s="28" t="str">
        <f t="shared" si="11"/>
        <v/>
      </c>
      <c r="X51" s="29" t="str">
        <f t="shared" si="1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 t="str">
        <f t="shared" si="8"/>
        <v/>
      </c>
      <c r="L52" s="19" t="str">
        <f t="shared" si="10"/>
        <v/>
      </c>
      <c r="M52" s="19" t="str">
        <f t="shared" si="10"/>
        <v/>
      </c>
      <c r="N52" s="19" t="str">
        <f t="shared" si="10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2"/>
        <v/>
      </c>
      <c r="S52" s="27" t="str">
        <f t="shared" si="11"/>
        <v/>
      </c>
      <c r="T52" s="28" t="str">
        <f t="shared" si="11"/>
        <v/>
      </c>
      <c r="U52" s="28" t="str">
        <f t="shared" si="11"/>
        <v/>
      </c>
      <c r="V52" s="28" t="str">
        <f t="shared" si="11"/>
        <v/>
      </c>
      <c r="W52" s="28" t="str">
        <f t="shared" si="11"/>
        <v/>
      </c>
      <c r="X52" s="29" t="str">
        <f t="shared" si="1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 t="str">
        <f t="shared" si="8"/>
        <v/>
      </c>
      <c r="L53" s="19" t="str">
        <f t="shared" si="10"/>
        <v/>
      </c>
      <c r="M53" s="19" t="str">
        <f t="shared" si="10"/>
        <v/>
      </c>
      <c r="N53" s="19" t="str">
        <f t="shared" si="10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2"/>
        <v/>
      </c>
      <c r="S53" s="27" t="str">
        <f t="shared" si="11"/>
        <v/>
      </c>
      <c r="T53" s="28" t="str">
        <f t="shared" si="11"/>
        <v/>
      </c>
      <c r="U53" s="28" t="str">
        <f t="shared" si="11"/>
        <v/>
      </c>
      <c r="V53" s="28" t="str">
        <f t="shared" si="11"/>
        <v/>
      </c>
      <c r="W53" s="28" t="str">
        <f t="shared" si="11"/>
        <v/>
      </c>
      <c r="X53" s="29" t="str">
        <f t="shared" si="1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 t="str">
        <f t="shared" si="8"/>
        <v/>
      </c>
      <c r="L54" s="19" t="str">
        <f t="shared" si="10"/>
        <v/>
      </c>
      <c r="M54" s="19" t="str">
        <f t="shared" si="10"/>
        <v/>
      </c>
      <c r="N54" s="19" t="str">
        <f t="shared" si="10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2"/>
        <v/>
      </c>
      <c r="S54" s="27" t="str">
        <f t="shared" si="11"/>
        <v/>
      </c>
      <c r="T54" s="28" t="str">
        <f t="shared" si="11"/>
        <v/>
      </c>
      <c r="U54" s="28" t="str">
        <f t="shared" si="11"/>
        <v/>
      </c>
      <c r="V54" s="28" t="str">
        <f t="shared" si="11"/>
        <v/>
      </c>
      <c r="W54" s="28" t="str">
        <f t="shared" si="11"/>
        <v/>
      </c>
      <c r="X54" s="29" t="str">
        <f t="shared" si="1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 t="str">
        <f t="shared" si="8"/>
        <v/>
      </c>
      <c r="L55" s="19" t="str">
        <f t="shared" si="10"/>
        <v/>
      </c>
      <c r="M55" s="19" t="str">
        <f t="shared" si="10"/>
        <v/>
      </c>
      <c r="N55" s="19" t="str">
        <f t="shared" si="10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2"/>
        <v/>
      </c>
      <c r="S55" s="27" t="str">
        <f t="shared" si="11"/>
        <v/>
      </c>
      <c r="T55" s="28" t="str">
        <f t="shared" si="11"/>
        <v/>
      </c>
      <c r="U55" s="28" t="str">
        <f t="shared" si="11"/>
        <v/>
      </c>
      <c r="V55" s="28" t="str">
        <f t="shared" si="11"/>
        <v/>
      </c>
      <c r="W55" s="28" t="str">
        <f t="shared" si="11"/>
        <v/>
      </c>
      <c r="X55" s="29" t="str">
        <f t="shared" si="1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 t="str">
        <f t="shared" si="8"/>
        <v/>
      </c>
      <c r="L56" s="19" t="str">
        <f t="shared" si="10"/>
        <v/>
      </c>
      <c r="M56" s="19" t="str">
        <f t="shared" si="10"/>
        <v/>
      </c>
      <c r="N56" s="19" t="str">
        <f t="shared" si="10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2"/>
        <v/>
      </c>
      <c r="S56" s="27" t="str">
        <f t="shared" si="11"/>
        <v/>
      </c>
      <c r="T56" s="28" t="str">
        <f t="shared" si="11"/>
        <v/>
      </c>
      <c r="U56" s="28" t="str">
        <f t="shared" si="11"/>
        <v/>
      </c>
      <c r="V56" s="28" t="str">
        <f t="shared" si="11"/>
        <v/>
      </c>
      <c r="W56" s="28" t="str">
        <f t="shared" si="11"/>
        <v/>
      </c>
      <c r="X56" s="29" t="str">
        <f t="shared" si="1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 t="str">
        <f t="shared" si="8"/>
        <v/>
      </c>
      <c r="L57" s="19" t="str">
        <f t="shared" si="10"/>
        <v/>
      </c>
      <c r="M57" s="19" t="str">
        <f t="shared" si="10"/>
        <v/>
      </c>
      <c r="N57" s="19" t="str">
        <f t="shared" si="10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2"/>
        <v/>
      </c>
      <c r="S57" s="27" t="str">
        <f t="shared" si="11"/>
        <v/>
      </c>
      <c r="T57" s="28" t="str">
        <f t="shared" si="11"/>
        <v/>
      </c>
      <c r="U57" s="28" t="str">
        <f t="shared" si="11"/>
        <v/>
      </c>
      <c r="V57" s="28" t="str">
        <f t="shared" si="11"/>
        <v/>
      </c>
      <c r="W57" s="28" t="str">
        <f t="shared" si="11"/>
        <v/>
      </c>
      <c r="X57" s="29" t="str">
        <f t="shared" si="1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 t="str">
        <f t="shared" si="8"/>
        <v/>
      </c>
      <c r="L58" s="19" t="str">
        <f t="shared" si="10"/>
        <v/>
      </c>
      <c r="M58" s="19" t="str">
        <f t="shared" si="10"/>
        <v/>
      </c>
      <c r="N58" s="19" t="str">
        <f t="shared" si="10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2"/>
        <v/>
      </c>
      <c r="S58" s="27" t="str">
        <f t="shared" si="11"/>
        <v/>
      </c>
      <c r="T58" s="28" t="str">
        <f t="shared" si="11"/>
        <v/>
      </c>
      <c r="U58" s="28" t="str">
        <f t="shared" si="11"/>
        <v/>
      </c>
      <c r="V58" s="28" t="str">
        <f t="shared" si="11"/>
        <v/>
      </c>
      <c r="W58" s="28" t="str">
        <f t="shared" si="11"/>
        <v/>
      </c>
      <c r="X58" s="29" t="str">
        <f t="shared" si="1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 t="str">
        <f t="shared" si="8"/>
        <v/>
      </c>
      <c r="L59" s="19" t="str">
        <f t="shared" si="10"/>
        <v/>
      </c>
      <c r="M59" s="19" t="str">
        <f t="shared" si="10"/>
        <v/>
      </c>
      <c r="N59" s="19" t="str">
        <f t="shared" si="10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2"/>
        <v/>
      </c>
      <c r="S59" s="27" t="str">
        <f t="shared" si="11"/>
        <v/>
      </c>
      <c r="T59" s="28" t="str">
        <f t="shared" si="11"/>
        <v/>
      </c>
      <c r="U59" s="28" t="str">
        <f t="shared" si="11"/>
        <v/>
      </c>
      <c r="V59" s="28" t="str">
        <f t="shared" si="11"/>
        <v/>
      </c>
      <c r="W59" s="28" t="str">
        <f t="shared" si="11"/>
        <v/>
      </c>
      <c r="X59" s="29" t="str">
        <f t="shared" si="1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 t="str">
        <f t="shared" si="8"/>
        <v/>
      </c>
      <c r="L60" s="19" t="str">
        <f t="shared" si="10"/>
        <v/>
      </c>
      <c r="M60" s="19" t="str">
        <f t="shared" si="10"/>
        <v/>
      </c>
      <c r="N60" s="19" t="str">
        <f t="shared" si="10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2"/>
        <v/>
      </c>
      <c r="S60" s="27" t="str">
        <f t="shared" si="11"/>
        <v/>
      </c>
      <c r="T60" s="28" t="str">
        <f t="shared" si="11"/>
        <v/>
      </c>
      <c r="U60" s="28" t="str">
        <f t="shared" si="11"/>
        <v/>
      </c>
      <c r="V60" s="28" t="str">
        <f t="shared" si="11"/>
        <v/>
      </c>
      <c r="W60" s="28" t="str">
        <f t="shared" si="11"/>
        <v/>
      </c>
      <c r="X60" s="29" t="str">
        <f t="shared" si="1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 t="str">
        <f t="shared" si="8"/>
        <v/>
      </c>
      <c r="L61" s="19" t="str">
        <f t="shared" si="10"/>
        <v/>
      </c>
      <c r="M61" s="19" t="str">
        <f t="shared" si="10"/>
        <v/>
      </c>
      <c r="N61" s="19" t="str">
        <f t="shared" si="10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2"/>
        <v/>
      </c>
      <c r="S61" s="27" t="str">
        <f t="shared" si="11"/>
        <v/>
      </c>
      <c r="T61" s="28" t="str">
        <f t="shared" si="11"/>
        <v/>
      </c>
      <c r="U61" s="28" t="str">
        <f t="shared" si="11"/>
        <v/>
      </c>
      <c r="V61" s="28" t="str">
        <f t="shared" si="11"/>
        <v/>
      </c>
      <c r="W61" s="28" t="str">
        <f t="shared" si="11"/>
        <v/>
      </c>
      <c r="X61" s="29" t="str">
        <f t="shared" si="1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 t="str">
        <f t="shared" si="8"/>
        <v/>
      </c>
      <c r="L62" s="19" t="str">
        <f t="shared" si="10"/>
        <v/>
      </c>
      <c r="M62" s="19" t="str">
        <f t="shared" si="10"/>
        <v/>
      </c>
      <c r="N62" s="19" t="str">
        <f t="shared" si="10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si="2"/>
        <v/>
      </c>
      <c r="S62" s="27" t="str">
        <f t="shared" si="11"/>
        <v/>
      </c>
      <c r="T62" s="28" t="str">
        <f t="shared" si="11"/>
        <v/>
      </c>
      <c r="U62" s="28" t="str">
        <f t="shared" si="11"/>
        <v/>
      </c>
      <c r="V62" s="28" t="str">
        <f t="shared" si="11"/>
        <v/>
      </c>
      <c r="W62" s="28" t="str">
        <f t="shared" si="11"/>
        <v/>
      </c>
      <c r="X62" s="29" t="str">
        <f t="shared" si="1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 t="str">
        <f t="shared" si="8"/>
        <v/>
      </c>
      <c r="L63" s="19" t="str">
        <f t="shared" si="10"/>
        <v/>
      </c>
      <c r="M63" s="19" t="str">
        <f t="shared" si="10"/>
        <v/>
      </c>
      <c r="N63" s="19" t="str">
        <f t="shared" si="10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2"/>
        <v/>
      </c>
      <c r="S63" s="27" t="str">
        <f t="shared" si="11"/>
        <v/>
      </c>
      <c r="T63" s="28" t="str">
        <f t="shared" si="11"/>
        <v/>
      </c>
      <c r="U63" s="28" t="str">
        <f t="shared" si="11"/>
        <v/>
      </c>
      <c r="V63" s="28" t="str">
        <f t="shared" si="11"/>
        <v/>
      </c>
      <c r="W63" s="28" t="str">
        <f t="shared" si="11"/>
        <v/>
      </c>
      <c r="X63" s="29" t="str">
        <f t="shared" si="1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 t="str">
        <f t="shared" si="8"/>
        <v/>
      </c>
      <c r="L64" s="19" t="str">
        <f t="shared" si="10"/>
        <v/>
      </c>
      <c r="M64" s="19" t="str">
        <f t="shared" si="10"/>
        <v/>
      </c>
      <c r="N64" s="19" t="str">
        <f t="shared" si="10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2"/>
        <v/>
      </c>
      <c r="S64" s="27" t="str">
        <f t="shared" si="11"/>
        <v/>
      </c>
      <c r="T64" s="28" t="str">
        <f t="shared" si="11"/>
        <v/>
      </c>
      <c r="U64" s="28" t="str">
        <f t="shared" si="11"/>
        <v/>
      </c>
      <c r="V64" s="28" t="str">
        <f t="shared" si="11"/>
        <v/>
      </c>
      <c r="W64" s="28" t="str">
        <f t="shared" si="11"/>
        <v/>
      </c>
      <c r="X64" s="29" t="str">
        <f t="shared" si="1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 t="str">
        <f t="shared" si="8"/>
        <v/>
      </c>
      <c r="L65" s="19" t="str">
        <f t="shared" si="10"/>
        <v/>
      </c>
      <c r="M65" s="19" t="str">
        <f t="shared" si="10"/>
        <v/>
      </c>
      <c r="N65" s="19" t="str">
        <f t="shared" si="10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2"/>
        <v/>
      </c>
      <c r="S65" s="27" t="str">
        <f t="shared" ref="S65:X80" si="12">IF(C65="","",((C65-C64)*1000)/($B65-$B64))</f>
        <v/>
      </c>
      <c r="T65" s="28" t="str">
        <f t="shared" si="12"/>
        <v/>
      </c>
      <c r="U65" s="28" t="str">
        <f t="shared" si="12"/>
        <v/>
      </c>
      <c r="V65" s="28" t="str">
        <f t="shared" si="12"/>
        <v/>
      </c>
      <c r="W65" s="28" t="str">
        <f t="shared" si="12"/>
        <v/>
      </c>
      <c r="X65" s="29" t="str">
        <f t="shared" si="1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 t="str">
        <f t="shared" si="8"/>
        <v/>
      </c>
      <c r="L66" s="19" t="str">
        <f t="shared" si="10"/>
        <v/>
      </c>
      <c r="M66" s="19" t="str">
        <f t="shared" si="10"/>
        <v/>
      </c>
      <c r="N66" s="19" t="str">
        <f t="shared" si="10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2"/>
        <v/>
      </c>
      <c r="S66" s="27" t="str">
        <f t="shared" si="12"/>
        <v/>
      </c>
      <c r="T66" s="28" t="str">
        <f t="shared" si="12"/>
        <v/>
      </c>
      <c r="U66" s="28" t="str">
        <f t="shared" si="12"/>
        <v/>
      </c>
      <c r="V66" s="28" t="str">
        <f t="shared" si="12"/>
        <v/>
      </c>
      <c r="W66" s="28" t="str">
        <f t="shared" si="12"/>
        <v/>
      </c>
      <c r="X66" s="29" t="str">
        <f t="shared" si="1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 t="str">
        <f t="shared" si="8"/>
        <v/>
      </c>
      <c r="L67" s="19" t="str">
        <f t="shared" si="10"/>
        <v/>
      </c>
      <c r="M67" s="19" t="str">
        <f t="shared" si="10"/>
        <v/>
      </c>
      <c r="N67" s="19" t="str">
        <f t="shared" si="10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2"/>
        <v/>
      </c>
      <c r="S67" s="27" t="str">
        <f t="shared" si="12"/>
        <v/>
      </c>
      <c r="T67" s="28" t="str">
        <f t="shared" si="12"/>
        <v/>
      </c>
      <c r="U67" s="28" t="str">
        <f t="shared" si="12"/>
        <v/>
      </c>
      <c r="V67" s="28" t="str">
        <f t="shared" si="12"/>
        <v/>
      </c>
      <c r="W67" s="28" t="str">
        <f t="shared" si="12"/>
        <v/>
      </c>
      <c r="X67" s="29" t="str">
        <f t="shared" si="1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 t="str">
        <f t="shared" si="8"/>
        <v/>
      </c>
      <c r="L68" s="19" t="str">
        <f t="shared" si="10"/>
        <v/>
      </c>
      <c r="M68" s="19" t="str">
        <f t="shared" si="10"/>
        <v/>
      </c>
      <c r="N68" s="19" t="str">
        <f t="shared" si="10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2"/>
        <v/>
      </c>
      <c r="S68" s="27" t="str">
        <f t="shared" si="12"/>
        <v/>
      </c>
      <c r="T68" s="28" t="str">
        <f t="shared" si="12"/>
        <v/>
      </c>
      <c r="U68" s="28" t="str">
        <f t="shared" si="12"/>
        <v/>
      </c>
      <c r="V68" s="28" t="str">
        <f t="shared" si="12"/>
        <v/>
      </c>
      <c r="W68" s="28" t="str">
        <f t="shared" si="12"/>
        <v/>
      </c>
      <c r="X68" s="29" t="str">
        <f t="shared" si="1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 t="str">
        <f t="shared" si="8"/>
        <v/>
      </c>
      <c r="L69" s="19" t="str">
        <f t="shared" si="10"/>
        <v/>
      </c>
      <c r="M69" s="19" t="str">
        <f t="shared" si="10"/>
        <v/>
      </c>
      <c r="N69" s="19" t="str">
        <f t="shared" si="10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2"/>
        <v/>
      </c>
      <c r="S69" s="27" t="str">
        <f t="shared" si="12"/>
        <v/>
      </c>
      <c r="T69" s="28" t="str">
        <f t="shared" si="12"/>
        <v/>
      </c>
      <c r="U69" s="28" t="str">
        <f t="shared" si="12"/>
        <v/>
      </c>
      <c r="V69" s="28" t="str">
        <f t="shared" si="12"/>
        <v/>
      </c>
      <c r="W69" s="28" t="str">
        <f t="shared" si="12"/>
        <v/>
      </c>
      <c r="X69" s="29" t="str">
        <f t="shared" si="1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 t="str">
        <f t="shared" si="8"/>
        <v/>
      </c>
      <c r="L70" s="19" t="str">
        <f t="shared" si="10"/>
        <v/>
      </c>
      <c r="M70" s="19" t="str">
        <f t="shared" si="10"/>
        <v/>
      </c>
      <c r="N70" s="19" t="str">
        <f t="shared" si="10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2"/>
        <v/>
      </c>
      <c r="S70" s="27" t="str">
        <f t="shared" si="12"/>
        <v/>
      </c>
      <c r="T70" s="28" t="str">
        <f t="shared" si="12"/>
        <v/>
      </c>
      <c r="U70" s="28" t="str">
        <f t="shared" si="12"/>
        <v/>
      </c>
      <c r="V70" s="28" t="str">
        <f t="shared" si="12"/>
        <v/>
      </c>
      <c r="W70" s="28" t="str">
        <f t="shared" si="12"/>
        <v/>
      </c>
      <c r="X70" s="29" t="str">
        <f t="shared" si="1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 t="str">
        <f t="shared" si="8"/>
        <v/>
      </c>
      <c r="L71" s="19" t="str">
        <f t="shared" si="10"/>
        <v/>
      </c>
      <c r="M71" s="19" t="str">
        <f t="shared" si="10"/>
        <v/>
      </c>
      <c r="N71" s="19" t="str">
        <f t="shared" si="10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2"/>
        <v/>
      </c>
      <c r="S71" s="27" t="str">
        <f t="shared" si="12"/>
        <v/>
      </c>
      <c r="T71" s="28" t="str">
        <f t="shared" si="12"/>
        <v/>
      </c>
      <c r="U71" s="28" t="str">
        <f t="shared" si="12"/>
        <v/>
      </c>
      <c r="V71" s="28" t="str">
        <f t="shared" si="12"/>
        <v/>
      </c>
      <c r="W71" s="28" t="str">
        <f t="shared" si="12"/>
        <v/>
      </c>
      <c r="X71" s="29" t="str">
        <f t="shared" si="1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 t="str">
        <f t="shared" si="8"/>
        <v/>
      </c>
      <c r="L72" s="19" t="str">
        <f t="shared" si="10"/>
        <v/>
      </c>
      <c r="M72" s="19" t="str">
        <f t="shared" si="10"/>
        <v/>
      </c>
      <c r="N72" s="19" t="str">
        <f t="shared" si="10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2"/>
        <v/>
      </c>
      <c r="S72" s="27" t="str">
        <f t="shared" si="12"/>
        <v/>
      </c>
      <c r="T72" s="28" t="str">
        <f t="shared" si="12"/>
        <v/>
      </c>
      <c r="U72" s="28" t="str">
        <f t="shared" si="12"/>
        <v/>
      </c>
      <c r="V72" s="28" t="str">
        <f t="shared" si="12"/>
        <v/>
      </c>
      <c r="W72" s="28" t="str">
        <f t="shared" si="12"/>
        <v/>
      </c>
      <c r="X72" s="29" t="str">
        <f t="shared" si="1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 t="str">
        <f t="shared" si="8"/>
        <v/>
      </c>
      <c r="L73" s="19" t="str">
        <f t="shared" si="10"/>
        <v/>
      </c>
      <c r="M73" s="19" t="str">
        <f t="shared" si="10"/>
        <v/>
      </c>
      <c r="N73" s="19" t="str">
        <f t="shared" si="10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2"/>
        <v/>
      </c>
      <c r="S73" s="27" t="str">
        <f t="shared" si="12"/>
        <v/>
      </c>
      <c r="T73" s="28" t="str">
        <f t="shared" si="12"/>
        <v/>
      </c>
      <c r="U73" s="28" t="str">
        <f t="shared" si="12"/>
        <v/>
      </c>
      <c r="V73" s="28" t="str">
        <f t="shared" si="12"/>
        <v/>
      </c>
      <c r="W73" s="28" t="str">
        <f t="shared" si="12"/>
        <v/>
      </c>
      <c r="X73" s="29" t="str">
        <f t="shared" si="1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 t="str">
        <f t="shared" si="8"/>
        <v/>
      </c>
      <c r="L74" s="19" t="str">
        <f t="shared" si="10"/>
        <v/>
      </c>
      <c r="M74" s="19" t="str">
        <f t="shared" si="10"/>
        <v/>
      </c>
      <c r="N74" s="19" t="str">
        <f t="shared" si="10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2"/>
        <v/>
      </c>
      <c r="S74" s="27" t="str">
        <f t="shared" si="12"/>
        <v/>
      </c>
      <c r="T74" s="28" t="str">
        <f t="shared" si="12"/>
        <v/>
      </c>
      <c r="U74" s="28" t="str">
        <f t="shared" si="12"/>
        <v/>
      </c>
      <c r="V74" s="28" t="str">
        <f t="shared" si="12"/>
        <v/>
      </c>
      <c r="W74" s="28" t="str">
        <f t="shared" si="12"/>
        <v/>
      </c>
      <c r="X74" s="29" t="str">
        <f t="shared" si="1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 t="str">
        <f t="shared" si="8"/>
        <v/>
      </c>
      <c r="L75" s="19" t="str">
        <f t="shared" si="10"/>
        <v/>
      </c>
      <c r="M75" s="19" t="str">
        <f t="shared" si="10"/>
        <v/>
      </c>
      <c r="N75" s="19" t="str">
        <f t="shared" si="10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2"/>
        <v/>
      </c>
      <c r="S75" s="27" t="str">
        <f t="shared" si="12"/>
        <v/>
      </c>
      <c r="T75" s="28" t="str">
        <f t="shared" si="12"/>
        <v/>
      </c>
      <c r="U75" s="28" t="str">
        <f t="shared" si="12"/>
        <v/>
      </c>
      <c r="V75" s="28" t="str">
        <f t="shared" si="12"/>
        <v/>
      </c>
      <c r="W75" s="28" t="str">
        <f t="shared" si="12"/>
        <v/>
      </c>
      <c r="X75" s="29" t="str">
        <f t="shared" si="1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 t="str">
        <f t="shared" si="8"/>
        <v/>
      </c>
      <c r="L76" s="19" t="str">
        <f t="shared" si="10"/>
        <v/>
      </c>
      <c r="M76" s="19" t="str">
        <f t="shared" si="10"/>
        <v/>
      </c>
      <c r="N76" s="19" t="str">
        <f t="shared" si="10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2"/>
        <v/>
      </c>
      <c r="S76" s="27" t="str">
        <f t="shared" si="12"/>
        <v/>
      </c>
      <c r="T76" s="28" t="str">
        <f t="shared" si="12"/>
        <v/>
      </c>
      <c r="U76" s="28" t="str">
        <f t="shared" si="12"/>
        <v/>
      </c>
      <c r="V76" s="28" t="str">
        <f t="shared" si="12"/>
        <v/>
      </c>
      <c r="W76" s="28" t="str">
        <f t="shared" si="12"/>
        <v/>
      </c>
      <c r="X76" s="29" t="str">
        <f t="shared" si="1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 t="str">
        <f t="shared" si="8"/>
        <v/>
      </c>
      <c r="L77" s="19" t="str">
        <f t="shared" si="10"/>
        <v/>
      </c>
      <c r="M77" s="19" t="str">
        <f t="shared" si="10"/>
        <v/>
      </c>
      <c r="N77" s="19" t="str">
        <f t="shared" si="10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2"/>
        <v/>
      </c>
      <c r="S77" s="27" t="str">
        <f t="shared" si="12"/>
        <v/>
      </c>
      <c r="T77" s="28" t="str">
        <f t="shared" si="12"/>
        <v/>
      </c>
      <c r="U77" s="28" t="str">
        <f t="shared" si="12"/>
        <v/>
      </c>
      <c r="V77" s="28" t="str">
        <f t="shared" si="12"/>
        <v/>
      </c>
      <c r="W77" s="28" t="str">
        <f t="shared" si="12"/>
        <v/>
      </c>
      <c r="X77" s="29" t="str">
        <f t="shared" si="1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 t="str">
        <f t="shared" si="8"/>
        <v/>
      </c>
      <c r="L78" s="19" t="str">
        <f t="shared" si="10"/>
        <v/>
      </c>
      <c r="M78" s="19" t="str">
        <f t="shared" si="10"/>
        <v/>
      </c>
      <c r="N78" s="19" t="str">
        <f t="shared" si="10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2"/>
        <v/>
      </c>
      <c r="S78" s="27" t="str">
        <f t="shared" si="12"/>
        <v/>
      </c>
      <c r="T78" s="28" t="str">
        <f t="shared" si="12"/>
        <v/>
      </c>
      <c r="U78" s="28" t="str">
        <f t="shared" si="12"/>
        <v/>
      </c>
      <c r="V78" s="28" t="str">
        <f t="shared" si="12"/>
        <v/>
      </c>
      <c r="W78" s="28" t="str">
        <f t="shared" si="12"/>
        <v/>
      </c>
      <c r="X78" s="29" t="str">
        <f t="shared" si="1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 t="str">
        <f t="shared" si="8"/>
        <v/>
      </c>
      <c r="L79" s="19" t="str">
        <f t="shared" si="10"/>
        <v/>
      </c>
      <c r="M79" s="19" t="str">
        <f t="shared" si="10"/>
        <v/>
      </c>
      <c r="N79" s="19" t="str">
        <f t="shared" si="10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2"/>
        <v/>
      </c>
      <c r="S79" s="27" t="str">
        <f t="shared" si="12"/>
        <v/>
      </c>
      <c r="T79" s="28" t="str">
        <f t="shared" si="12"/>
        <v/>
      </c>
      <c r="U79" s="28" t="str">
        <f t="shared" si="12"/>
        <v/>
      </c>
      <c r="V79" s="28" t="str">
        <f t="shared" si="12"/>
        <v/>
      </c>
      <c r="W79" s="28" t="str">
        <f t="shared" si="12"/>
        <v/>
      </c>
      <c r="X79" s="29" t="str">
        <f t="shared" si="1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 t="str">
        <f t="shared" si="8"/>
        <v/>
      </c>
      <c r="L80" s="19" t="str">
        <f t="shared" ref="L80:R111" si="13">IF(ISBLANK(C80),"",(C80-C$16)*1000)</f>
        <v/>
      </c>
      <c r="M80" s="19" t="str">
        <f t="shared" si="13"/>
        <v/>
      </c>
      <c r="N80" s="19" t="str">
        <f t="shared" si="13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3"/>
        <v/>
      </c>
      <c r="S80" s="27" t="str">
        <f t="shared" si="12"/>
        <v/>
      </c>
      <c r="T80" s="28" t="str">
        <f t="shared" si="12"/>
        <v/>
      </c>
      <c r="U80" s="28" t="str">
        <f t="shared" si="12"/>
        <v/>
      </c>
      <c r="V80" s="28" t="str">
        <f t="shared" si="12"/>
        <v/>
      </c>
      <c r="W80" s="28" t="str">
        <f t="shared" si="12"/>
        <v/>
      </c>
      <c r="X80" s="29" t="str">
        <f t="shared" si="1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 t="str">
        <f t="shared" si="8"/>
        <v/>
      </c>
      <c r="L81" s="19" t="str">
        <f t="shared" si="13"/>
        <v/>
      </c>
      <c r="M81" s="19" t="str">
        <f t="shared" si="13"/>
        <v/>
      </c>
      <c r="N81" s="19" t="str">
        <f t="shared" si="13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3"/>
        <v/>
      </c>
      <c r="S81" s="27" t="str">
        <f t="shared" ref="S81:X96" si="14">IF(C81="","",((C81-C80)*1000)/($B81-$B80))</f>
        <v/>
      </c>
      <c r="T81" s="28" t="str">
        <f t="shared" si="14"/>
        <v/>
      </c>
      <c r="U81" s="28" t="str">
        <f t="shared" si="14"/>
        <v/>
      </c>
      <c r="V81" s="28" t="str">
        <f t="shared" si="14"/>
        <v/>
      </c>
      <c r="W81" s="28" t="str">
        <f t="shared" si="14"/>
        <v/>
      </c>
      <c r="X81" s="29" t="str">
        <f t="shared" si="14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 t="str">
        <f t="shared" si="8"/>
        <v/>
      </c>
      <c r="L82" s="19" t="str">
        <f t="shared" si="13"/>
        <v/>
      </c>
      <c r="M82" s="19" t="str">
        <f t="shared" si="13"/>
        <v/>
      </c>
      <c r="N82" s="19" t="str">
        <f t="shared" si="13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3"/>
        <v/>
      </c>
      <c r="S82" s="27" t="str">
        <f t="shared" si="14"/>
        <v/>
      </c>
      <c r="T82" s="28" t="str">
        <f t="shared" si="14"/>
        <v/>
      </c>
      <c r="U82" s="28" t="str">
        <f t="shared" si="14"/>
        <v/>
      </c>
      <c r="V82" s="28" t="str">
        <f t="shared" si="14"/>
        <v/>
      </c>
      <c r="W82" s="28" t="str">
        <f t="shared" si="14"/>
        <v/>
      </c>
      <c r="X82" s="29" t="str">
        <f t="shared" si="14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 t="str">
        <f t="shared" si="8"/>
        <v/>
      </c>
      <c r="L83" s="19" t="str">
        <f t="shared" si="13"/>
        <v/>
      </c>
      <c r="M83" s="19" t="str">
        <f t="shared" si="13"/>
        <v/>
      </c>
      <c r="N83" s="19" t="str">
        <f t="shared" si="13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3"/>
        <v/>
      </c>
      <c r="S83" s="27" t="str">
        <f t="shared" si="14"/>
        <v/>
      </c>
      <c r="T83" s="28" t="str">
        <f t="shared" si="14"/>
        <v/>
      </c>
      <c r="U83" s="28" t="str">
        <f t="shared" si="14"/>
        <v/>
      </c>
      <c r="V83" s="28" t="str">
        <f t="shared" si="14"/>
        <v/>
      </c>
      <c r="W83" s="28" t="str">
        <f t="shared" si="14"/>
        <v/>
      </c>
      <c r="X83" s="29" t="str">
        <f t="shared" si="14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 t="str">
        <f t="shared" si="8"/>
        <v/>
      </c>
      <c r="L84" s="19" t="str">
        <f t="shared" si="13"/>
        <v/>
      </c>
      <c r="M84" s="19" t="str">
        <f t="shared" si="13"/>
        <v/>
      </c>
      <c r="N84" s="19" t="str">
        <f t="shared" si="13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3"/>
        <v/>
      </c>
      <c r="S84" s="27" t="str">
        <f t="shared" si="14"/>
        <v/>
      </c>
      <c r="T84" s="28" t="str">
        <f t="shared" si="14"/>
        <v/>
      </c>
      <c r="U84" s="28" t="str">
        <f t="shared" si="14"/>
        <v/>
      </c>
      <c r="V84" s="28" t="str">
        <f t="shared" si="14"/>
        <v/>
      </c>
      <c r="W84" s="28" t="str">
        <f t="shared" si="14"/>
        <v/>
      </c>
      <c r="X84" s="29" t="str">
        <f t="shared" si="14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 t="str">
        <f t="shared" si="8"/>
        <v/>
      </c>
      <c r="L85" s="19" t="str">
        <f t="shared" si="13"/>
        <v/>
      </c>
      <c r="M85" s="19" t="str">
        <f t="shared" si="13"/>
        <v/>
      </c>
      <c r="N85" s="19" t="str">
        <f t="shared" si="13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3"/>
        <v/>
      </c>
      <c r="S85" s="27" t="str">
        <f t="shared" si="14"/>
        <v/>
      </c>
      <c r="T85" s="28" t="str">
        <f t="shared" si="14"/>
        <v/>
      </c>
      <c r="U85" s="28" t="str">
        <f t="shared" si="14"/>
        <v/>
      </c>
      <c r="V85" s="28" t="str">
        <f t="shared" si="14"/>
        <v/>
      </c>
      <c r="W85" s="28" t="str">
        <f t="shared" si="14"/>
        <v/>
      </c>
      <c r="X85" s="29" t="str">
        <f t="shared" si="14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 t="str">
        <f t="shared" si="8"/>
        <v/>
      </c>
      <c r="L86" s="19" t="str">
        <f t="shared" si="13"/>
        <v/>
      </c>
      <c r="M86" s="19" t="str">
        <f t="shared" si="13"/>
        <v/>
      </c>
      <c r="N86" s="19" t="str">
        <f t="shared" si="13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3"/>
        <v/>
      </c>
      <c r="S86" s="27" t="str">
        <f t="shared" si="14"/>
        <v/>
      </c>
      <c r="T86" s="28" t="str">
        <f t="shared" si="14"/>
        <v/>
      </c>
      <c r="U86" s="28" t="str">
        <f t="shared" si="14"/>
        <v/>
      </c>
      <c r="V86" s="28" t="str">
        <f t="shared" si="14"/>
        <v/>
      </c>
      <c r="W86" s="28" t="str">
        <f t="shared" si="14"/>
        <v/>
      </c>
      <c r="X86" s="29" t="str">
        <f t="shared" si="14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 t="str">
        <f t="shared" si="8"/>
        <v/>
      </c>
      <c r="L87" s="19" t="str">
        <f t="shared" si="13"/>
        <v/>
      </c>
      <c r="M87" s="19" t="str">
        <f t="shared" si="13"/>
        <v/>
      </c>
      <c r="N87" s="19" t="str">
        <f t="shared" si="13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3"/>
        <v/>
      </c>
      <c r="S87" s="27" t="str">
        <f t="shared" si="14"/>
        <v/>
      </c>
      <c r="T87" s="28" t="str">
        <f t="shared" si="14"/>
        <v/>
      </c>
      <c r="U87" s="28" t="str">
        <f t="shared" si="14"/>
        <v/>
      </c>
      <c r="V87" s="28" t="str">
        <f t="shared" si="14"/>
        <v/>
      </c>
      <c r="W87" s="28" t="str">
        <f t="shared" si="14"/>
        <v/>
      </c>
      <c r="X87" s="29" t="str">
        <f t="shared" si="14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 t="str">
        <f t="shared" si="8"/>
        <v/>
      </c>
      <c r="L88" s="19" t="str">
        <f t="shared" si="13"/>
        <v/>
      </c>
      <c r="M88" s="19" t="str">
        <f t="shared" si="13"/>
        <v/>
      </c>
      <c r="N88" s="19" t="str">
        <f t="shared" si="13"/>
        <v/>
      </c>
      <c r="O88" s="19" t="str">
        <f t="shared" ref="O88:O151" si="15">IF(ISBLANK(F88),"",((F88-F$23)*1000)+L$23)</f>
        <v/>
      </c>
      <c r="P88" s="19" t="str">
        <f t="shared" ref="P88:P151" si="16">IF(ISBLANK(G88),"",((G88-G$23)*1000)+M$23)</f>
        <v/>
      </c>
      <c r="Q88" s="19" t="str">
        <f t="shared" ref="Q88:Q151" si="17">IF(ISBLANK(H88),"",((H88-H$23)*1000)+N$23)</f>
        <v/>
      </c>
      <c r="R88" s="19" t="str">
        <f t="shared" si="13"/>
        <v/>
      </c>
      <c r="S88" s="27" t="str">
        <f t="shared" si="14"/>
        <v/>
      </c>
      <c r="T88" s="28" t="str">
        <f t="shared" si="14"/>
        <v/>
      </c>
      <c r="U88" s="28" t="str">
        <f t="shared" si="14"/>
        <v/>
      </c>
      <c r="V88" s="28" t="str">
        <f t="shared" si="14"/>
        <v/>
      </c>
      <c r="W88" s="28" t="str">
        <f t="shared" si="14"/>
        <v/>
      </c>
      <c r="X88" s="29" t="str">
        <f t="shared" si="14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 t="str">
        <f t="shared" si="8"/>
        <v/>
      </c>
      <c r="L89" s="19" t="str">
        <f t="shared" si="13"/>
        <v/>
      </c>
      <c r="M89" s="19" t="str">
        <f t="shared" si="13"/>
        <v/>
      </c>
      <c r="N89" s="19" t="str">
        <f t="shared" si="13"/>
        <v/>
      </c>
      <c r="O89" s="19" t="str">
        <f t="shared" si="15"/>
        <v/>
      </c>
      <c r="P89" s="19" t="str">
        <f t="shared" si="16"/>
        <v/>
      </c>
      <c r="Q89" s="19" t="str">
        <f t="shared" si="17"/>
        <v/>
      </c>
      <c r="R89" s="19" t="str">
        <f t="shared" si="13"/>
        <v/>
      </c>
      <c r="S89" s="27" t="str">
        <f t="shared" si="14"/>
        <v/>
      </c>
      <c r="T89" s="28" t="str">
        <f t="shared" si="14"/>
        <v/>
      </c>
      <c r="U89" s="28" t="str">
        <f t="shared" si="14"/>
        <v/>
      </c>
      <c r="V89" s="28" t="str">
        <f t="shared" si="14"/>
        <v/>
      </c>
      <c r="W89" s="28" t="str">
        <f t="shared" si="14"/>
        <v/>
      </c>
      <c r="X89" s="29" t="str">
        <f t="shared" si="14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 t="str">
        <f t="shared" si="8"/>
        <v/>
      </c>
      <c r="L90" s="19" t="str">
        <f t="shared" si="13"/>
        <v/>
      </c>
      <c r="M90" s="19" t="str">
        <f t="shared" si="13"/>
        <v/>
      </c>
      <c r="N90" s="19" t="str">
        <f t="shared" si="13"/>
        <v/>
      </c>
      <c r="O90" s="19" t="str">
        <f t="shared" si="15"/>
        <v/>
      </c>
      <c r="P90" s="19" t="str">
        <f t="shared" si="16"/>
        <v/>
      </c>
      <c r="Q90" s="19" t="str">
        <f t="shared" si="17"/>
        <v/>
      </c>
      <c r="R90" s="19" t="str">
        <f t="shared" si="13"/>
        <v/>
      </c>
      <c r="S90" s="27" t="str">
        <f t="shared" si="14"/>
        <v/>
      </c>
      <c r="T90" s="28" t="str">
        <f t="shared" si="14"/>
        <v/>
      </c>
      <c r="U90" s="28" t="str">
        <f t="shared" si="14"/>
        <v/>
      </c>
      <c r="V90" s="28" t="str">
        <f t="shared" si="14"/>
        <v/>
      </c>
      <c r="W90" s="28" t="str">
        <f t="shared" si="14"/>
        <v/>
      </c>
      <c r="X90" s="29" t="str">
        <f t="shared" si="14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 t="str">
        <f t="shared" si="8"/>
        <v/>
      </c>
      <c r="L91" s="19" t="str">
        <f t="shared" si="13"/>
        <v/>
      </c>
      <c r="M91" s="19" t="str">
        <f t="shared" si="13"/>
        <v/>
      </c>
      <c r="N91" s="19" t="str">
        <f t="shared" si="13"/>
        <v/>
      </c>
      <c r="O91" s="19" t="str">
        <f t="shared" si="15"/>
        <v/>
      </c>
      <c r="P91" s="19" t="str">
        <f t="shared" si="16"/>
        <v/>
      </c>
      <c r="Q91" s="19" t="str">
        <f t="shared" si="17"/>
        <v/>
      </c>
      <c r="R91" s="19" t="str">
        <f t="shared" si="13"/>
        <v/>
      </c>
      <c r="S91" s="27" t="str">
        <f t="shared" si="14"/>
        <v/>
      </c>
      <c r="T91" s="28" t="str">
        <f t="shared" si="14"/>
        <v/>
      </c>
      <c r="U91" s="28" t="str">
        <f t="shared" si="14"/>
        <v/>
      </c>
      <c r="V91" s="28" t="str">
        <f t="shared" si="14"/>
        <v/>
      </c>
      <c r="W91" s="28" t="str">
        <f t="shared" si="14"/>
        <v/>
      </c>
      <c r="X91" s="29" t="str">
        <f t="shared" si="14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 t="str">
        <f t="shared" si="8"/>
        <v/>
      </c>
      <c r="L92" s="19" t="str">
        <f t="shared" si="13"/>
        <v/>
      </c>
      <c r="M92" s="19" t="str">
        <f t="shared" si="13"/>
        <v/>
      </c>
      <c r="N92" s="19" t="str">
        <f t="shared" si="13"/>
        <v/>
      </c>
      <c r="O92" s="19" t="str">
        <f t="shared" si="15"/>
        <v/>
      </c>
      <c r="P92" s="19" t="str">
        <f t="shared" si="16"/>
        <v/>
      </c>
      <c r="Q92" s="19" t="str">
        <f t="shared" si="17"/>
        <v/>
      </c>
      <c r="R92" s="19" t="str">
        <f t="shared" si="13"/>
        <v/>
      </c>
      <c r="S92" s="27" t="str">
        <f t="shared" si="14"/>
        <v/>
      </c>
      <c r="T92" s="28" t="str">
        <f t="shared" si="14"/>
        <v/>
      </c>
      <c r="U92" s="28" t="str">
        <f t="shared" si="14"/>
        <v/>
      </c>
      <c r="V92" s="28" t="str">
        <f t="shared" si="14"/>
        <v/>
      </c>
      <c r="W92" s="28" t="str">
        <f t="shared" si="14"/>
        <v/>
      </c>
      <c r="X92" s="29" t="str">
        <f t="shared" si="14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 t="str">
        <f t="shared" si="8"/>
        <v/>
      </c>
      <c r="L93" s="19" t="str">
        <f t="shared" si="13"/>
        <v/>
      </c>
      <c r="M93" s="19" t="str">
        <f t="shared" si="13"/>
        <v/>
      </c>
      <c r="N93" s="19" t="str">
        <f t="shared" si="13"/>
        <v/>
      </c>
      <c r="O93" s="19" t="str">
        <f t="shared" si="15"/>
        <v/>
      </c>
      <c r="P93" s="19" t="str">
        <f t="shared" si="16"/>
        <v/>
      </c>
      <c r="Q93" s="19" t="str">
        <f t="shared" si="17"/>
        <v/>
      </c>
      <c r="R93" s="19" t="str">
        <f t="shared" si="13"/>
        <v/>
      </c>
      <c r="S93" s="27" t="str">
        <f t="shared" si="14"/>
        <v/>
      </c>
      <c r="T93" s="28" t="str">
        <f t="shared" si="14"/>
        <v/>
      </c>
      <c r="U93" s="28" t="str">
        <f t="shared" si="14"/>
        <v/>
      </c>
      <c r="V93" s="28" t="str">
        <f t="shared" si="14"/>
        <v/>
      </c>
      <c r="W93" s="28" t="str">
        <f t="shared" si="14"/>
        <v/>
      </c>
      <c r="X93" s="29" t="str">
        <f t="shared" si="14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 t="str">
        <f t="shared" si="8"/>
        <v/>
      </c>
      <c r="L94" s="19" t="str">
        <f t="shared" si="13"/>
        <v/>
      </c>
      <c r="M94" s="19" t="str">
        <f t="shared" si="13"/>
        <v/>
      </c>
      <c r="N94" s="19" t="str">
        <f t="shared" si="13"/>
        <v/>
      </c>
      <c r="O94" s="19" t="str">
        <f t="shared" si="15"/>
        <v/>
      </c>
      <c r="P94" s="19" t="str">
        <f t="shared" si="16"/>
        <v/>
      </c>
      <c r="Q94" s="19" t="str">
        <f t="shared" si="17"/>
        <v/>
      </c>
      <c r="R94" s="19" t="str">
        <f t="shared" si="13"/>
        <v/>
      </c>
      <c r="S94" s="27" t="str">
        <f t="shared" si="14"/>
        <v/>
      </c>
      <c r="T94" s="28" t="str">
        <f t="shared" si="14"/>
        <v/>
      </c>
      <c r="U94" s="28" t="str">
        <f t="shared" si="14"/>
        <v/>
      </c>
      <c r="V94" s="28" t="str">
        <f t="shared" si="14"/>
        <v/>
      </c>
      <c r="W94" s="28" t="str">
        <f t="shared" si="14"/>
        <v/>
      </c>
      <c r="X94" s="29" t="str">
        <f t="shared" si="14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 t="str">
        <f t="shared" si="8"/>
        <v/>
      </c>
      <c r="L95" s="19" t="str">
        <f t="shared" si="13"/>
        <v/>
      </c>
      <c r="M95" s="19" t="str">
        <f t="shared" si="13"/>
        <v/>
      </c>
      <c r="N95" s="19" t="str">
        <f t="shared" si="13"/>
        <v/>
      </c>
      <c r="O95" s="19" t="str">
        <f t="shared" si="15"/>
        <v/>
      </c>
      <c r="P95" s="19" t="str">
        <f t="shared" si="16"/>
        <v/>
      </c>
      <c r="Q95" s="19" t="str">
        <f t="shared" si="17"/>
        <v/>
      </c>
      <c r="R95" s="19" t="str">
        <f t="shared" si="13"/>
        <v/>
      </c>
      <c r="S95" s="27" t="str">
        <f t="shared" si="14"/>
        <v/>
      </c>
      <c r="T95" s="28" t="str">
        <f t="shared" si="14"/>
        <v/>
      </c>
      <c r="U95" s="28" t="str">
        <f t="shared" si="14"/>
        <v/>
      </c>
      <c r="V95" s="28" t="str">
        <f t="shared" si="14"/>
        <v/>
      </c>
      <c r="W95" s="28" t="str">
        <f t="shared" si="14"/>
        <v/>
      </c>
      <c r="X95" s="29" t="str">
        <f t="shared" si="14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 t="str">
        <f t="shared" si="8"/>
        <v/>
      </c>
      <c r="L96" s="19" t="str">
        <f t="shared" si="13"/>
        <v/>
      </c>
      <c r="M96" s="19" t="str">
        <f t="shared" si="13"/>
        <v/>
      </c>
      <c r="N96" s="19" t="str">
        <f t="shared" si="13"/>
        <v/>
      </c>
      <c r="O96" s="19" t="str">
        <f t="shared" si="15"/>
        <v/>
      </c>
      <c r="P96" s="19" t="str">
        <f t="shared" si="16"/>
        <v/>
      </c>
      <c r="Q96" s="19" t="str">
        <f t="shared" si="17"/>
        <v/>
      </c>
      <c r="R96" s="19" t="str">
        <f t="shared" si="13"/>
        <v/>
      </c>
      <c r="S96" s="27" t="str">
        <f t="shared" si="14"/>
        <v/>
      </c>
      <c r="T96" s="28" t="str">
        <f t="shared" si="14"/>
        <v/>
      </c>
      <c r="U96" s="28" t="str">
        <f t="shared" si="14"/>
        <v/>
      </c>
      <c r="V96" s="28" t="str">
        <f t="shared" si="14"/>
        <v/>
      </c>
      <c r="W96" s="28" t="str">
        <f t="shared" si="14"/>
        <v/>
      </c>
      <c r="X96" s="29" t="str">
        <f t="shared" si="14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 t="str">
        <f t="shared" ref="K97:K153" si="18">IF(ISBLANK(J97),"",(J97-$J$8))</f>
        <v/>
      </c>
      <c r="L97" s="19" t="str">
        <f t="shared" si="13"/>
        <v/>
      </c>
      <c r="M97" s="19" t="str">
        <f t="shared" si="13"/>
        <v/>
      </c>
      <c r="N97" s="19" t="str">
        <f t="shared" si="13"/>
        <v/>
      </c>
      <c r="O97" s="19" t="str">
        <f t="shared" si="15"/>
        <v/>
      </c>
      <c r="P97" s="19" t="str">
        <f t="shared" si="16"/>
        <v/>
      </c>
      <c r="Q97" s="19" t="str">
        <f t="shared" si="17"/>
        <v/>
      </c>
      <c r="R97" s="19" t="str">
        <f t="shared" si="13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 t="str">
        <f t="shared" si="18"/>
        <v/>
      </c>
      <c r="L98" s="19" t="str">
        <f t="shared" si="13"/>
        <v/>
      </c>
      <c r="M98" s="19" t="str">
        <f t="shared" si="13"/>
        <v/>
      </c>
      <c r="N98" s="19" t="str">
        <f t="shared" si="13"/>
        <v/>
      </c>
      <c r="O98" s="19" t="str">
        <f t="shared" si="15"/>
        <v/>
      </c>
      <c r="P98" s="19" t="str">
        <f t="shared" si="16"/>
        <v/>
      </c>
      <c r="Q98" s="19" t="str">
        <f t="shared" si="17"/>
        <v/>
      </c>
      <c r="R98" s="19" t="str">
        <f t="shared" si="13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 t="str">
        <f t="shared" si="18"/>
        <v/>
      </c>
      <c r="L99" s="19" t="str">
        <f t="shared" si="13"/>
        <v/>
      </c>
      <c r="M99" s="19" t="str">
        <f t="shared" si="13"/>
        <v/>
      </c>
      <c r="N99" s="19" t="str">
        <f t="shared" si="13"/>
        <v/>
      </c>
      <c r="O99" s="19" t="str">
        <f t="shared" si="15"/>
        <v/>
      </c>
      <c r="P99" s="19" t="str">
        <f t="shared" si="16"/>
        <v/>
      </c>
      <c r="Q99" s="19" t="str">
        <f t="shared" si="17"/>
        <v/>
      </c>
      <c r="R99" s="19" t="str">
        <f t="shared" si="13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 t="str">
        <f t="shared" si="18"/>
        <v/>
      </c>
      <c r="L100" s="19" t="str">
        <f t="shared" si="13"/>
        <v/>
      </c>
      <c r="M100" s="19" t="str">
        <f t="shared" si="13"/>
        <v/>
      </c>
      <c r="N100" s="19" t="str">
        <f t="shared" si="13"/>
        <v/>
      </c>
      <c r="O100" s="19" t="str">
        <f t="shared" si="15"/>
        <v/>
      </c>
      <c r="P100" s="19" t="str">
        <f t="shared" si="16"/>
        <v/>
      </c>
      <c r="Q100" s="19" t="str">
        <f t="shared" si="17"/>
        <v/>
      </c>
      <c r="R100" s="19" t="str">
        <f t="shared" si="13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 t="str">
        <f t="shared" si="18"/>
        <v/>
      </c>
      <c r="L101" s="19" t="str">
        <f t="shared" si="13"/>
        <v/>
      </c>
      <c r="M101" s="19" t="str">
        <f t="shared" si="13"/>
        <v/>
      </c>
      <c r="N101" s="19" t="str">
        <f t="shared" si="13"/>
        <v/>
      </c>
      <c r="O101" s="19" t="str">
        <f t="shared" si="15"/>
        <v/>
      </c>
      <c r="P101" s="19" t="str">
        <f t="shared" si="16"/>
        <v/>
      </c>
      <c r="Q101" s="19" t="str">
        <f t="shared" si="17"/>
        <v/>
      </c>
      <c r="R101" s="19" t="str">
        <f t="shared" si="13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 t="str">
        <f t="shared" si="18"/>
        <v/>
      </c>
      <c r="L102" s="19" t="str">
        <f t="shared" si="13"/>
        <v/>
      </c>
      <c r="M102" s="19" t="str">
        <f t="shared" si="13"/>
        <v/>
      </c>
      <c r="N102" s="19" t="str">
        <f t="shared" si="13"/>
        <v/>
      </c>
      <c r="O102" s="19" t="str">
        <f t="shared" si="15"/>
        <v/>
      </c>
      <c r="P102" s="19" t="str">
        <f t="shared" si="16"/>
        <v/>
      </c>
      <c r="Q102" s="19" t="str">
        <f t="shared" si="17"/>
        <v/>
      </c>
      <c r="R102" s="19" t="str">
        <f t="shared" si="13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 t="str">
        <f t="shared" si="18"/>
        <v/>
      </c>
      <c r="L103" s="19" t="str">
        <f t="shared" si="13"/>
        <v/>
      </c>
      <c r="M103" s="19" t="str">
        <f t="shared" si="13"/>
        <v/>
      </c>
      <c r="N103" s="19" t="str">
        <f t="shared" si="13"/>
        <v/>
      </c>
      <c r="O103" s="19" t="str">
        <f t="shared" si="15"/>
        <v/>
      </c>
      <c r="P103" s="19" t="str">
        <f t="shared" si="16"/>
        <v/>
      </c>
      <c r="Q103" s="19" t="str">
        <f t="shared" si="17"/>
        <v/>
      </c>
      <c r="R103" s="19" t="str">
        <f t="shared" si="13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 t="str">
        <f t="shared" si="18"/>
        <v/>
      </c>
      <c r="L104" s="19" t="str">
        <f t="shared" si="13"/>
        <v/>
      </c>
      <c r="M104" s="19" t="str">
        <f t="shared" si="13"/>
        <v/>
      </c>
      <c r="N104" s="19" t="str">
        <f t="shared" si="13"/>
        <v/>
      </c>
      <c r="O104" s="19" t="str">
        <f t="shared" si="15"/>
        <v/>
      </c>
      <c r="P104" s="19" t="str">
        <f t="shared" si="16"/>
        <v/>
      </c>
      <c r="Q104" s="19" t="str">
        <f t="shared" si="17"/>
        <v/>
      </c>
      <c r="R104" s="19" t="str">
        <f t="shared" si="13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 t="str">
        <f t="shared" si="18"/>
        <v/>
      </c>
      <c r="L105" s="19" t="str">
        <f t="shared" si="13"/>
        <v/>
      </c>
      <c r="M105" s="19" t="str">
        <f t="shared" si="13"/>
        <v/>
      </c>
      <c r="N105" s="19" t="str">
        <f t="shared" si="13"/>
        <v/>
      </c>
      <c r="O105" s="19" t="str">
        <f t="shared" si="15"/>
        <v/>
      </c>
      <c r="P105" s="19" t="str">
        <f t="shared" si="16"/>
        <v/>
      </c>
      <c r="Q105" s="19" t="str">
        <f t="shared" si="17"/>
        <v/>
      </c>
      <c r="R105" s="19" t="str">
        <f t="shared" si="13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 t="str">
        <f t="shared" si="18"/>
        <v/>
      </c>
      <c r="L106" s="19" t="str">
        <f t="shared" si="13"/>
        <v/>
      </c>
      <c r="M106" s="19" t="str">
        <f t="shared" si="13"/>
        <v/>
      </c>
      <c r="N106" s="19" t="str">
        <f t="shared" si="13"/>
        <v/>
      </c>
      <c r="O106" s="19" t="str">
        <f t="shared" si="15"/>
        <v/>
      </c>
      <c r="P106" s="19" t="str">
        <f t="shared" si="16"/>
        <v/>
      </c>
      <c r="Q106" s="19" t="str">
        <f t="shared" si="17"/>
        <v/>
      </c>
      <c r="R106" s="19" t="str">
        <f t="shared" si="13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 t="str">
        <f t="shared" si="18"/>
        <v/>
      </c>
      <c r="L107" s="19" t="str">
        <f t="shared" si="13"/>
        <v/>
      </c>
      <c r="M107" s="19" t="str">
        <f t="shared" si="13"/>
        <v/>
      </c>
      <c r="N107" s="19" t="str">
        <f t="shared" si="13"/>
        <v/>
      </c>
      <c r="O107" s="19" t="str">
        <f t="shared" si="15"/>
        <v/>
      </c>
      <c r="P107" s="19" t="str">
        <f t="shared" si="16"/>
        <v/>
      </c>
      <c r="Q107" s="19" t="str">
        <f t="shared" si="17"/>
        <v/>
      </c>
      <c r="R107" s="19" t="str">
        <f t="shared" si="13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 t="str">
        <f t="shared" si="18"/>
        <v/>
      </c>
      <c r="L108" s="19" t="str">
        <f t="shared" si="13"/>
        <v/>
      </c>
      <c r="M108" s="19" t="str">
        <f t="shared" si="13"/>
        <v/>
      </c>
      <c r="N108" s="19" t="str">
        <f t="shared" si="13"/>
        <v/>
      </c>
      <c r="O108" s="19" t="str">
        <f t="shared" si="15"/>
        <v/>
      </c>
      <c r="P108" s="19" t="str">
        <f t="shared" si="16"/>
        <v/>
      </c>
      <c r="Q108" s="19" t="str">
        <f t="shared" si="17"/>
        <v/>
      </c>
      <c r="R108" s="19" t="str">
        <f t="shared" si="13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 t="str">
        <f t="shared" si="18"/>
        <v/>
      </c>
      <c r="L109" s="19" t="str">
        <f t="shared" si="13"/>
        <v/>
      </c>
      <c r="M109" s="19" t="str">
        <f t="shared" si="13"/>
        <v/>
      </c>
      <c r="N109" s="19" t="str">
        <f t="shared" si="13"/>
        <v/>
      </c>
      <c r="O109" s="19" t="str">
        <f t="shared" si="15"/>
        <v/>
      </c>
      <c r="P109" s="19" t="str">
        <f t="shared" si="16"/>
        <v/>
      </c>
      <c r="Q109" s="19" t="str">
        <f t="shared" si="17"/>
        <v/>
      </c>
      <c r="R109" s="19" t="str">
        <f t="shared" si="13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 t="str">
        <f t="shared" si="18"/>
        <v/>
      </c>
      <c r="L110" s="19" t="str">
        <f t="shared" si="13"/>
        <v/>
      </c>
      <c r="M110" s="19" t="str">
        <f t="shared" si="13"/>
        <v/>
      </c>
      <c r="N110" s="19" t="str">
        <f t="shared" si="13"/>
        <v/>
      </c>
      <c r="O110" s="19" t="str">
        <f t="shared" si="15"/>
        <v/>
      </c>
      <c r="P110" s="19" t="str">
        <f t="shared" si="16"/>
        <v/>
      </c>
      <c r="Q110" s="19" t="str">
        <f t="shared" si="17"/>
        <v/>
      </c>
      <c r="R110" s="19" t="str">
        <f t="shared" si="13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 t="str">
        <f t="shared" si="18"/>
        <v/>
      </c>
      <c r="L111" s="19" t="str">
        <f t="shared" si="13"/>
        <v/>
      </c>
      <c r="M111" s="19" t="str">
        <f t="shared" si="13"/>
        <v/>
      </c>
      <c r="N111" s="19" t="str">
        <f t="shared" si="13"/>
        <v/>
      </c>
      <c r="O111" s="19" t="str">
        <f t="shared" si="15"/>
        <v/>
      </c>
      <c r="P111" s="19" t="str">
        <f t="shared" si="16"/>
        <v/>
      </c>
      <c r="Q111" s="19" t="str">
        <f t="shared" si="17"/>
        <v/>
      </c>
      <c r="R111" s="19" t="str">
        <f t="shared" si="13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 t="str">
        <f t="shared" si="18"/>
        <v/>
      </c>
      <c r="L112" s="19" t="str">
        <f t="shared" ref="L112:R143" si="20">IF(ISBLANK(C112),"",(C112-C$16)*1000)</f>
        <v/>
      </c>
      <c r="M112" s="19" t="str">
        <f t="shared" si="20"/>
        <v/>
      </c>
      <c r="N112" s="19" t="str">
        <f t="shared" si="20"/>
        <v/>
      </c>
      <c r="O112" s="19" t="str">
        <f t="shared" si="15"/>
        <v/>
      </c>
      <c r="P112" s="19" t="str">
        <f t="shared" si="16"/>
        <v/>
      </c>
      <c r="Q112" s="19" t="str">
        <f t="shared" si="17"/>
        <v/>
      </c>
      <c r="R112" s="19" t="str">
        <f t="shared" si="20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 t="str">
        <f t="shared" si="18"/>
        <v/>
      </c>
      <c r="L113" s="19" t="str">
        <f t="shared" si="20"/>
        <v/>
      </c>
      <c r="M113" s="19" t="str">
        <f t="shared" si="20"/>
        <v/>
      </c>
      <c r="N113" s="19" t="str">
        <f t="shared" si="20"/>
        <v/>
      </c>
      <c r="O113" s="19" t="str">
        <f t="shared" si="15"/>
        <v/>
      </c>
      <c r="P113" s="19" t="str">
        <f t="shared" si="16"/>
        <v/>
      </c>
      <c r="Q113" s="19" t="str">
        <f t="shared" si="17"/>
        <v/>
      </c>
      <c r="R113" s="19" t="str">
        <f t="shared" si="20"/>
        <v/>
      </c>
      <c r="S113" s="27" t="str">
        <f t="shared" ref="S113:X128" si="21">IF(C113="","",((C113-C112)*1000)/($B113-$B112))</f>
        <v/>
      </c>
      <c r="T113" s="28" t="str">
        <f t="shared" si="21"/>
        <v/>
      </c>
      <c r="U113" s="28" t="str">
        <f t="shared" si="21"/>
        <v/>
      </c>
      <c r="V113" s="28" t="str">
        <f t="shared" si="21"/>
        <v/>
      </c>
      <c r="W113" s="28" t="str">
        <f t="shared" si="21"/>
        <v/>
      </c>
      <c r="X113" s="29" t="str">
        <f t="shared" si="2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 t="str">
        <f t="shared" si="18"/>
        <v/>
      </c>
      <c r="L114" s="19" t="str">
        <f t="shared" si="20"/>
        <v/>
      </c>
      <c r="M114" s="19" t="str">
        <f t="shared" si="20"/>
        <v/>
      </c>
      <c r="N114" s="19" t="str">
        <f t="shared" si="20"/>
        <v/>
      </c>
      <c r="O114" s="19" t="str">
        <f t="shared" si="15"/>
        <v/>
      </c>
      <c r="P114" s="19" t="str">
        <f t="shared" si="16"/>
        <v/>
      </c>
      <c r="Q114" s="19" t="str">
        <f t="shared" si="17"/>
        <v/>
      </c>
      <c r="R114" s="19" t="str">
        <f t="shared" si="20"/>
        <v/>
      </c>
      <c r="S114" s="27" t="str">
        <f t="shared" si="21"/>
        <v/>
      </c>
      <c r="T114" s="28" t="str">
        <f t="shared" si="21"/>
        <v/>
      </c>
      <c r="U114" s="28" t="str">
        <f t="shared" si="21"/>
        <v/>
      </c>
      <c r="V114" s="28" t="str">
        <f t="shared" si="21"/>
        <v/>
      </c>
      <c r="W114" s="28" t="str">
        <f t="shared" si="21"/>
        <v/>
      </c>
      <c r="X114" s="29" t="str">
        <f t="shared" si="2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 t="str">
        <f t="shared" si="18"/>
        <v/>
      </c>
      <c r="L115" s="19" t="str">
        <f t="shared" si="20"/>
        <v/>
      </c>
      <c r="M115" s="19" t="str">
        <f t="shared" si="20"/>
        <v/>
      </c>
      <c r="N115" s="19" t="str">
        <f t="shared" si="20"/>
        <v/>
      </c>
      <c r="O115" s="19" t="str">
        <f t="shared" si="15"/>
        <v/>
      </c>
      <c r="P115" s="19" t="str">
        <f t="shared" si="16"/>
        <v/>
      </c>
      <c r="Q115" s="19" t="str">
        <f t="shared" si="17"/>
        <v/>
      </c>
      <c r="R115" s="19" t="str">
        <f t="shared" si="20"/>
        <v/>
      </c>
      <c r="S115" s="27" t="str">
        <f t="shared" si="21"/>
        <v/>
      </c>
      <c r="T115" s="28" t="str">
        <f t="shared" si="21"/>
        <v/>
      </c>
      <c r="U115" s="28" t="str">
        <f t="shared" si="21"/>
        <v/>
      </c>
      <c r="V115" s="28" t="str">
        <f t="shared" si="21"/>
        <v/>
      </c>
      <c r="W115" s="28" t="str">
        <f t="shared" si="21"/>
        <v/>
      </c>
      <c r="X115" s="29" t="str">
        <f t="shared" si="2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 t="str">
        <f t="shared" si="18"/>
        <v/>
      </c>
      <c r="L116" s="19" t="str">
        <f t="shared" si="20"/>
        <v/>
      </c>
      <c r="M116" s="19" t="str">
        <f t="shared" si="20"/>
        <v/>
      </c>
      <c r="N116" s="19" t="str">
        <f t="shared" si="20"/>
        <v/>
      </c>
      <c r="O116" s="19" t="str">
        <f t="shared" si="15"/>
        <v/>
      </c>
      <c r="P116" s="19" t="str">
        <f t="shared" si="16"/>
        <v/>
      </c>
      <c r="Q116" s="19" t="str">
        <f t="shared" si="17"/>
        <v/>
      </c>
      <c r="R116" s="19" t="str">
        <f t="shared" si="20"/>
        <v/>
      </c>
      <c r="S116" s="27" t="str">
        <f t="shared" si="21"/>
        <v/>
      </c>
      <c r="T116" s="28" t="str">
        <f t="shared" si="21"/>
        <v/>
      </c>
      <c r="U116" s="28" t="str">
        <f t="shared" si="21"/>
        <v/>
      </c>
      <c r="V116" s="28" t="str">
        <f t="shared" si="21"/>
        <v/>
      </c>
      <c r="W116" s="28" t="str">
        <f t="shared" si="21"/>
        <v/>
      </c>
      <c r="X116" s="29" t="str">
        <f t="shared" si="2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 t="str">
        <f t="shared" si="18"/>
        <v/>
      </c>
      <c r="L117" s="19" t="str">
        <f t="shared" si="20"/>
        <v/>
      </c>
      <c r="M117" s="19" t="str">
        <f t="shared" si="20"/>
        <v/>
      </c>
      <c r="N117" s="19" t="str">
        <f t="shared" si="20"/>
        <v/>
      </c>
      <c r="O117" s="19" t="str">
        <f t="shared" si="15"/>
        <v/>
      </c>
      <c r="P117" s="19" t="str">
        <f t="shared" si="16"/>
        <v/>
      </c>
      <c r="Q117" s="19" t="str">
        <f t="shared" si="17"/>
        <v/>
      </c>
      <c r="R117" s="19" t="str">
        <f t="shared" si="20"/>
        <v/>
      </c>
      <c r="S117" s="27" t="str">
        <f t="shared" si="21"/>
        <v/>
      </c>
      <c r="T117" s="28" t="str">
        <f t="shared" si="21"/>
        <v/>
      </c>
      <c r="U117" s="28" t="str">
        <f t="shared" si="21"/>
        <v/>
      </c>
      <c r="V117" s="28" t="str">
        <f t="shared" si="21"/>
        <v/>
      </c>
      <c r="W117" s="28" t="str">
        <f t="shared" si="21"/>
        <v/>
      </c>
      <c r="X117" s="29" t="str">
        <f t="shared" si="2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 t="str">
        <f t="shared" si="18"/>
        <v/>
      </c>
      <c r="L118" s="19" t="str">
        <f t="shared" si="20"/>
        <v/>
      </c>
      <c r="M118" s="19" t="str">
        <f t="shared" si="20"/>
        <v/>
      </c>
      <c r="N118" s="19" t="str">
        <f t="shared" si="20"/>
        <v/>
      </c>
      <c r="O118" s="19" t="str">
        <f t="shared" si="15"/>
        <v/>
      </c>
      <c r="P118" s="19" t="str">
        <f t="shared" si="16"/>
        <v/>
      </c>
      <c r="Q118" s="19" t="str">
        <f t="shared" si="17"/>
        <v/>
      </c>
      <c r="R118" s="19" t="str">
        <f t="shared" si="20"/>
        <v/>
      </c>
      <c r="S118" s="27" t="str">
        <f t="shared" si="21"/>
        <v/>
      </c>
      <c r="T118" s="28" t="str">
        <f t="shared" si="21"/>
        <v/>
      </c>
      <c r="U118" s="28" t="str">
        <f t="shared" si="21"/>
        <v/>
      </c>
      <c r="V118" s="28" t="str">
        <f t="shared" si="21"/>
        <v/>
      </c>
      <c r="W118" s="28" t="str">
        <f t="shared" si="21"/>
        <v/>
      </c>
      <c r="X118" s="29" t="str">
        <f t="shared" si="2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 t="str">
        <f t="shared" si="18"/>
        <v/>
      </c>
      <c r="L119" s="19" t="str">
        <f t="shared" si="20"/>
        <v/>
      </c>
      <c r="M119" s="19" t="str">
        <f t="shared" si="20"/>
        <v/>
      </c>
      <c r="N119" s="19" t="str">
        <f t="shared" si="20"/>
        <v/>
      </c>
      <c r="O119" s="19" t="str">
        <f t="shared" si="15"/>
        <v/>
      </c>
      <c r="P119" s="19" t="str">
        <f t="shared" si="16"/>
        <v/>
      </c>
      <c r="Q119" s="19" t="str">
        <f t="shared" si="17"/>
        <v/>
      </c>
      <c r="R119" s="19" t="str">
        <f t="shared" si="20"/>
        <v/>
      </c>
      <c r="S119" s="27" t="str">
        <f t="shared" si="21"/>
        <v/>
      </c>
      <c r="T119" s="28" t="str">
        <f t="shared" si="21"/>
        <v/>
      </c>
      <c r="U119" s="28" t="str">
        <f t="shared" si="21"/>
        <v/>
      </c>
      <c r="V119" s="28" t="str">
        <f t="shared" si="21"/>
        <v/>
      </c>
      <c r="W119" s="28" t="str">
        <f t="shared" si="21"/>
        <v/>
      </c>
      <c r="X119" s="29" t="str">
        <f t="shared" si="2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 t="str">
        <f t="shared" si="18"/>
        <v/>
      </c>
      <c r="L120" s="19" t="str">
        <f t="shared" si="20"/>
        <v/>
      </c>
      <c r="M120" s="19" t="str">
        <f t="shared" si="20"/>
        <v/>
      </c>
      <c r="N120" s="19" t="str">
        <f t="shared" si="20"/>
        <v/>
      </c>
      <c r="O120" s="19" t="str">
        <f t="shared" si="15"/>
        <v/>
      </c>
      <c r="P120" s="19" t="str">
        <f t="shared" si="16"/>
        <v/>
      </c>
      <c r="Q120" s="19" t="str">
        <f t="shared" si="17"/>
        <v/>
      </c>
      <c r="R120" s="19" t="str">
        <f t="shared" si="20"/>
        <v/>
      </c>
      <c r="S120" s="27" t="str">
        <f t="shared" si="21"/>
        <v/>
      </c>
      <c r="T120" s="28" t="str">
        <f t="shared" si="21"/>
        <v/>
      </c>
      <c r="U120" s="28" t="str">
        <f t="shared" si="21"/>
        <v/>
      </c>
      <c r="V120" s="28" t="str">
        <f t="shared" si="21"/>
        <v/>
      </c>
      <c r="W120" s="28" t="str">
        <f t="shared" si="21"/>
        <v/>
      </c>
      <c r="X120" s="29" t="str">
        <f t="shared" si="2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 t="str">
        <f t="shared" si="18"/>
        <v/>
      </c>
      <c r="L121" s="19" t="str">
        <f t="shared" si="20"/>
        <v/>
      </c>
      <c r="M121" s="19" t="str">
        <f t="shared" si="20"/>
        <v/>
      </c>
      <c r="N121" s="19" t="str">
        <f t="shared" si="20"/>
        <v/>
      </c>
      <c r="O121" s="19" t="str">
        <f t="shared" si="15"/>
        <v/>
      </c>
      <c r="P121" s="19" t="str">
        <f t="shared" si="16"/>
        <v/>
      </c>
      <c r="Q121" s="19" t="str">
        <f t="shared" si="17"/>
        <v/>
      </c>
      <c r="R121" s="19" t="str">
        <f t="shared" si="20"/>
        <v/>
      </c>
      <c r="S121" s="27" t="str">
        <f t="shared" si="21"/>
        <v/>
      </c>
      <c r="T121" s="28" t="str">
        <f t="shared" si="21"/>
        <v/>
      </c>
      <c r="U121" s="28" t="str">
        <f t="shared" si="21"/>
        <v/>
      </c>
      <c r="V121" s="28" t="str">
        <f t="shared" si="21"/>
        <v/>
      </c>
      <c r="W121" s="28" t="str">
        <f t="shared" si="21"/>
        <v/>
      </c>
      <c r="X121" s="29" t="str">
        <f t="shared" si="2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 t="str">
        <f t="shared" si="18"/>
        <v/>
      </c>
      <c r="L122" s="19" t="str">
        <f t="shared" si="20"/>
        <v/>
      </c>
      <c r="M122" s="19" t="str">
        <f t="shared" si="20"/>
        <v/>
      </c>
      <c r="N122" s="19" t="str">
        <f t="shared" si="20"/>
        <v/>
      </c>
      <c r="O122" s="19" t="str">
        <f t="shared" si="15"/>
        <v/>
      </c>
      <c r="P122" s="19" t="str">
        <f t="shared" si="16"/>
        <v/>
      </c>
      <c r="Q122" s="19" t="str">
        <f t="shared" si="17"/>
        <v/>
      </c>
      <c r="R122" s="19" t="str">
        <f t="shared" si="20"/>
        <v/>
      </c>
      <c r="S122" s="27" t="str">
        <f t="shared" si="21"/>
        <v/>
      </c>
      <c r="T122" s="28" t="str">
        <f t="shared" si="21"/>
        <v/>
      </c>
      <c r="U122" s="28" t="str">
        <f t="shared" si="21"/>
        <v/>
      </c>
      <c r="V122" s="28" t="str">
        <f t="shared" si="21"/>
        <v/>
      </c>
      <c r="W122" s="28" t="str">
        <f t="shared" si="21"/>
        <v/>
      </c>
      <c r="X122" s="29" t="str">
        <f t="shared" si="2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 t="str">
        <f t="shared" si="18"/>
        <v/>
      </c>
      <c r="L123" s="19" t="str">
        <f t="shared" si="20"/>
        <v/>
      </c>
      <c r="M123" s="19" t="str">
        <f t="shared" si="20"/>
        <v/>
      </c>
      <c r="N123" s="19" t="str">
        <f t="shared" si="20"/>
        <v/>
      </c>
      <c r="O123" s="19" t="str">
        <f t="shared" si="15"/>
        <v/>
      </c>
      <c r="P123" s="19" t="str">
        <f t="shared" si="16"/>
        <v/>
      </c>
      <c r="Q123" s="19" t="str">
        <f t="shared" si="17"/>
        <v/>
      </c>
      <c r="R123" s="19" t="str">
        <f t="shared" si="20"/>
        <v/>
      </c>
      <c r="S123" s="27" t="str">
        <f t="shared" si="21"/>
        <v/>
      </c>
      <c r="T123" s="28" t="str">
        <f t="shared" si="21"/>
        <v/>
      </c>
      <c r="U123" s="28" t="str">
        <f t="shared" si="21"/>
        <v/>
      </c>
      <c r="V123" s="28" t="str">
        <f t="shared" si="21"/>
        <v/>
      </c>
      <c r="W123" s="28" t="str">
        <f t="shared" si="21"/>
        <v/>
      </c>
      <c r="X123" s="29" t="str">
        <f t="shared" si="2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 t="str">
        <f t="shared" si="18"/>
        <v/>
      </c>
      <c r="L124" s="19" t="str">
        <f t="shared" si="20"/>
        <v/>
      </c>
      <c r="M124" s="19" t="str">
        <f t="shared" si="20"/>
        <v/>
      </c>
      <c r="N124" s="19" t="str">
        <f t="shared" si="20"/>
        <v/>
      </c>
      <c r="O124" s="19" t="str">
        <f t="shared" si="15"/>
        <v/>
      </c>
      <c r="P124" s="19" t="str">
        <f t="shared" si="16"/>
        <v/>
      </c>
      <c r="Q124" s="19" t="str">
        <f t="shared" si="17"/>
        <v/>
      </c>
      <c r="R124" s="19" t="str">
        <f t="shared" si="20"/>
        <v/>
      </c>
      <c r="S124" s="27" t="str">
        <f t="shared" si="21"/>
        <v/>
      </c>
      <c r="T124" s="28" t="str">
        <f t="shared" si="21"/>
        <v/>
      </c>
      <c r="U124" s="28" t="str">
        <f t="shared" si="21"/>
        <v/>
      </c>
      <c r="V124" s="28" t="str">
        <f t="shared" si="21"/>
        <v/>
      </c>
      <c r="W124" s="28" t="str">
        <f t="shared" si="21"/>
        <v/>
      </c>
      <c r="X124" s="29" t="str">
        <f t="shared" si="2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 t="str">
        <f t="shared" si="18"/>
        <v/>
      </c>
      <c r="L125" s="19" t="str">
        <f t="shared" si="20"/>
        <v/>
      </c>
      <c r="M125" s="19" t="str">
        <f t="shared" si="20"/>
        <v/>
      </c>
      <c r="N125" s="19" t="str">
        <f t="shared" si="20"/>
        <v/>
      </c>
      <c r="O125" s="19" t="str">
        <f t="shared" si="15"/>
        <v/>
      </c>
      <c r="P125" s="19" t="str">
        <f t="shared" si="16"/>
        <v/>
      </c>
      <c r="Q125" s="19" t="str">
        <f t="shared" si="17"/>
        <v/>
      </c>
      <c r="R125" s="19" t="str">
        <f t="shared" si="20"/>
        <v/>
      </c>
      <c r="S125" s="27" t="str">
        <f t="shared" si="21"/>
        <v/>
      </c>
      <c r="T125" s="28" t="str">
        <f t="shared" si="21"/>
        <v/>
      </c>
      <c r="U125" s="28" t="str">
        <f t="shared" si="21"/>
        <v/>
      </c>
      <c r="V125" s="28" t="str">
        <f t="shared" si="21"/>
        <v/>
      </c>
      <c r="W125" s="28" t="str">
        <f t="shared" si="21"/>
        <v/>
      </c>
      <c r="X125" s="29" t="str">
        <f t="shared" si="2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 t="str">
        <f t="shared" si="18"/>
        <v/>
      </c>
      <c r="L126" s="19" t="str">
        <f t="shared" si="20"/>
        <v/>
      </c>
      <c r="M126" s="19" t="str">
        <f t="shared" si="20"/>
        <v/>
      </c>
      <c r="N126" s="19" t="str">
        <f t="shared" si="20"/>
        <v/>
      </c>
      <c r="O126" s="19" t="str">
        <f t="shared" si="15"/>
        <v/>
      </c>
      <c r="P126" s="19" t="str">
        <f t="shared" si="16"/>
        <v/>
      </c>
      <c r="Q126" s="19" t="str">
        <f t="shared" si="17"/>
        <v/>
      </c>
      <c r="R126" s="19" t="str">
        <f t="shared" si="20"/>
        <v/>
      </c>
      <c r="S126" s="27" t="str">
        <f t="shared" si="21"/>
        <v/>
      </c>
      <c r="T126" s="28" t="str">
        <f t="shared" si="21"/>
        <v/>
      </c>
      <c r="U126" s="28" t="str">
        <f t="shared" si="21"/>
        <v/>
      </c>
      <c r="V126" s="28" t="str">
        <f t="shared" si="21"/>
        <v/>
      </c>
      <c r="W126" s="28" t="str">
        <f t="shared" si="21"/>
        <v/>
      </c>
      <c r="X126" s="29" t="str">
        <f t="shared" si="2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 t="str">
        <f t="shared" si="18"/>
        <v/>
      </c>
      <c r="L127" s="19" t="str">
        <f t="shared" si="20"/>
        <v/>
      </c>
      <c r="M127" s="19" t="str">
        <f t="shared" si="20"/>
        <v/>
      </c>
      <c r="N127" s="19" t="str">
        <f t="shared" si="20"/>
        <v/>
      </c>
      <c r="O127" s="19" t="str">
        <f t="shared" si="15"/>
        <v/>
      </c>
      <c r="P127" s="19" t="str">
        <f t="shared" si="16"/>
        <v/>
      </c>
      <c r="Q127" s="19" t="str">
        <f t="shared" si="17"/>
        <v/>
      </c>
      <c r="R127" s="19" t="str">
        <f t="shared" si="20"/>
        <v/>
      </c>
      <c r="S127" s="27" t="str">
        <f t="shared" si="21"/>
        <v/>
      </c>
      <c r="T127" s="28" t="str">
        <f t="shared" si="21"/>
        <v/>
      </c>
      <c r="U127" s="28" t="str">
        <f t="shared" si="21"/>
        <v/>
      </c>
      <c r="V127" s="28" t="str">
        <f t="shared" si="21"/>
        <v/>
      </c>
      <c r="W127" s="28" t="str">
        <f t="shared" si="21"/>
        <v/>
      </c>
      <c r="X127" s="29" t="str">
        <f t="shared" si="2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 t="str">
        <f t="shared" si="18"/>
        <v/>
      </c>
      <c r="L128" s="19" t="str">
        <f t="shared" si="20"/>
        <v/>
      </c>
      <c r="M128" s="19" t="str">
        <f t="shared" si="20"/>
        <v/>
      </c>
      <c r="N128" s="19" t="str">
        <f t="shared" si="20"/>
        <v/>
      </c>
      <c r="O128" s="19" t="str">
        <f t="shared" si="15"/>
        <v/>
      </c>
      <c r="P128" s="19" t="str">
        <f t="shared" si="16"/>
        <v/>
      </c>
      <c r="Q128" s="19" t="str">
        <f t="shared" si="17"/>
        <v/>
      </c>
      <c r="R128" s="19" t="str">
        <f t="shared" si="20"/>
        <v/>
      </c>
      <c r="S128" s="27" t="str">
        <f t="shared" si="21"/>
        <v/>
      </c>
      <c r="T128" s="28" t="str">
        <f t="shared" si="21"/>
        <v/>
      </c>
      <c r="U128" s="28" t="str">
        <f t="shared" si="21"/>
        <v/>
      </c>
      <c r="V128" s="28" t="str">
        <f t="shared" si="21"/>
        <v/>
      </c>
      <c r="W128" s="28" t="str">
        <f t="shared" si="21"/>
        <v/>
      </c>
      <c r="X128" s="29" t="str">
        <f t="shared" si="2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 t="str">
        <f t="shared" si="18"/>
        <v/>
      </c>
      <c r="L129" s="19" t="str">
        <f t="shared" si="20"/>
        <v/>
      </c>
      <c r="M129" s="19" t="str">
        <f t="shared" si="20"/>
        <v/>
      </c>
      <c r="N129" s="19" t="str">
        <f t="shared" si="20"/>
        <v/>
      </c>
      <c r="O129" s="19" t="str">
        <f t="shared" si="15"/>
        <v/>
      </c>
      <c r="P129" s="19" t="str">
        <f t="shared" si="16"/>
        <v/>
      </c>
      <c r="Q129" s="19" t="str">
        <f t="shared" si="17"/>
        <v/>
      </c>
      <c r="R129" s="19" t="str">
        <f t="shared" si="20"/>
        <v/>
      </c>
      <c r="S129" s="27" t="str">
        <f t="shared" ref="S129:X144" si="22">IF(C129="","",((C129-C128)*1000)/($B129-$B128))</f>
        <v/>
      </c>
      <c r="T129" s="28" t="str">
        <f t="shared" si="22"/>
        <v/>
      </c>
      <c r="U129" s="28" t="str">
        <f t="shared" si="22"/>
        <v/>
      </c>
      <c r="V129" s="28" t="str">
        <f t="shared" si="22"/>
        <v/>
      </c>
      <c r="W129" s="28" t="str">
        <f t="shared" si="22"/>
        <v/>
      </c>
      <c r="X129" s="29" t="str">
        <f t="shared" si="2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 t="str">
        <f t="shared" si="18"/>
        <v/>
      </c>
      <c r="L130" s="19" t="str">
        <f t="shared" si="20"/>
        <v/>
      </c>
      <c r="M130" s="19" t="str">
        <f t="shared" si="20"/>
        <v/>
      </c>
      <c r="N130" s="19" t="str">
        <f t="shared" si="20"/>
        <v/>
      </c>
      <c r="O130" s="19" t="str">
        <f t="shared" si="15"/>
        <v/>
      </c>
      <c r="P130" s="19" t="str">
        <f t="shared" si="16"/>
        <v/>
      </c>
      <c r="Q130" s="19" t="str">
        <f t="shared" si="17"/>
        <v/>
      </c>
      <c r="R130" s="19" t="str">
        <f t="shared" si="20"/>
        <v/>
      </c>
      <c r="S130" s="27" t="str">
        <f t="shared" si="22"/>
        <v/>
      </c>
      <c r="T130" s="28" t="str">
        <f t="shared" si="22"/>
        <v/>
      </c>
      <c r="U130" s="28" t="str">
        <f t="shared" si="22"/>
        <v/>
      </c>
      <c r="V130" s="28" t="str">
        <f t="shared" si="22"/>
        <v/>
      </c>
      <c r="W130" s="28" t="str">
        <f t="shared" si="22"/>
        <v/>
      </c>
      <c r="X130" s="29" t="str">
        <f t="shared" si="2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 t="str">
        <f t="shared" si="18"/>
        <v/>
      </c>
      <c r="L131" s="19" t="str">
        <f t="shared" si="20"/>
        <v/>
      </c>
      <c r="M131" s="19" t="str">
        <f t="shared" si="20"/>
        <v/>
      </c>
      <c r="N131" s="19" t="str">
        <f t="shared" si="20"/>
        <v/>
      </c>
      <c r="O131" s="19" t="str">
        <f t="shared" si="15"/>
        <v/>
      </c>
      <c r="P131" s="19" t="str">
        <f t="shared" si="16"/>
        <v/>
      </c>
      <c r="Q131" s="19" t="str">
        <f t="shared" si="17"/>
        <v/>
      </c>
      <c r="R131" s="19" t="str">
        <f t="shared" si="20"/>
        <v/>
      </c>
      <c r="S131" s="27" t="str">
        <f t="shared" si="22"/>
        <v/>
      </c>
      <c r="T131" s="28" t="str">
        <f t="shared" si="22"/>
        <v/>
      </c>
      <c r="U131" s="28" t="str">
        <f t="shared" si="22"/>
        <v/>
      </c>
      <c r="V131" s="28" t="str">
        <f t="shared" si="22"/>
        <v/>
      </c>
      <c r="W131" s="28" t="str">
        <f t="shared" si="22"/>
        <v/>
      </c>
      <c r="X131" s="29" t="str">
        <f t="shared" si="2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 t="str">
        <f t="shared" si="18"/>
        <v/>
      </c>
      <c r="L132" s="19" t="str">
        <f t="shared" si="20"/>
        <v/>
      </c>
      <c r="M132" s="19" t="str">
        <f t="shared" si="20"/>
        <v/>
      </c>
      <c r="N132" s="19" t="str">
        <f t="shared" si="20"/>
        <v/>
      </c>
      <c r="O132" s="19" t="str">
        <f t="shared" si="15"/>
        <v/>
      </c>
      <c r="P132" s="19" t="str">
        <f t="shared" si="16"/>
        <v/>
      </c>
      <c r="Q132" s="19" t="str">
        <f t="shared" si="17"/>
        <v/>
      </c>
      <c r="R132" s="19" t="str">
        <f t="shared" si="20"/>
        <v/>
      </c>
      <c r="S132" s="27" t="str">
        <f t="shared" si="22"/>
        <v/>
      </c>
      <c r="T132" s="28" t="str">
        <f t="shared" si="22"/>
        <v/>
      </c>
      <c r="U132" s="28" t="str">
        <f t="shared" si="22"/>
        <v/>
      </c>
      <c r="V132" s="28" t="str">
        <f t="shared" si="22"/>
        <v/>
      </c>
      <c r="W132" s="28" t="str">
        <f t="shared" si="22"/>
        <v/>
      </c>
      <c r="X132" s="29" t="str">
        <f t="shared" si="2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 t="str">
        <f t="shared" si="18"/>
        <v/>
      </c>
      <c r="L133" s="19" t="str">
        <f t="shared" si="20"/>
        <v/>
      </c>
      <c r="M133" s="19" t="str">
        <f t="shared" si="20"/>
        <v/>
      </c>
      <c r="N133" s="19" t="str">
        <f t="shared" si="20"/>
        <v/>
      </c>
      <c r="O133" s="19" t="str">
        <f t="shared" si="15"/>
        <v/>
      </c>
      <c r="P133" s="19" t="str">
        <f t="shared" si="16"/>
        <v/>
      </c>
      <c r="Q133" s="19" t="str">
        <f t="shared" si="17"/>
        <v/>
      </c>
      <c r="R133" s="19" t="str">
        <f t="shared" si="20"/>
        <v/>
      </c>
      <c r="S133" s="27" t="str">
        <f t="shared" si="22"/>
        <v/>
      </c>
      <c r="T133" s="28" t="str">
        <f t="shared" si="22"/>
        <v/>
      </c>
      <c r="U133" s="28" t="str">
        <f t="shared" si="22"/>
        <v/>
      </c>
      <c r="V133" s="28" t="str">
        <f t="shared" si="22"/>
        <v/>
      </c>
      <c r="W133" s="28" t="str">
        <f t="shared" si="22"/>
        <v/>
      </c>
      <c r="X133" s="29" t="str">
        <f t="shared" si="2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 t="str">
        <f t="shared" si="18"/>
        <v/>
      </c>
      <c r="L134" s="19" t="str">
        <f t="shared" si="20"/>
        <v/>
      </c>
      <c r="M134" s="19" t="str">
        <f t="shared" si="20"/>
        <v/>
      </c>
      <c r="N134" s="19" t="str">
        <f t="shared" si="20"/>
        <v/>
      </c>
      <c r="O134" s="19" t="str">
        <f t="shared" si="15"/>
        <v/>
      </c>
      <c r="P134" s="19" t="str">
        <f t="shared" si="16"/>
        <v/>
      </c>
      <c r="Q134" s="19" t="str">
        <f t="shared" si="17"/>
        <v/>
      </c>
      <c r="R134" s="19" t="str">
        <f t="shared" si="20"/>
        <v/>
      </c>
      <c r="S134" s="27" t="str">
        <f t="shared" si="22"/>
        <v/>
      </c>
      <c r="T134" s="28" t="str">
        <f t="shared" si="22"/>
        <v/>
      </c>
      <c r="U134" s="28" t="str">
        <f t="shared" si="22"/>
        <v/>
      </c>
      <c r="V134" s="28" t="str">
        <f t="shared" si="22"/>
        <v/>
      </c>
      <c r="W134" s="28" t="str">
        <f t="shared" si="22"/>
        <v/>
      </c>
      <c r="X134" s="29" t="str">
        <f t="shared" si="2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 t="str">
        <f t="shared" si="18"/>
        <v/>
      </c>
      <c r="L135" s="19" t="str">
        <f t="shared" si="20"/>
        <v/>
      </c>
      <c r="M135" s="19" t="str">
        <f t="shared" si="20"/>
        <v/>
      </c>
      <c r="N135" s="19" t="str">
        <f t="shared" si="20"/>
        <v/>
      </c>
      <c r="O135" s="19" t="str">
        <f t="shared" si="15"/>
        <v/>
      </c>
      <c r="P135" s="19" t="str">
        <f t="shared" si="16"/>
        <v/>
      </c>
      <c r="Q135" s="19" t="str">
        <f t="shared" si="17"/>
        <v/>
      </c>
      <c r="R135" s="19" t="str">
        <f t="shared" si="20"/>
        <v/>
      </c>
      <c r="S135" s="27" t="str">
        <f t="shared" si="22"/>
        <v/>
      </c>
      <c r="T135" s="28" t="str">
        <f t="shared" si="22"/>
        <v/>
      </c>
      <c r="U135" s="28" t="str">
        <f t="shared" si="22"/>
        <v/>
      </c>
      <c r="V135" s="28" t="str">
        <f t="shared" si="22"/>
        <v/>
      </c>
      <c r="W135" s="28" t="str">
        <f t="shared" si="22"/>
        <v/>
      </c>
      <c r="X135" s="29" t="str">
        <f t="shared" si="2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 t="str">
        <f t="shared" si="18"/>
        <v/>
      </c>
      <c r="L136" s="19" t="str">
        <f t="shared" si="20"/>
        <v/>
      </c>
      <c r="M136" s="19" t="str">
        <f t="shared" si="20"/>
        <v/>
      </c>
      <c r="N136" s="19" t="str">
        <f t="shared" si="20"/>
        <v/>
      </c>
      <c r="O136" s="19" t="str">
        <f t="shared" si="15"/>
        <v/>
      </c>
      <c r="P136" s="19" t="str">
        <f t="shared" si="16"/>
        <v/>
      </c>
      <c r="Q136" s="19" t="str">
        <f t="shared" si="17"/>
        <v/>
      </c>
      <c r="R136" s="19" t="str">
        <f t="shared" si="20"/>
        <v/>
      </c>
      <c r="S136" s="27" t="str">
        <f t="shared" si="22"/>
        <v/>
      </c>
      <c r="T136" s="28" t="str">
        <f t="shared" si="22"/>
        <v/>
      </c>
      <c r="U136" s="28" t="str">
        <f t="shared" si="22"/>
        <v/>
      </c>
      <c r="V136" s="28" t="str">
        <f t="shared" si="22"/>
        <v/>
      </c>
      <c r="W136" s="28" t="str">
        <f t="shared" si="22"/>
        <v/>
      </c>
      <c r="X136" s="29" t="str">
        <f t="shared" si="2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 t="str">
        <f t="shared" si="18"/>
        <v/>
      </c>
      <c r="L137" s="19" t="str">
        <f t="shared" si="20"/>
        <v/>
      </c>
      <c r="M137" s="19" t="str">
        <f t="shared" si="20"/>
        <v/>
      </c>
      <c r="N137" s="19" t="str">
        <f t="shared" si="20"/>
        <v/>
      </c>
      <c r="O137" s="19" t="str">
        <f t="shared" si="15"/>
        <v/>
      </c>
      <c r="P137" s="19" t="str">
        <f t="shared" si="16"/>
        <v/>
      </c>
      <c r="Q137" s="19" t="str">
        <f t="shared" si="17"/>
        <v/>
      </c>
      <c r="R137" s="19" t="str">
        <f t="shared" si="20"/>
        <v/>
      </c>
      <c r="S137" s="27" t="str">
        <f t="shared" si="22"/>
        <v/>
      </c>
      <c r="T137" s="28" t="str">
        <f t="shared" si="22"/>
        <v/>
      </c>
      <c r="U137" s="28" t="str">
        <f t="shared" si="22"/>
        <v/>
      </c>
      <c r="V137" s="28" t="str">
        <f t="shared" si="22"/>
        <v/>
      </c>
      <c r="W137" s="28" t="str">
        <f t="shared" si="22"/>
        <v/>
      </c>
      <c r="X137" s="29" t="str">
        <f t="shared" si="2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 t="str">
        <f t="shared" si="18"/>
        <v/>
      </c>
      <c r="L138" s="19" t="str">
        <f t="shared" si="20"/>
        <v/>
      </c>
      <c r="M138" s="19" t="str">
        <f t="shared" si="20"/>
        <v/>
      </c>
      <c r="N138" s="19" t="str">
        <f t="shared" si="20"/>
        <v/>
      </c>
      <c r="O138" s="19" t="str">
        <f t="shared" si="15"/>
        <v/>
      </c>
      <c r="P138" s="19" t="str">
        <f t="shared" si="16"/>
        <v/>
      </c>
      <c r="Q138" s="19" t="str">
        <f t="shared" si="17"/>
        <v/>
      </c>
      <c r="R138" s="19" t="str">
        <f t="shared" si="20"/>
        <v/>
      </c>
      <c r="S138" s="27" t="str">
        <f t="shared" si="22"/>
        <v/>
      </c>
      <c r="T138" s="28" t="str">
        <f t="shared" si="22"/>
        <v/>
      </c>
      <c r="U138" s="28" t="str">
        <f t="shared" si="22"/>
        <v/>
      </c>
      <c r="V138" s="28" t="str">
        <f t="shared" si="22"/>
        <v/>
      </c>
      <c r="W138" s="28" t="str">
        <f t="shared" si="22"/>
        <v/>
      </c>
      <c r="X138" s="29" t="str">
        <f t="shared" si="2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 t="str">
        <f t="shared" si="18"/>
        <v/>
      </c>
      <c r="L139" s="19" t="str">
        <f t="shared" si="20"/>
        <v/>
      </c>
      <c r="M139" s="19" t="str">
        <f t="shared" si="20"/>
        <v/>
      </c>
      <c r="N139" s="19" t="str">
        <f t="shared" si="20"/>
        <v/>
      </c>
      <c r="O139" s="19" t="str">
        <f t="shared" si="15"/>
        <v/>
      </c>
      <c r="P139" s="19" t="str">
        <f t="shared" si="16"/>
        <v/>
      </c>
      <c r="Q139" s="19" t="str">
        <f t="shared" si="17"/>
        <v/>
      </c>
      <c r="R139" s="19" t="str">
        <f t="shared" si="20"/>
        <v/>
      </c>
      <c r="S139" s="27" t="str">
        <f t="shared" si="22"/>
        <v/>
      </c>
      <c r="T139" s="28" t="str">
        <f t="shared" si="22"/>
        <v/>
      </c>
      <c r="U139" s="28" t="str">
        <f t="shared" si="22"/>
        <v/>
      </c>
      <c r="V139" s="28" t="str">
        <f t="shared" si="22"/>
        <v/>
      </c>
      <c r="W139" s="28" t="str">
        <f t="shared" si="22"/>
        <v/>
      </c>
      <c r="X139" s="29" t="str">
        <f t="shared" si="2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 t="str">
        <f t="shared" si="18"/>
        <v/>
      </c>
      <c r="L140" s="19" t="str">
        <f t="shared" si="20"/>
        <v/>
      </c>
      <c r="M140" s="19" t="str">
        <f t="shared" si="20"/>
        <v/>
      </c>
      <c r="N140" s="19" t="str">
        <f t="shared" si="20"/>
        <v/>
      </c>
      <c r="O140" s="19" t="str">
        <f t="shared" si="15"/>
        <v/>
      </c>
      <c r="P140" s="19" t="str">
        <f t="shared" si="16"/>
        <v/>
      </c>
      <c r="Q140" s="19" t="str">
        <f t="shared" si="17"/>
        <v/>
      </c>
      <c r="R140" s="19" t="str">
        <f t="shared" si="20"/>
        <v/>
      </c>
      <c r="S140" s="27" t="str">
        <f t="shared" si="22"/>
        <v/>
      </c>
      <c r="T140" s="28" t="str">
        <f t="shared" si="22"/>
        <v/>
      </c>
      <c r="U140" s="28" t="str">
        <f t="shared" si="22"/>
        <v/>
      </c>
      <c r="V140" s="28" t="str">
        <f t="shared" si="22"/>
        <v/>
      </c>
      <c r="W140" s="28" t="str">
        <f t="shared" si="22"/>
        <v/>
      </c>
      <c r="X140" s="29" t="str">
        <f t="shared" si="2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 t="str">
        <f t="shared" si="18"/>
        <v/>
      </c>
      <c r="L141" s="19" t="str">
        <f t="shared" si="20"/>
        <v/>
      </c>
      <c r="M141" s="19" t="str">
        <f t="shared" si="20"/>
        <v/>
      </c>
      <c r="N141" s="19" t="str">
        <f t="shared" si="20"/>
        <v/>
      </c>
      <c r="O141" s="19" t="str">
        <f t="shared" si="15"/>
        <v/>
      </c>
      <c r="P141" s="19" t="str">
        <f t="shared" si="16"/>
        <v/>
      </c>
      <c r="Q141" s="19" t="str">
        <f t="shared" si="17"/>
        <v/>
      </c>
      <c r="R141" s="19" t="str">
        <f t="shared" si="20"/>
        <v/>
      </c>
      <c r="S141" s="27" t="str">
        <f t="shared" si="22"/>
        <v/>
      </c>
      <c r="T141" s="28" t="str">
        <f t="shared" si="22"/>
        <v/>
      </c>
      <c r="U141" s="28" t="str">
        <f t="shared" si="22"/>
        <v/>
      </c>
      <c r="V141" s="28" t="str">
        <f t="shared" si="22"/>
        <v/>
      </c>
      <c r="W141" s="28" t="str">
        <f t="shared" si="22"/>
        <v/>
      </c>
      <c r="X141" s="29" t="str">
        <f t="shared" si="2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 t="str">
        <f t="shared" si="18"/>
        <v/>
      </c>
      <c r="L142" s="19" t="str">
        <f t="shared" si="20"/>
        <v/>
      </c>
      <c r="M142" s="19" t="str">
        <f t="shared" si="20"/>
        <v/>
      </c>
      <c r="N142" s="19" t="str">
        <f t="shared" si="20"/>
        <v/>
      </c>
      <c r="O142" s="19" t="str">
        <f t="shared" si="15"/>
        <v/>
      </c>
      <c r="P142" s="19" t="str">
        <f t="shared" si="16"/>
        <v/>
      </c>
      <c r="Q142" s="19" t="str">
        <f t="shared" si="17"/>
        <v/>
      </c>
      <c r="R142" s="19" t="str">
        <f t="shared" si="20"/>
        <v/>
      </c>
      <c r="S142" s="27" t="str">
        <f t="shared" si="22"/>
        <v/>
      </c>
      <c r="T142" s="28" t="str">
        <f t="shared" si="22"/>
        <v/>
      </c>
      <c r="U142" s="28" t="str">
        <f t="shared" si="22"/>
        <v/>
      </c>
      <c r="V142" s="28" t="str">
        <f t="shared" si="22"/>
        <v/>
      </c>
      <c r="W142" s="28" t="str">
        <f t="shared" si="22"/>
        <v/>
      </c>
      <c r="X142" s="29" t="str">
        <f t="shared" si="2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 t="str">
        <f t="shared" si="18"/>
        <v/>
      </c>
      <c r="L143" s="19" t="str">
        <f t="shared" si="20"/>
        <v/>
      </c>
      <c r="M143" s="19" t="str">
        <f t="shared" si="20"/>
        <v/>
      </c>
      <c r="N143" s="19" t="str">
        <f t="shared" si="20"/>
        <v/>
      </c>
      <c r="O143" s="19" t="str">
        <f t="shared" si="15"/>
        <v/>
      </c>
      <c r="P143" s="19" t="str">
        <f t="shared" si="16"/>
        <v/>
      </c>
      <c r="Q143" s="19" t="str">
        <f t="shared" si="17"/>
        <v/>
      </c>
      <c r="R143" s="19" t="str">
        <f t="shared" si="20"/>
        <v/>
      </c>
      <c r="S143" s="27" t="str">
        <f t="shared" si="22"/>
        <v/>
      </c>
      <c r="T143" s="28" t="str">
        <f t="shared" si="22"/>
        <v/>
      </c>
      <c r="U143" s="28" t="str">
        <f t="shared" si="22"/>
        <v/>
      </c>
      <c r="V143" s="28" t="str">
        <f t="shared" si="22"/>
        <v/>
      </c>
      <c r="W143" s="28" t="str">
        <f t="shared" si="22"/>
        <v/>
      </c>
      <c r="X143" s="29" t="str">
        <f t="shared" si="2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 t="str">
        <f t="shared" si="18"/>
        <v/>
      </c>
      <c r="L144" s="19" t="str">
        <f t="shared" ref="L144:R153" si="23">IF(ISBLANK(C144),"",(C144-C$16)*1000)</f>
        <v/>
      </c>
      <c r="M144" s="19" t="str">
        <f t="shared" si="23"/>
        <v/>
      </c>
      <c r="N144" s="19" t="str">
        <f t="shared" si="23"/>
        <v/>
      </c>
      <c r="O144" s="19" t="str">
        <f t="shared" si="15"/>
        <v/>
      </c>
      <c r="P144" s="19" t="str">
        <f t="shared" si="16"/>
        <v/>
      </c>
      <c r="Q144" s="19" t="str">
        <f t="shared" si="17"/>
        <v/>
      </c>
      <c r="R144" s="19" t="str">
        <f t="shared" si="23"/>
        <v/>
      </c>
      <c r="S144" s="27" t="str">
        <f t="shared" si="22"/>
        <v/>
      </c>
      <c r="T144" s="28" t="str">
        <f t="shared" si="22"/>
        <v/>
      </c>
      <c r="U144" s="28" t="str">
        <f t="shared" si="22"/>
        <v/>
      </c>
      <c r="V144" s="28" t="str">
        <f t="shared" si="22"/>
        <v/>
      </c>
      <c r="W144" s="28" t="str">
        <f t="shared" si="22"/>
        <v/>
      </c>
      <c r="X144" s="29" t="str">
        <f t="shared" si="2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 t="str">
        <f t="shared" si="18"/>
        <v/>
      </c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15"/>
        <v/>
      </c>
      <c r="P145" s="19" t="str">
        <f t="shared" si="16"/>
        <v/>
      </c>
      <c r="Q145" s="19" t="str">
        <f t="shared" si="17"/>
        <v/>
      </c>
      <c r="R145" s="19" t="str">
        <f t="shared" si="23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 t="str">
        <f t="shared" si="18"/>
        <v/>
      </c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15"/>
        <v/>
      </c>
      <c r="P146" s="19" t="str">
        <f t="shared" si="16"/>
        <v/>
      </c>
      <c r="Q146" s="19" t="str">
        <f t="shared" si="17"/>
        <v/>
      </c>
      <c r="R146" s="19" t="str">
        <f t="shared" si="23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 t="str">
        <f t="shared" si="18"/>
        <v/>
      </c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15"/>
        <v/>
      </c>
      <c r="P147" s="19" t="str">
        <f t="shared" si="16"/>
        <v/>
      </c>
      <c r="Q147" s="19" t="str">
        <f t="shared" si="17"/>
        <v/>
      </c>
      <c r="R147" s="19" t="str">
        <f t="shared" si="23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 t="str">
        <f t="shared" si="18"/>
        <v/>
      </c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15"/>
        <v/>
      </c>
      <c r="P148" s="19" t="str">
        <f t="shared" si="16"/>
        <v/>
      </c>
      <c r="Q148" s="19" t="str">
        <f t="shared" si="17"/>
        <v/>
      </c>
      <c r="R148" s="19" t="str">
        <f t="shared" si="23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 t="str">
        <f t="shared" si="18"/>
        <v/>
      </c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15"/>
        <v/>
      </c>
      <c r="P149" s="19" t="str">
        <f t="shared" si="16"/>
        <v/>
      </c>
      <c r="Q149" s="19" t="str">
        <f t="shared" si="17"/>
        <v/>
      </c>
      <c r="R149" s="19" t="str">
        <f t="shared" si="23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 t="str">
        <f t="shared" si="18"/>
        <v/>
      </c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15"/>
        <v/>
      </c>
      <c r="P150" s="19" t="str">
        <f t="shared" si="16"/>
        <v/>
      </c>
      <c r="Q150" s="19" t="str">
        <f t="shared" si="17"/>
        <v/>
      </c>
      <c r="R150" s="19" t="str">
        <f t="shared" si="23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 t="str">
        <f t="shared" si="18"/>
        <v/>
      </c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15"/>
        <v/>
      </c>
      <c r="P151" s="19" t="str">
        <f t="shared" si="16"/>
        <v/>
      </c>
      <c r="Q151" s="19" t="str">
        <f t="shared" si="17"/>
        <v/>
      </c>
      <c r="R151" s="19" t="str">
        <f t="shared" si="23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 t="str">
        <f t="shared" si="18"/>
        <v/>
      </c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ref="O152:Q153" si="25">IF(ISBLANK(F152),"",((F152-F$23)*1000)+L$23)</f>
        <v/>
      </c>
      <c r="P152" s="19" t="str">
        <f t="shared" si="25"/>
        <v/>
      </c>
      <c r="Q152" s="19" t="str">
        <f t="shared" si="25"/>
        <v/>
      </c>
      <c r="R152" s="19" t="str">
        <f t="shared" si="23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 t="str">
        <f t="shared" si="18"/>
        <v/>
      </c>
      <c r="L153" s="19" t="str">
        <f t="shared" si="23"/>
        <v/>
      </c>
      <c r="M153" s="19" t="str">
        <f t="shared" si="23"/>
        <v/>
      </c>
      <c r="N153" s="19" t="str">
        <f t="shared" si="23"/>
        <v/>
      </c>
      <c r="O153" s="19" t="str">
        <f t="shared" si="25"/>
        <v/>
      </c>
      <c r="P153" s="19" t="str">
        <f t="shared" si="25"/>
        <v/>
      </c>
      <c r="Q153" s="19" t="str">
        <f t="shared" si="25"/>
        <v/>
      </c>
      <c r="R153" s="19" t="str">
        <f t="shared" si="23"/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6">
    <tabColor theme="3" tint="0.79998168889431442"/>
    <pageSetUpPr fitToPage="1"/>
  </sheetPr>
  <dimension ref="A1:AI153"/>
  <sheetViews>
    <sheetView showGridLines="0" topLeftCell="B1" zoomScale="75" zoomScaleNormal="75" zoomScaleSheetLayoutView="40" workbookViewId="0">
      <pane ySplit="8" topLeftCell="A30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TZ-34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/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/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/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/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960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/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1">
        <v>41842</v>
      </c>
      <c r="C16" s="35">
        <v>12.755000000000001</v>
      </c>
      <c r="D16" s="36">
        <v>7.8239999999999998</v>
      </c>
      <c r="E16" s="36">
        <v>8.2140000000000004</v>
      </c>
      <c r="F16" s="42"/>
      <c r="G16" s="42"/>
      <c r="H16" s="42"/>
      <c r="I16" s="41">
        <v>106.251</v>
      </c>
      <c r="J16" s="62">
        <v>970</v>
      </c>
      <c r="K16" s="55">
        <f>IF(ISBLANK(J16),"",(J16-$J$8))</f>
        <v>10</v>
      </c>
      <c r="L16" s="19">
        <f t="shared" ref="L16:Q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41843</v>
      </c>
      <c r="C17" s="25">
        <v>12.754</v>
      </c>
      <c r="D17" s="26">
        <v>7.8220000000000001</v>
      </c>
      <c r="E17" s="26">
        <v>8.2129999999999992</v>
      </c>
      <c r="F17" s="16"/>
      <c r="G17" s="16"/>
      <c r="H17" s="16"/>
      <c r="I17" s="17">
        <v>106.25</v>
      </c>
      <c r="J17" s="58">
        <v>975</v>
      </c>
      <c r="K17" s="18">
        <f>IF(ISBLANK(J17),"",(J17-$J$8))</f>
        <v>15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2">IF(C17="","",((C17-C16)*1000)/($B17-$B16))</f>
        <v>-1.0000000000012221</v>
      </c>
      <c r="T17" s="28">
        <f t="shared" si="2"/>
        <v>-1.9999999999997797</v>
      </c>
      <c r="U17" s="28">
        <f t="shared" si="2"/>
        <v>-1.0000000000012221</v>
      </c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24"/>
    </row>
    <row r="18" spans="2:25" ht="15" customHeight="1" x14ac:dyDescent="0.2">
      <c r="B18" s="31">
        <v>41844</v>
      </c>
      <c r="C18" s="25">
        <v>12.754</v>
      </c>
      <c r="D18" s="26">
        <v>7.8220000000000001</v>
      </c>
      <c r="E18" s="26">
        <v>8.2129999999999992</v>
      </c>
      <c r="F18" s="16"/>
      <c r="G18" s="16"/>
      <c r="H18" s="16"/>
      <c r="I18" s="17">
        <v>106.25</v>
      </c>
      <c r="J18" s="58">
        <v>984</v>
      </c>
      <c r="K18" s="18">
        <f t="shared" ref="K18:K27" si="3">IF(ISBLANK(J18),"",(J18-$J$8))</f>
        <v>24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-1.0000000000012221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2"/>
        <v>0</v>
      </c>
      <c r="T18" s="28">
        <f t="shared" si="2"/>
        <v>0</v>
      </c>
      <c r="U18" s="28">
        <f t="shared" si="2"/>
        <v>0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41848</v>
      </c>
      <c r="C19" s="25">
        <v>12.754</v>
      </c>
      <c r="D19" s="26">
        <v>7.8220000000000001</v>
      </c>
      <c r="E19" s="26">
        <v>8.2129999999999992</v>
      </c>
      <c r="F19" s="16"/>
      <c r="G19" s="16"/>
      <c r="H19" s="16"/>
      <c r="I19" s="17">
        <v>106.25</v>
      </c>
      <c r="J19" s="58">
        <v>995</v>
      </c>
      <c r="K19" s="18">
        <f t="shared" si="3"/>
        <v>35</v>
      </c>
      <c r="L19" s="19">
        <f t="shared" si="0"/>
        <v>-1.0000000000012221</v>
      </c>
      <c r="M19" s="19">
        <f t="shared" si="0"/>
        <v>-1.9999999999997797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41849</v>
      </c>
      <c r="C20" s="25">
        <v>12.754</v>
      </c>
      <c r="D20" s="26">
        <v>7.8230000000000004</v>
      </c>
      <c r="E20" s="26">
        <v>8.2140000000000004</v>
      </c>
      <c r="F20" s="16"/>
      <c r="G20" s="16"/>
      <c r="H20" s="16"/>
      <c r="I20" s="17">
        <v>106.25</v>
      </c>
      <c r="J20" s="58">
        <v>1007</v>
      </c>
      <c r="K20" s="18">
        <f t="shared" si="3"/>
        <v>47</v>
      </c>
      <c r="L20" s="19">
        <f t="shared" si="0"/>
        <v>-1.0000000000012221</v>
      </c>
      <c r="M20" s="19">
        <f t="shared" si="0"/>
        <v>-0.99999999999944578</v>
      </c>
      <c r="N20" s="19">
        <f t="shared" si="0"/>
        <v>0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-1.0000000000047748</v>
      </c>
      <c r="S20" s="27">
        <f t="shared" si="2"/>
        <v>0</v>
      </c>
      <c r="T20" s="28">
        <f t="shared" si="2"/>
        <v>1.000000000000334</v>
      </c>
      <c r="U20" s="28">
        <f t="shared" si="2"/>
        <v>1.0000000000012221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41850</v>
      </c>
      <c r="C21" s="25">
        <v>12.755000000000001</v>
      </c>
      <c r="D21" s="26">
        <v>7.8220000000000001</v>
      </c>
      <c r="E21" s="26">
        <v>8.2140000000000004</v>
      </c>
      <c r="F21" s="16"/>
      <c r="G21" s="16"/>
      <c r="H21" s="16"/>
      <c r="I21" s="17">
        <v>106.25</v>
      </c>
      <c r="J21" s="58">
        <v>1011</v>
      </c>
      <c r="K21" s="18">
        <f t="shared" si="3"/>
        <v>51</v>
      </c>
      <c r="L21" s="19">
        <f t="shared" si="0"/>
        <v>0</v>
      </c>
      <c r="M21" s="19">
        <f t="shared" si="0"/>
        <v>-1.9999999999997797</v>
      </c>
      <c r="N21" s="19">
        <f t="shared" si="0"/>
        <v>0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-1.0000000000047748</v>
      </c>
      <c r="S21" s="27">
        <f t="shared" si="2"/>
        <v>1.0000000000012221</v>
      </c>
      <c r="T21" s="28">
        <f t="shared" si="2"/>
        <v>-1.000000000000334</v>
      </c>
      <c r="U21" s="28">
        <f t="shared" si="2"/>
        <v>0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41855</v>
      </c>
      <c r="C22" s="25">
        <v>12.754</v>
      </c>
      <c r="D22" s="26">
        <v>7.8220000000000001</v>
      </c>
      <c r="E22" s="26">
        <v>8.2129999999999992</v>
      </c>
      <c r="F22" s="16"/>
      <c r="G22" s="16"/>
      <c r="H22" s="16"/>
      <c r="I22" s="17">
        <v>106.25</v>
      </c>
      <c r="J22" s="58">
        <v>1033</v>
      </c>
      <c r="K22" s="18">
        <f t="shared" si="3"/>
        <v>73</v>
      </c>
      <c r="L22" s="19">
        <f t="shared" si="0"/>
        <v>-1.0000000000012221</v>
      </c>
      <c r="M22" s="19">
        <f t="shared" si="0"/>
        <v>-1.9999999999997797</v>
      </c>
      <c r="N22" s="19">
        <f t="shared" si="0"/>
        <v>-1.0000000000012221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-1.0000000000047748</v>
      </c>
      <c r="S22" s="27">
        <f t="shared" si="2"/>
        <v>-0.20000000000024443</v>
      </c>
      <c r="T22" s="28">
        <f t="shared" si="2"/>
        <v>0</v>
      </c>
      <c r="U22" s="28">
        <f t="shared" si="2"/>
        <v>-0.20000000000024443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41857</v>
      </c>
      <c r="C23" s="25">
        <v>12.755000000000001</v>
      </c>
      <c r="D23" s="26">
        <v>7.8230000000000004</v>
      </c>
      <c r="E23" s="26">
        <v>8.2140000000000004</v>
      </c>
      <c r="F23" s="16"/>
      <c r="G23" s="16"/>
      <c r="H23" s="16"/>
      <c r="I23" s="17">
        <v>106.25</v>
      </c>
      <c r="J23" s="58">
        <v>1043</v>
      </c>
      <c r="K23" s="18">
        <f t="shared" si="3"/>
        <v>83</v>
      </c>
      <c r="L23" s="19">
        <f t="shared" si="0"/>
        <v>0</v>
      </c>
      <c r="M23" s="19">
        <f t="shared" si="0"/>
        <v>-0.99999999999944578</v>
      </c>
      <c r="N23" s="19">
        <f t="shared" si="0"/>
        <v>0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-1.0000000000047748</v>
      </c>
      <c r="S23" s="27">
        <f t="shared" si="2"/>
        <v>0.50000000000061107</v>
      </c>
      <c r="T23" s="28">
        <f t="shared" si="2"/>
        <v>0.50000000000016698</v>
      </c>
      <c r="U23" s="28">
        <f t="shared" si="2"/>
        <v>0.50000000000061107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41862</v>
      </c>
      <c r="C24" s="25">
        <v>12.755000000000001</v>
      </c>
      <c r="D24" s="26">
        <v>7.8220000000000001</v>
      </c>
      <c r="E24" s="26">
        <v>8.2140000000000004</v>
      </c>
      <c r="F24" s="16"/>
      <c r="G24" s="16"/>
      <c r="H24" s="16"/>
      <c r="I24" s="17">
        <v>106.249</v>
      </c>
      <c r="J24" s="58">
        <v>1066</v>
      </c>
      <c r="K24" s="18">
        <f t="shared" si="3"/>
        <v>106</v>
      </c>
      <c r="L24" s="19">
        <f t="shared" si="0"/>
        <v>0</v>
      </c>
      <c r="M24" s="19">
        <f t="shared" si="0"/>
        <v>-1.9999999999997797</v>
      </c>
      <c r="N24" s="19">
        <f t="shared" si="0"/>
        <v>0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-2.0000000000095497</v>
      </c>
      <c r="S24" s="27">
        <f t="shared" si="2"/>
        <v>0</v>
      </c>
      <c r="T24" s="28">
        <f t="shared" si="2"/>
        <v>-0.20000000000006679</v>
      </c>
      <c r="U24" s="28">
        <f t="shared" si="2"/>
        <v>0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41864</v>
      </c>
      <c r="C25" s="25">
        <v>12.754</v>
      </c>
      <c r="D25" s="26">
        <v>7.8220000000000001</v>
      </c>
      <c r="E25" s="26">
        <v>8.2149999999999999</v>
      </c>
      <c r="F25" s="16"/>
      <c r="G25" s="16"/>
      <c r="H25" s="16"/>
      <c r="I25" s="17">
        <v>106.25</v>
      </c>
      <c r="J25" s="58">
        <v>1082</v>
      </c>
      <c r="K25" s="18">
        <f t="shared" si="3"/>
        <v>122</v>
      </c>
      <c r="L25" s="19">
        <f t="shared" si="0"/>
        <v>-1.0000000000012221</v>
      </c>
      <c r="M25" s="19">
        <f t="shared" si="0"/>
        <v>-1.9999999999997797</v>
      </c>
      <c r="N25" s="19">
        <f t="shared" si="0"/>
        <v>0.99999999999944578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-1.0000000000047748</v>
      </c>
      <c r="S25" s="27">
        <f t="shared" si="2"/>
        <v>-0.50000000000061107</v>
      </c>
      <c r="T25" s="28">
        <f t="shared" si="2"/>
        <v>0</v>
      </c>
      <c r="U25" s="28">
        <f t="shared" si="2"/>
        <v>0.49999999999972289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41869</v>
      </c>
      <c r="C26" s="25">
        <v>12.755000000000001</v>
      </c>
      <c r="D26" s="26">
        <v>7.8209999999999997</v>
      </c>
      <c r="E26" s="26">
        <v>8.2149999999999999</v>
      </c>
      <c r="F26" s="16"/>
      <c r="G26" s="16"/>
      <c r="H26" s="16"/>
      <c r="I26" s="17">
        <v>106.249</v>
      </c>
      <c r="J26" s="58">
        <v>1099</v>
      </c>
      <c r="K26" s="18">
        <f t="shared" si="3"/>
        <v>139</v>
      </c>
      <c r="L26" s="19">
        <f t="shared" si="0"/>
        <v>0</v>
      </c>
      <c r="M26" s="19">
        <f t="shared" si="0"/>
        <v>-3.0000000000001137</v>
      </c>
      <c r="N26" s="19">
        <f t="shared" si="0"/>
        <v>0.99999999999944578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-2.0000000000095497</v>
      </c>
      <c r="S26" s="27">
        <f t="shared" si="2"/>
        <v>0.20000000000024443</v>
      </c>
      <c r="T26" s="28">
        <f t="shared" si="2"/>
        <v>-0.20000000000006679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41879</v>
      </c>
      <c r="C27" s="25">
        <v>12.755000000000001</v>
      </c>
      <c r="D27" s="26">
        <v>7.8220000000000001</v>
      </c>
      <c r="E27" s="26">
        <v>8.2149999999999999</v>
      </c>
      <c r="F27" s="16"/>
      <c r="G27" s="16"/>
      <c r="H27" s="16"/>
      <c r="I27" s="17">
        <v>106.25</v>
      </c>
      <c r="J27" s="58">
        <v>1155</v>
      </c>
      <c r="K27" s="18">
        <f t="shared" si="3"/>
        <v>195</v>
      </c>
      <c r="L27" s="19">
        <f t="shared" si="0"/>
        <v>0</v>
      </c>
      <c r="M27" s="19">
        <f t="shared" si="0"/>
        <v>-1.9999999999997797</v>
      </c>
      <c r="N27" s="19">
        <f t="shared" si="0"/>
        <v>0.99999999999944578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-1.0000000000047748</v>
      </c>
      <c r="S27" s="27">
        <f t="shared" si="2"/>
        <v>0</v>
      </c>
      <c r="T27" s="28">
        <f t="shared" si="2"/>
        <v>0.1000000000000334</v>
      </c>
      <c r="U27" s="28">
        <f t="shared" si="2"/>
        <v>0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41913</v>
      </c>
      <c r="C28" s="25">
        <v>12.755000000000001</v>
      </c>
      <c r="D28" s="26">
        <v>7.8220000000000001</v>
      </c>
      <c r="E28" s="26">
        <v>8.2149999999999999</v>
      </c>
      <c r="F28" s="16"/>
      <c r="G28" s="16"/>
      <c r="H28" s="16"/>
      <c r="I28" s="17">
        <v>106.25</v>
      </c>
      <c r="J28" s="58">
        <v>1277</v>
      </c>
      <c r="K28" s="18">
        <f t="shared" ref="K28:K37" si="4">IF(ISBLANK(J28),"",(J28-$J$8))</f>
        <v>317</v>
      </c>
      <c r="L28" s="19">
        <f t="shared" si="0"/>
        <v>0</v>
      </c>
      <c r="M28" s="19">
        <f t="shared" si="0"/>
        <v>-1.9999999999997797</v>
      </c>
      <c r="N28" s="19">
        <f t="shared" si="0"/>
        <v>0.99999999999944578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-1.0000000000047748</v>
      </c>
      <c r="S28" s="27">
        <f t="shared" si="2"/>
        <v>0</v>
      </c>
      <c r="T28" s="28">
        <f t="shared" si="2"/>
        <v>0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42032</v>
      </c>
      <c r="C29" s="25">
        <v>12.755000000000001</v>
      </c>
      <c r="D29" s="26">
        <v>7.8209999999999997</v>
      </c>
      <c r="E29" s="26">
        <v>8.2149999999999999</v>
      </c>
      <c r="F29" s="16"/>
      <c r="G29" s="16"/>
      <c r="H29" s="16"/>
      <c r="I29" s="17">
        <v>106.249</v>
      </c>
      <c r="J29" s="58">
        <v>1597</v>
      </c>
      <c r="K29" s="18">
        <f t="shared" si="4"/>
        <v>637</v>
      </c>
      <c r="L29" s="19">
        <f t="shared" si="0"/>
        <v>0</v>
      </c>
      <c r="M29" s="19">
        <f t="shared" si="0"/>
        <v>-3.0000000000001137</v>
      </c>
      <c r="N29" s="19">
        <f t="shared" si="0"/>
        <v>0.99999999999944578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-2.0000000000095497</v>
      </c>
      <c r="S29" s="27">
        <f t="shared" si="2"/>
        <v>0</v>
      </c>
      <c r="T29" s="28">
        <f t="shared" si="2"/>
        <v>-8.4033613445406215E-3</v>
      </c>
      <c r="U29" s="28">
        <f t="shared" si="2"/>
        <v>0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42121</v>
      </c>
      <c r="C30" s="25">
        <v>12.755000000000001</v>
      </c>
      <c r="D30" s="26">
        <v>7.8220000000000001</v>
      </c>
      <c r="E30" s="26">
        <v>8.2149999999999999</v>
      </c>
      <c r="F30" s="16"/>
      <c r="G30" s="16"/>
      <c r="H30" s="16"/>
      <c r="I30" s="17">
        <v>106.25</v>
      </c>
      <c r="J30" s="58">
        <v>2011</v>
      </c>
      <c r="K30" s="18">
        <f t="shared" si="4"/>
        <v>1051</v>
      </c>
      <c r="L30" s="19">
        <f t="shared" si="0"/>
        <v>0</v>
      </c>
      <c r="M30" s="19">
        <f t="shared" si="0"/>
        <v>-1.9999999999997797</v>
      </c>
      <c r="N30" s="19">
        <f t="shared" si="0"/>
        <v>0.99999999999944578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-1.0000000000047748</v>
      </c>
      <c r="S30" s="27">
        <f t="shared" si="2"/>
        <v>0</v>
      </c>
      <c r="T30" s="28">
        <f t="shared" si="2"/>
        <v>1.1235955056183527E-2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42200</v>
      </c>
      <c r="C31" s="25">
        <v>12.755000000000001</v>
      </c>
      <c r="D31" s="26">
        <v>7.8220000000000001</v>
      </c>
      <c r="E31" s="26">
        <v>8.2149999999999999</v>
      </c>
      <c r="F31" s="16">
        <v>13.023999999999999</v>
      </c>
      <c r="G31" s="16">
        <v>9.7680000000000007</v>
      </c>
      <c r="H31" s="16">
        <v>10.196999999999999</v>
      </c>
      <c r="I31" s="17">
        <v>106.25</v>
      </c>
      <c r="J31" s="58">
        <v>972</v>
      </c>
      <c r="K31" s="18">
        <f t="shared" si="4"/>
        <v>12</v>
      </c>
      <c r="L31" s="19">
        <f t="shared" si="0"/>
        <v>0</v>
      </c>
      <c r="M31" s="19">
        <f t="shared" si="0"/>
        <v>-1.9999999999997797</v>
      </c>
      <c r="N31" s="19">
        <f t="shared" si="0"/>
        <v>0.99999999999944578</v>
      </c>
      <c r="O31" s="19"/>
      <c r="P31" s="19"/>
      <c r="Q31" s="19"/>
      <c r="R31" s="19">
        <f t="shared" si="1"/>
        <v>-1.0000000000047748</v>
      </c>
      <c r="S31" s="27">
        <f t="shared" si="2"/>
        <v>0</v>
      </c>
      <c r="T31" s="28">
        <f t="shared" si="2"/>
        <v>0</v>
      </c>
      <c r="U31" s="28">
        <f t="shared" si="2"/>
        <v>0</v>
      </c>
      <c r="V31" s="28"/>
      <c r="W31" s="28"/>
      <c r="X31" s="29"/>
      <c r="Y31" s="24"/>
    </row>
    <row r="32" spans="2:25" ht="15" customHeight="1" x14ac:dyDescent="0.2">
      <c r="B32" s="31">
        <v>42201</v>
      </c>
      <c r="C32" s="74">
        <v>12.287000000000001</v>
      </c>
      <c r="D32" s="70">
        <v>7.37</v>
      </c>
      <c r="E32" s="70">
        <v>7.8120000000000003</v>
      </c>
      <c r="F32" s="16">
        <v>13.023</v>
      </c>
      <c r="G32" s="16">
        <v>9.7680000000000007</v>
      </c>
      <c r="H32" s="16">
        <v>10.196999999999999</v>
      </c>
      <c r="I32" s="17">
        <v>106.249</v>
      </c>
      <c r="J32" s="58">
        <v>994</v>
      </c>
      <c r="K32" s="18">
        <f t="shared" si="4"/>
        <v>34</v>
      </c>
      <c r="L32" s="19">
        <f t="shared" ref="L32:Q32" si="5">IF(ISBLANK(C32),"",(C32-C$32)*1000)</f>
        <v>0</v>
      </c>
      <c r="M32" s="19">
        <f t="shared" si="5"/>
        <v>0</v>
      </c>
      <c r="N32" s="19">
        <f t="shared" si="5"/>
        <v>0</v>
      </c>
      <c r="O32" s="19">
        <f t="shared" si="5"/>
        <v>0</v>
      </c>
      <c r="P32" s="19">
        <f t="shared" si="5"/>
        <v>0</v>
      </c>
      <c r="Q32" s="19">
        <f t="shared" si="5"/>
        <v>0</v>
      </c>
      <c r="R32" s="19">
        <f t="shared" si="1"/>
        <v>-2.0000000000095497</v>
      </c>
      <c r="S32" s="27"/>
      <c r="T32" s="28"/>
      <c r="U32" s="28"/>
      <c r="V32" s="28">
        <f t="shared" si="2"/>
        <v>-0.99999999999944578</v>
      </c>
      <c r="W32" s="28">
        <f t="shared" si="2"/>
        <v>0</v>
      </c>
      <c r="X32" s="29">
        <f t="shared" si="2"/>
        <v>0</v>
      </c>
      <c r="Y32" s="24" t="s">
        <v>57</v>
      </c>
    </row>
    <row r="33" spans="2:25" ht="15" customHeight="1" x14ac:dyDescent="0.2">
      <c r="B33" s="31">
        <v>42215</v>
      </c>
      <c r="C33" s="73">
        <v>12.287000000000001</v>
      </c>
      <c r="D33" s="71">
        <v>7.37</v>
      </c>
      <c r="E33" s="71">
        <v>7.8120000000000003</v>
      </c>
      <c r="F33" s="16">
        <v>13.023999999999999</v>
      </c>
      <c r="G33" s="16">
        <v>9.7669999999999995</v>
      </c>
      <c r="H33" s="16">
        <v>10.198</v>
      </c>
      <c r="I33" s="17">
        <v>106.249</v>
      </c>
      <c r="J33" s="58">
        <v>999</v>
      </c>
      <c r="K33" s="18">
        <f t="shared" si="4"/>
        <v>39</v>
      </c>
      <c r="L33" s="19">
        <f t="shared" ref="L33:L96" si="6">IF(ISBLANK(C33),"",(C33-C$32)*1000)</f>
        <v>0</v>
      </c>
      <c r="M33" s="19">
        <f t="shared" ref="M33:M96" si="7">IF(ISBLANK(D33),"",(D33-D$32)*1000)</f>
        <v>0</v>
      </c>
      <c r="N33" s="19">
        <f t="shared" ref="N33:N96" si="8">IF(ISBLANK(E33),"",(E33-E$32)*1000)</f>
        <v>0</v>
      </c>
      <c r="O33" s="19">
        <f t="shared" ref="O33:O96" si="9">IF(ISBLANK(F33),"",(F33-F$32)*1000)</f>
        <v>0.99999999999944578</v>
      </c>
      <c r="P33" s="19">
        <f t="shared" ref="P33:P96" si="10">IF(ISBLANK(G33),"",(G33-G$32)*1000)</f>
        <v>-1.0000000000012221</v>
      </c>
      <c r="Q33" s="19">
        <f t="shared" ref="Q33:Q96" si="11">IF(ISBLANK(H33),"",(H33-H$32)*1000)</f>
        <v>1.0000000000012221</v>
      </c>
      <c r="R33" s="19">
        <f t="shared" si="1"/>
        <v>-2.0000000000095497</v>
      </c>
      <c r="S33" s="27">
        <f t="shared" ref="S33:X48" si="12">IF(C33="","",((C33-C32)*1000)/($B33-$B32))</f>
        <v>0</v>
      </c>
      <c r="T33" s="28">
        <f t="shared" si="12"/>
        <v>0</v>
      </c>
      <c r="U33" s="28">
        <f t="shared" si="12"/>
        <v>0</v>
      </c>
      <c r="V33" s="28">
        <f t="shared" si="12"/>
        <v>7.1428571428531845E-2</v>
      </c>
      <c r="W33" s="28">
        <f t="shared" si="12"/>
        <v>-7.142857142865873E-2</v>
      </c>
      <c r="X33" s="29">
        <f t="shared" si="12"/>
        <v>7.142857142865873E-2</v>
      </c>
      <c r="Y33" s="24"/>
    </row>
    <row r="34" spans="2:25" ht="15" customHeight="1" x14ac:dyDescent="0.2">
      <c r="B34" s="31">
        <v>42219</v>
      </c>
      <c r="C34" s="73">
        <v>12.287000000000001</v>
      </c>
      <c r="D34" s="71">
        <v>7.37</v>
      </c>
      <c r="E34" s="71">
        <v>7.8120000000000003</v>
      </c>
      <c r="F34" s="16">
        <v>13.023999999999999</v>
      </c>
      <c r="G34" s="16">
        <v>9.7680000000000007</v>
      </c>
      <c r="H34" s="16">
        <v>10.198</v>
      </c>
      <c r="I34" s="17">
        <v>106.249</v>
      </c>
      <c r="J34" s="32">
        <v>1206</v>
      </c>
      <c r="K34" s="18">
        <f t="shared" si="4"/>
        <v>246</v>
      </c>
      <c r="L34" s="19">
        <f t="shared" si="6"/>
        <v>0</v>
      </c>
      <c r="M34" s="19">
        <f t="shared" si="7"/>
        <v>0</v>
      </c>
      <c r="N34" s="19">
        <f t="shared" si="8"/>
        <v>0</v>
      </c>
      <c r="O34" s="19">
        <f t="shared" si="9"/>
        <v>0.99999999999944578</v>
      </c>
      <c r="P34" s="19">
        <f t="shared" si="10"/>
        <v>0</v>
      </c>
      <c r="Q34" s="19">
        <f t="shared" si="11"/>
        <v>1.0000000000012221</v>
      </c>
      <c r="R34" s="19">
        <f t="shared" si="1"/>
        <v>-2.0000000000095497</v>
      </c>
      <c r="S34" s="27">
        <f t="shared" si="12"/>
        <v>0</v>
      </c>
      <c r="T34" s="28">
        <f t="shared" si="12"/>
        <v>0</v>
      </c>
      <c r="U34" s="28">
        <f t="shared" si="12"/>
        <v>0</v>
      </c>
      <c r="V34" s="28">
        <f t="shared" si="12"/>
        <v>0</v>
      </c>
      <c r="W34" s="28">
        <f t="shared" si="12"/>
        <v>0.25000000000030553</v>
      </c>
      <c r="X34" s="29">
        <f t="shared" si="12"/>
        <v>0</v>
      </c>
      <c r="Y34" s="24"/>
    </row>
    <row r="35" spans="2:25" ht="15" customHeight="1" x14ac:dyDescent="0.2">
      <c r="B35" s="31">
        <v>42311</v>
      </c>
      <c r="C35" s="73">
        <v>12.287000000000001</v>
      </c>
      <c r="D35" s="71">
        <v>7.37</v>
      </c>
      <c r="E35" s="71">
        <v>7.8120000000000003</v>
      </c>
      <c r="F35" s="16">
        <v>13.023999999999999</v>
      </c>
      <c r="G35" s="16">
        <v>9.7669999999999995</v>
      </c>
      <c r="H35" s="16">
        <v>10.196999999999999</v>
      </c>
      <c r="I35" s="17">
        <v>106.248</v>
      </c>
      <c r="J35" s="58">
        <v>2203</v>
      </c>
      <c r="K35" s="59">
        <f t="shared" si="4"/>
        <v>1243</v>
      </c>
      <c r="L35" s="19">
        <f t="shared" si="6"/>
        <v>0</v>
      </c>
      <c r="M35" s="19">
        <f t="shared" si="7"/>
        <v>0</v>
      </c>
      <c r="N35" s="19">
        <f t="shared" si="8"/>
        <v>0</v>
      </c>
      <c r="O35" s="19">
        <f t="shared" si="9"/>
        <v>0.99999999999944578</v>
      </c>
      <c r="P35" s="19">
        <f t="shared" si="10"/>
        <v>-1.0000000000012221</v>
      </c>
      <c r="Q35" s="19">
        <f t="shared" si="11"/>
        <v>0</v>
      </c>
      <c r="R35" s="19">
        <f t="shared" si="1"/>
        <v>-3.0000000000001137</v>
      </c>
      <c r="S35" s="27">
        <f t="shared" si="12"/>
        <v>0</v>
      </c>
      <c r="T35" s="28">
        <f t="shared" si="12"/>
        <v>0</v>
      </c>
      <c r="U35" s="28">
        <f t="shared" si="12"/>
        <v>0</v>
      </c>
      <c r="V35" s="28">
        <f t="shared" si="12"/>
        <v>0</v>
      </c>
      <c r="W35" s="28">
        <f t="shared" si="12"/>
        <v>-1.0869565217404589E-2</v>
      </c>
      <c r="X35" s="29">
        <f t="shared" si="12"/>
        <v>-1.0869565217404589E-2</v>
      </c>
      <c r="Y35" s="24"/>
    </row>
    <row r="36" spans="2:25" ht="15" customHeight="1" x14ac:dyDescent="0.2">
      <c r="B36" s="31">
        <v>42404</v>
      </c>
      <c r="C36" s="33"/>
      <c r="D36" s="16"/>
      <c r="E36" s="16"/>
      <c r="F36" s="16">
        <v>13.023999999999999</v>
      </c>
      <c r="G36" s="16">
        <v>9.7680000000000007</v>
      </c>
      <c r="H36" s="16">
        <v>10.196</v>
      </c>
      <c r="I36" s="17">
        <v>106.249</v>
      </c>
      <c r="J36" s="58">
        <v>2484</v>
      </c>
      <c r="K36" s="18">
        <f t="shared" si="4"/>
        <v>1524</v>
      </c>
      <c r="L36" s="19" t="str">
        <f t="shared" si="6"/>
        <v/>
      </c>
      <c r="M36" s="19" t="str">
        <f t="shared" si="7"/>
        <v/>
      </c>
      <c r="N36" s="19" t="str">
        <f t="shared" si="8"/>
        <v/>
      </c>
      <c r="O36" s="19">
        <f t="shared" si="9"/>
        <v>0.99999999999944578</v>
      </c>
      <c r="P36" s="19">
        <f t="shared" si="10"/>
        <v>0</v>
      </c>
      <c r="Q36" s="19">
        <f t="shared" si="11"/>
        <v>-0.99999999999944578</v>
      </c>
      <c r="R36" s="19">
        <f t="shared" si="1"/>
        <v>-2.0000000000095497</v>
      </c>
      <c r="S36" s="27" t="str">
        <f t="shared" si="12"/>
        <v/>
      </c>
      <c r="T36" s="28" t="str">
        <f t="shared" si="12"/>
        <v/>
      </c>
      <c r="U36" s="28" t="str">
        <f t="shared" si="12"/>
        <v/>
      </c>
      <c r="V36" s="28">
        <f t="shared" si="12"/>
        <v>0</v>
      </c>
      <c r="W36" s="28">
        <f t="shared" si="12"/>
        <v>1.0752688172056152E-2</v>
      </c>
      <c r="X36" s="29">
        <f t="shared" si="12"/>
        <v>-1.0752688172037051E-2</v>
      </c>
      <c r="Y36" s="24"/>
    </row>
    <row r="37" spans="2:25" ht="15" customHeight="1" x14ac:dyDescent="0.2">
      <c r="B37" s="31">
        <v>42530</v>
      </c>
      <c r="C37" s="26"/>
      <c r="D37" s="26"/>
      <c r="E37" s="26"/>
      <c r="F37" s="16">
        <v>13.023999999999999</v>
      </c>
      <c r="G37" s="16">
        <v>9.7680000000000007</v>
      </c>
      <c r="H37" s="16">
        <v>10.196999999999999</v>
      </c>
      <c r="I37" s="17">
        <v>106.249</v>
      </c>
      <c r="J37" s="58">
        <v>2608</v>
      </c>
      <c r="K37" s="18">
        <f t="shared" si="4"/>
        <v>1648</v>
      </c>
      <c r="L37" s="19" t="str">
        <f t="shared" si="6"/>
        <v/>
      </c>
      <c r="M37" s="19" t="str">
        <f t="shared" si="7"/>
        <v/>
      </c>
      <c r="N37" s="19" t="str">
        <f t="shared" si="8"/>
        <v/>
      </c>
      <c r="O37" s="19">
        <f t="shared" si="9"/>
        <v>0.99999999999944578</v>
      </c>
      <c r="P37" s="19">
        <f t="shared" si="10"/>
        <v>0</v>
      </c>
      <c r="Q37" s="19">
        <f t="shared" si="11"/>
        <v>0</v>
      </c>
      <c r="R37" s="19">
        <f t="shared" si="1"/>
        <v>-2.0000000000095497</v>
      </c>
      <c r="S37" s="27" t="str">
        <f t="shared" si="12"/>
        <v/>
      </c>
      <c r="T37" s="28" t="str">
        <f t="shared" si="12"/>
        <v/>
      </c>
      <c r="U37" s="28" t="str">
        <f t="shared" si="12"/>
        <v/>
      </c>
      <c r="V37" s="28">
        <f t="shared" si="12"/>
        <v>0</v>
      </c>
      <c r="W37" s="28">
        <f t="shared" si="12"/>
        <v>0</v>
      </c>
      <c r="X37" s="29">
        <f t="shared" si="12"/>
        <v>7.9365079365035385E-3</v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59"/>
      <c r="L38" s="19" t="str">
        <f t="shared" si="6"/>
        <v/>
      </c>
      <c r="M38" s="19" t="str">
        <f t="shared" si="7"/>
        <v/>
      </c>
      <c r="N38" s="19" t="str">
        <f t="shared" si="8"/>
        <v/>
      </c>
      <c r="O38" s="19" t="str">
        <f t="shared" si="9"/>
        <v/>
      </c>
      <c r="P38" s="19" t="str">
        <f t="shared" si="10"/>
        <v/>
      </c>
      <c r="Q38" s="19" t="str">
        <f t="shared" si="11"/>
        <v/>
      </c>
      <c r="R38" s="19" t="str">
        <f t="shared" si="1"/>
        <v/>
      </c>
      <c r="S38" s="27" t="str">
        <f t="shared" si="12"/>
        <v/>
      </c>
      <c r="T38" s="28" t="str">
        <f t="shared" si="12"/>
        <v/>
      </c>
      <c r="U38" s="28" t="str">
        <f t="shared" si="12"/>
        <v/>
      </c>
      <c r="V38" s="28" t="str">
        <f t="shared" si="12"/>
        <v/>
      </c>
      <c r="W38" s="28" t="str">
        <f t="shared" si="12"/>
        <v/>
      </c>
      <c r="X38" s="29" t="str">
        <f t="shared" si="12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59"/>
      <c r="L39" s="19" t="str">
        <f t="shared" si="6"/>
        <v/>
      </c>
      <c r="M39" s="19" t="str">
        <f t="shared" si="7"/>
        <v/>
      </c>
      <c r="N39" s="19" t="str">
        <f t="shared" si="8"/>
        <v/>
      </c>
      <c r="O39" s="19" t="str">
        <f t="shared" si="9"/>
        <v/>
      </c>
      <c r="P39" s="19" t="str">
        <f t="shared" si="10"/>
        <v/>
      </c>
      <c r="Q39" s="19" t="str">
        <f t="shared" si="11"/>
        <v/>
      </c>
      <c r="R39" s="19" t="str">
        <f t="shared" si="1"/>
        <v/>
      </c>
      <c r="S39" s="27" t="str">
        <f t="shared" si="12"/>
        <v/>
      </c>
      <c r="T39" s="28" t="str">
        <f t="shared" si="12"/>
        <v/>
      </c>
      <c r="U39" s="28" t="str">
        <f t="shared" si="12"/>
        <v/>
      </c>
      <c r="V39" s="28" t="str">
        <f t="shared" si="12"/>
        <v/>
      </c>
      <c r="W39" s="28" t="str">
        <f t="shared" si="12"/>
        <v/>
      </c>
      <c r="X39" s="29" t="str">
        <f t="shared" si="12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59"/>
      <c r="L40" s="19" t="str">
        <f t="shared" si="6"/>
        <v/>
      </c>
      <c r="M40" s="19" t="str">
        <f t="shared" si="7"/>
        <v/>
      </c>
      <c r="N40" s="19" t="str">
        <f t="shared" si="8"/>
        <v/>
      </c>
      <c r="O40" s="19" t="str">
        <f t="shared" si="9"/>
        <v/>
      </c>
      <c r="P40" s="19" t="str">
        <f t="shared" si="10"/>
        <v/>
      </c>
      <c r="Q40" s="19" t="str">
        <f t="shared" si="11"/>
        <v/>
      </c>
      <c r="R40" s="19" t="str">
        <f t="shared" si="1"/>
        <v/>
      </c>
      <c r="S40" s="27" t="str">
        <f t="shared" si="12"/>
        <v/>
      </c>
      <c r="T40" s="28" t="str">
        <f t="shared" si="12"/>
        <v/>
      </c>
      <c r="U40" s="28" t="str">
        <f t="shared" si="12"/>
        <v/>
      </c>
      <c r="V40" s="28" t="str">
        <f t="shared" si="12"/>
        <v/>
      </c>
      <c r="W40" s="28" t="str">
        <f t="shared" si="12"/>
        <v/>
      </c>
      <c r="X40" s="29" t="str">
        <f t="shared" si="12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59"/>
      <c r="L41" s="19" t="str">
        <f t="shared" si="6"/>
        <v/>
      </c>
      <c r="M41" s="19" t="str">
        <f t="shared" si="7"/>
        <v/>
      </c>
      <c r="N41" s="19" t="str">
        <f t="shared" si="8"/>
        <v/>
      </c>
      <c r="O41" s="19" t="str">
        <f t="shared" si="9"/>
        <v/>
      </c>
      <c r="P41" s="19" t="str">
        <f t="shared" si="10"/>
        <v/>
      </c>
      <c r="Q41" s="19" t="str">
        <f t="shared" si="11"/>
        <v/>
      </c>
      <c r="R41" s="19" t="str">
        <f t="shared" si="1"/>
        <v/>
      </c>
      <c r="S41" s="27" t="str">
        <f t="shared" si="12"/>
        <v/>
      </c>
      <c r="T41" s="28" t="str">
        <f t="shared" si="12"/>
        <v/>
      </c>
      <c r="U41" s="28" t="str">
        <f t="shared" si="12"/>
        <v/>
      </c>
      <c r="V41" s="28" t="str">
        <f t="shared" si="12"/>
        <v/>
      </c>
      <c r="W41" s="28" t="str">
        <f t="shared" si="12"/>
        <v/>
      </c>
      <c r="X41" s="29" t="str">
        <f t="shared" si="12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59"/>
      <c r="L42" s="19" t="str">
        <f t="shared" si="6"/>
        <v/>
      </c>
      <c r="M42" s="19" t="str">
        <f t="shared" si="7"/>
        <v/>
      </c>
      <c r="N42" s="19" t="str">
        <f t="shared" si="8"/>
        <v/>
      </c>
      <c r="O42" s="19" t="str">
        <f t="shared" si="9"/>
        <v/>
      </c>
      <c r="P42" s="19" t="str">
        <f t="shared" si="10"/>
        <v/>
      </c>
      <c r="Q42" s="19" t="str">
        <f t="shared" si="11"/>
        <v/>
      </c>
      <c r="R42" s="19" t="str">
        <f t="shared" si="1"/>
        <v/>
      </c>
      <c r="S42" s="27" t="str">
        <f t="shared" si="12"/>
        <v/>
      </c>
      <c r="T42" s="28" t="str">
        <f t="shared" si="12"/>
        <v/>
      </c>
      <c r="U42" s="28" t="str">
        <f t="shared" si="12"/>
        <v/>
      </c>
      <c r="V42" s="28" t="str">
        <f t="shared" si="12"/>
        <v/>
      </c>
      <c r="W42" s="28" t="str">
        <f t="shared" si="12"/>
        <v/>
      </c>
      <c r="X42" s="29" t="str">
        <f t="shared" si="12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59"/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 t="str">
        <f t="shared" si="9"/>
        <v/>
      </c>
      <c r="P43" s="19" t="str">
        <f t="shared" si="10"/>
        <v/>
      </c>
      <c r="Q43" s="19" t="str">
        <f t="shared" si="11"/>
        <v/>
      </c>
      <c r="R43" s="19" t="str">
        <f t="shared" si="1"/>
        <v/>
      </c>
      <c r="S43" s="27" t="str">
        <f t="shared" si="12"/>
        <v/>
      </c>
      <c r="T43" s="28" t="str">
        <f t="shared" si="12"/>
        <v/>
      </c>
      <c r="U43" s="28" t="str">
        <f t="shared" si="12"/>
        <v/>
      </c>
      <c r="V43" s="28" t="str">
        <f t="shared" si="12"/>
        <v/>
      </c>
      <c r="W43" s="28" t="str">
        <f t="shared" si="12"/>
        <v/>
      </c>
      <c r="X43" s="29" t="str">
        <f t="shared" si="12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 t="str">
        <f t="shared" si="9"/>
        <v/>
      </c>
      <c r="P44" s="19" t="str">
        <f t="shared" si="10"/>
        <v/>
      </c>
      <c r="Q44" s="19" t="str">
        <f t="shared" si="11"/>
        <v/>
      </c>
      <c r="R44" s="19" t="str">
        <f t="shared" si="1"/>
        <v/>
      </c>
      <c r="S44" s="27" t="str">
        <f t="shared" si="12"/>
        <v/>
      </c>
      <c r="T44" s="28" t="str">
        <f t="shared" si="12"/>
        <v/>
      </c>
      <c r="U44" s="28" t="str">
        <f t="shared" si="12"/>
        <v/>
      </c>
      <c r="V44" s="28" t="str">
        <f t="shared" si="12"/>
        <v/>
      </c>
      <c r="W44" s="28" t="str">
        <f t="shared" si="12"/>
        <v/>
      </c>
      <c r="X44" s="29" t="str">
        <f t="shared" si="12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12"/>
        <v/>
      </c>
      <c r="T45" s="28" t="str">
        <f t="shared" si="12"/>
        <v/>
      </c>
      <c r="U45" s="28" t="str">
        <f t="shared" si="12"/>
        <v/>
      </c>
      <c r="V45" s="28" t="str">
        <f t="shared" si="12"/>
        <v/>
      </c>
      <c r="W45" s="28" t="str">
        <f t="shared" si="12"/>
        <v/>
      </c>
      <c r="X45" s="29" t="str">
        <f t="shared" si="12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12"/>
        <v/>
      </c>
      <c r="T46" s="28" t="str">
        <f t="shared" si="12"/>
        <v/>
      </c>
      <c r="U46" s="28" t="str">
        <f t="shared" si="12"/>
        <v/>
      </c>
      <c r="V46" s="28" t="str">
        <f t="shared" si="12"/>
        <v/>
      </c>
      <c r="W46" s="28" t="str">
        <f t="shared" si="12"/>
        <v/>
      </c>
      <c r="X46" s="29" t="str">
        <f t="shared" si="12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12"/>
        <v/>
      </c>
      <c r="T47" s="28" t="str">
        <f t="shared" si="12"/>
        <v/>
      </c>
      <c r="U47" s="28" t="str">
        <f t="shared" si="12"/>
        <v/>
      </c>
      <c r="V47" s="28" t="str">
        <f t="shared" si="12"/>
        <v/>
      </c>
      <c r="W47" s="28" t="str">
        <f t="shared" si="12"/>
        <v/>
      </c>
      <c r="X47" s="29" t="str">
        <f t="shared" si="12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12"/>
        <v/>
      </c>
      <c r="T48" s="28" t="str">
        <f t="shared" si="12"/>
        <v/>
      </c>
      <c r="U48" s="28" t="str">
        <f t="shared" si="12"/>
        <v/>
      </c>
      <c r="V48" s="28" t="str">
        <f t="shared" si="12"/>
        <v/>
      </c>
      <c r="W48" s="28" t="str">
        <f t="shared" si="12"/>
        <v/>
      </c>
      <c r="X48" s="29" t="str">
        <f t="shared" si="12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3">IF(C49="","",((C49-C48)*1000)/($B49-$B48))</f>
        <v/>
      </c>
      <c r="T49" s="28" t="str">
        <f t="shared" si="13"/>
        <v/>
      </c>
      <c r="U49" s="28" t="str">
        <f t="shared" si="13"/>
        <v/>
      </c>
      <c r="V49" s="28" t="str">
        <f t="shared" si="13"/>
        <v/>
      </c>
      <c r="W49" s="28" t="str">
        <f t="shared" si="13"/>
        <v/>
      </c>
      <c r="X49" s="29" t="str">
        <f t="shared" si="13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3"/>
        <v/>
      </c>
      <c r="T50" s="28" t="str">
        <f t="shared" si="13"/>
        <v/>
      </c>
      <c r="U50" s="28" t="str">
        <f t="shared" si="13"/>
        <v/>
      </c>
      <c r="V50" s="28" t="str">
        <f t="shared" si="13"/>
        <v/>
      </c>
      <c r="W50" s="28" t="str">
        <f t="shared" si="13"/>
        <v/>
      </c>
      <c r="X50" s="29" t="str">
        <f t="shared" si="13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3"/>
        <v/>
      </c>
      <c r="T51" s="28" t="str">
        <f t="shared" si="13"/>
        <v/>
      </c>
      <c r="U51" s="28" t="str">
        <f t="shared" si="13"/>
        <v/>
      </c>
      <c r="V51" s="28" t="str">
        <f t="shared" si="13"/>
        <v/>
      </c>
      <c r="W51" s="28" t="str">
        <f t="shared" si="13"/>
        <v/>
      </c>
      <c r="X51" s="29" t="str">
        <f t="shared" si="13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3"/>
        <v/>
      </c>
      <c r="T52" s="28" t="str">
        <f t="shared" si="13"/>
        <v/>
      </c>
      <c r="U52" s="28" t="str">
        <f t="shared" si="13"/>
        <v/>
      </c>
      <c r="V52" s="28" t="str">
        <f t="shared" si="13"/>
        <v/>
      </c>
      <c r="W52" s="28" t="str">
        <f t="shared" si="13"/>
        <v/>
      </c>
      <c r="X52" s="29" t="str">
        <f t="shared" si="13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3"/>
        <v/>
      </c>
      <c r="T53" s="28" t="str">
        <f t="shared" si="13"/>
        <v/>
      </c>
      <c r="U53" s="28" t="str">
        <f t="shared" si="13"/>
        <v/>
      </c>
      <c r="V53" s="28" t="str">
        <f t="shared" si="13"/>
        <v/>
      </c>
      <c r="W53" s="28" t="str">
        <f t="shared" si="13"/>
        <v/>
      </c>
      <c r="X53" s="29" t="str">
        <f t="shared" si="13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3"/>
        <v/>
      </c>
      <c r="T54" s="28" t="str">
        <f t="shared" si="13"/>
        <v/>
      </c>
      <c r="U54" s="28" t="str">
        <f t="shared" si="13"/>
        <v/>
      </c>
      <c r="V54" s="28" t="str">
        <f t="shared" si="13"/>
        <v/>
      </c>
      <c r="W54" s="28" t="str">
        <f t="shared" si="13"/>
        <v/>
      </c>
      <c r="X54" s="29" t="str">
        <f t="shared" si="13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3"/>
        <v/>
      </c>
      <c r="T55" s="28" t="str">
        <f t="shared" si="13"/>
        <v/>
      </c>
      <c r="U55" s="28" t="str">
        <f t="shared" si="13"/>
        <v/>
      </c>
      <c r="V55" s="28" t="str">
        <f t="shared" si="13"/>
        <v/>
      </c>
      <c r="W55" s="28" t="str">
        <f t="shared" si="13"/>
        <v/>
      </c>
      <c r="X55" s="29" t="str">
        <f t="shared" si="13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3"/>
        <v/>
      </c>
      <c r="T56" s="28" t="str">
        <f t="shared" si="13"/>
        <v/>
      </c>
      <c r="U56" s="28" t="str">
        <f t="shared" si="13"/>
        <v/>
      </c>
      <c r="V56" s="28" t="str">
        <f t="shared" si="13"/>
        <v/>
      </c>
      <c r="W56" s="28" t="str">
        <f t="shared" si="13"/>
        <v/>
      </c>
      <c r="X56" s="29" t="str">
        <f t="shared" si="13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3"/>
        <v/>
      </c>
      <c r="T57" s="28" t="str">
        <f t="shared" si="13"/>
        <v/>
      </c>
      <c r="U57" s="28" t="str">
        <f t="shared" si="13"/>
        <v/>
      </c>
      <c r="V57" s="28" t="str">
        <f t="shared" si="13"/>
        <v/>
      </c>
      <c r="W57" s="28" t="str">
        <f t="shared" si="13"/>
        <v/>
      </c>
      <c r="X57" s="29" t="str">
        <f t="shared" si="13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3"/>
        <v/>
      </c>
      <c r="T58" s="28" t="str">
        <f t="shared" si="13"/>
        <v/>
      </c>
      <c r="U58" s="28" t="str">
        <f t="shared" si="13"/>
        <v/>
      </c>
      <c r="V58" s="28" t="str">
        <f t="shared" si="13"/>
        <v/>
      </c>
      <c r="W58" s="28" t="str">
        <f t="shared" si="13"/>
        <v/>
      </c>
      <c r="X58" s="29" t="str">
        <f t="shared" si="13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3"/>
        <v/>
      </c>
      <c r="T59" s="28" t="str">
        <f t="shared" si="13"/>
        <v/>
      </c>
      <c r="U59" s="28" t="str">
        <f t="shared" si="13"/>
        <v/>
      </c>
      <c r="V59" s="28" t="str">
        <f t="shared" si="13"/>
        <v/>
      </c>
      <c r="W59" s="28" t="str">
        <f t="shared" si="13"/>
        <v/>
      </c>
      <c r="X59" s="29" t="str">
        <f t="shared" si="13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3"/>
        <v/>
      </c>
      <c r="T60" s="28" t="str">
        <f t="shared" si="13"/>
        <v/>
      </c>
      <c r="U60" s="28" t="str">
        <f t="shared" si="13"/>
        <v/>
      </c>
      <c r="V60" s="28" t="str">
        <f t="shared" si="13"/>
        <v/>
      </c>
      <c r="W60" s="28" t="str">
        <f t="shared" si="13"/>
        <v/>
      </c>
      <c r="X60" s="29" t="str">
        <f t="shared" si="13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3"/>
        <v/>
      </c>
      <c r="T61" s="28" t="str">
        <f t="shared" si="13"/>
        <v/>
      </c>
      <c r="U61" s="28" t="str">
        <f t="shared" si="13"/>
        <v/>
      </c>
      <c r="V61" s="28" t="str">
        <f t="shared" si="13"/>
        <v/>
      </c>
      <c r="W61" s="28" t="str">
        <f t="shared" si="13"/>
        <v/>
      </c>
      <c r="X61" s="29" t="str">
        <f t="shared" si="13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3"/>
        <v/>
      </c>
      <c r="T62" s="28" t="str">
        <f t="shared" si="13"/>
        <v/>
      </c>
      <c r="U62" s="28" t="str">
        <f t="shared" si="13"/>
        <v/>
      </c>
      <c r="V62" s="28" t="str">
        <f t="shared" si="13"/>
        <v/>
      </c>
      <c r="W62" s="28" t="str">
        <f t="shared" si="13"/>
        <v/>
      </c>
      <c r="X62" s="29" t="str">
        <f t="shared" si="13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3"/>
        <v/>
      </c>
      <c r="T63" s="28" t="str">
        <f t="shared" si="13"/>
        <v/>
      </c>
      <c r="U63" s="28" t="str">
        <f t="shared" si="13"/>
        <v/>
      </c>
      <c r="V63" s="28" t="str">
        <f t="shared" si="13"/>
        <v/>
      </c>
      <c r="W63" s="28" t="str">
        <f t="shared" si="13"/>
        <v/>
      </c>
      <c r="X63" s="29" t="str">
        <f t="shared" si="13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3"/>
        <v/>
      </c>
      <c r="T64" s="28" t="str">
        <f t="shared" si="13"/>
        <v/>
      </c>
      <c r="U64" s="28" t="str">
        <f t="shared" si="13"/>
        <v/>
      </c>
      <c r="V64" s="28" t="str">
        <f t="shared" si="13"/>
        <v/>
      </c>
      <c r="W64" s="28" t="str">
        <f t="shared" si="13"/>
        <v/>
      </c>
      <c r="X64" s="29" t="str">
        <f t="shared" si="13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4">IF(C65="","",((C65-C64)*1000)/($B65-$B64))</f>
        <v/>
      </c>
      <c r="T65" s="28" t="str">
        <f t="shared" si="14"/>
        <v/>
      </c>
      <c r="U65" s="28" t="str">
        <f t="shared" si="14"/>
        <v/>
      </c>
      <c r="V65" s="28" t="str">
        <f t="shared" si="14"/>
        <v/>
      </c>
      <c r="W65" s="28" t="str">
        <f t="shared" si="14"/>
        <v/>
      </c>
      <c r="X65" s="29" t="str">
        <f t="shared" si="14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4"/>
        <v/>
      </c>
      <c r="T66" s="28" t="str">
        <f t="shared" si="14"/>
        <v/>
      </c>
      <c r="U66" s="28" t="str">
        <f t="shared" si="14"/>
        <v/>
      </c>
      <c r="V66" s="28" t="str">
        <f t="shared" si="14"/>
        <v/>
      </c>
      <c r="W66" s="28" t="str">
        <f t="shared" si="14"/>
        <v/>
      </c>
      <c r="X66" s="29" t="str">
        <f t="shared" si="14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4"/>
        <v/>
      </c>
      <c r="T67" s="28" t="str">
        <f t="shared" si="14"/>
        <v/>
      </c>
      <c r="U67" s="28" t="str">
        <f t="shared" si="14"/>
        <v/>
      </c>
      <c r="V67" s="28" t="str">
        <f t="shared" si="14"/>
        <v/>
      </c>
      <c r="W67" s="28" t="str">
        <f t="shared" si="14"/>
        <v/>
      </c>
      <c r="X67" s="29" t="str">
        <f t="shared" si="14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4"/>
        <v/>
      </c>
      <c r="T68" s="28" t="str">
        <f t="shared" si="14"/>
        <v/>
      </c>
      <c r="U68" s="28" t="str">
        <f t="shared" si="14"/>
        <v/>
      </c>
      <c r="V68" s="28" t="str">
        <f t="shared" si="14"/>
        <v/>
      </c>
      <c r="W68" s="28" t="str">
        <f t="shared" si="14"/>
        <v/>
      </c>
      <c r="X68" s="29" t="str">
        <f t="shared" si="14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4"/>
        <v/>
      </c>
      <c r="T69" s="28" t="str">
        <f t="shared" si="14"/>
        <v/>
      </c>
      <c r="U69" s="28" t="str">
        <f t="shared" si="14"/>
        <v/>
      </c>
      <c r="V69" s="28" t="str">
        <f t="shared" si="14"/>
        <v/>
      </c>
      <c r="W69" s="28" t="str">
        <f t="shared" si="14"/>
        <v/>
      </c>
      <c r="X69" s="29" t="str">
        <f t="shared" si="14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4"/>
        <v/>
      </c>
      <c r="T70" s="28" t="str">
        <f t="shared" si="14"/>
        <v/>
      </c>
      <c r="U70" s="28" t="str">
        <f t="shared" si="14"/>
        <v/>
      </c>
      <c r="V70" s="28" t="str">
        <f t="shared" si="14"/>
        <v/>
      </c>
      <c r="W70" s="28" t="str">
        <f t="shared" si="14"/>
        <v/>
      </c>
      <c r="X70" s="29" t="str">
        <f t="shared" si="14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4"/>
        <v/>
      </c>
      <c r="T71" s="28" t="str">
        <f t="shared" si="14"/>
        <v/>
      </c>
      <c r="U71" s="28" t="str">
        <f t="shared" si="14"/>
        <v/>
      </c>
      <c r="V71" s="28" t="str">
        <f t="shared" si="14"/>
        <v/>
      </c>
      <c r="W71" s="28" t="str">
        <f t="shared" si="14"/>
        <v/>
      </c>
      <c r="X71" s="29" t="str">
        <f t="shared" si="14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4"/>
        <v/>
      </c>
      <c r="T72" s="28" t="str">
        <f t="shared" si="14"/>
        <v/>
      </c>
      <c r="U72" s="28" t="str">
        <f t="shared" si="14"/>
        <v/>
      </c>
      <c r="V72" s="28" t="str">
        <f t="shared" si="14"/>
        <v/>
      </c>
      <c r="W72" s="28" t="str">
        <f t="shared" si="14"/>
        <v/>
      </c>
      <c r="X72" s="29" t="str">
        <f t="shared" si="14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4"/>
        <v/>
      </c>
      <c r="T73" s="28" t="str">
        <f t="shared" si="14"/>
        <v/>
      </c>
      <c r="U73" s="28" t="str">
        <f t="shared" si="14"/>
        <v/>
      </c>
      <c r="V73" s="28" t="str">
        <f t="shared" si="14"/>
        <v/>
      </c>
      <c r="W73" s="28" t="str">
        <f t="shared" si="14"/>
        <v/>
      </c>
      <c r="X73" s="29" t="str">
        <f t="shared" si="14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4"/>
        <v/>
      </c>
      <c r="T74" s="28" t="str">
        <f t="shared" si="14"/>
        <v/>
      </c>
      <c r="U74" s="28" t="str">
        <f t="shared" si="14"/>
        <v/>
      </c>
      <c r="V74" s="28" t="str">
        <f t="shared" si="14"/>
        <v/>
      </c>
      <c r="W74" s="28" t="str">
        <f t="shared" si="14"/>
        <v/>
      </c>
      <c r="X74" s="29" t="str">
        <f t="shared" si="14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4"/>
        <v/>
      </c>
      <c r="T75" s="28" t="str">
        <f t="shared" si="14"/>
        <v/>
      </c>
      <c r="U75" s="28" t="str">
        <f t="shared" si="14"/>
        <v/>
      </c>
      <c r="V75" s="28" t="str">
        <f t="shared" si="14"/>
        <v/>
      </c>
      <c r="W75" s="28" t="str">
        <f t="shared" si="14"/>
        <v/>
      </c>
      <c r="X75" s="29" t="str">
        <f t="shared" si="14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4"/>
        <v/>
      </c>
      <c r="T76" s="28" t="str">
        <f t="shared" si="14"/>
        <v/>
      </c>
      <c r="U76" s="28" t="str">
        <f t="shared" si="14"/>
        <v/>
      </c>
      <c r="V76" s="28" t="str">
        <f t="shared" si="14"/>
        <v/>
      </c>
      <c r="W76" s="28" t="str">
        <f t="shared" si="14"/>
        <v/>
      </c>
      <c r="X76" s="29" t="str">
        <f t="shared" si="14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4"/>
        <v/>
      </c>
      <c r="T77" s="28" t="str">
        <f t="shared" si="14"/>
        <v/>
      </c>
      <c r="U77" s="28" t="str">
        <f t="shared" si="14"/>
        <v/>
      </c>
      <c r="V77" s="28" t="str">
        <f t="shared" si="14"/>
        <v/>
      </c>
      <c r="W77" s="28" t="str">
        <f t="shared" si="14"/>
        <v/>
      </c>
      <c r="X77" s="29" t="str">
        <f t="shared" si="14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4"/>
        <v/>
      </c>
      <c r="T78" s="28" t="str">
        <f t="shared" si="14"/>
        <v/>
      </c>
      <c r="U78" s="28" t="str">
        <f t="shared" si="14"/>
        <v/>
      </c>
      <c r="V78" s="28" t="str">
        <f t="shared" si="14"/>
        <v/>
      </c>
      <c r="W78" s="28" t="str">
        <f t="shared" si="14"/>
        <v/>
      </c>
      <c r="X78" s="29" t="str">
        <f t="shared" si="14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4"/>
        <v/>
      </c>
      <c r="T79" s="28" t="str">
        <f t="shared" si="14"/>
        <v/>
      </c>
      <c r="U79" s="28" t="str">
        <f t="shared" si="14"/>
        <v/>
      </c>
      <c r="V79" s="28" t="str">
        <f t="shared" si="14"/>
        <v/>
      </c>
      <c r="W79" s="28" t="str">
        <f t="shared" si="14"/>
        <v/>
      </c>
      <c r="X79" s="29" t="str">
        <f t="shared" si="14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5">IF(ISBLANK(I80),"",(I80-I$16)*1000)</f>
        <v/>
      </c>
      <c r="S80" s="27" t="str">
        <f t="shared" si="14"/>
        <v/>
      </c>
      <c r="T80" s="28" t="str">
        <f t="shared" si="14"/>
        <v/>
      </c>
      <c r="U80" s="28" t="str">
        <f t="shared" si="14"/>
        <v/>
      </c>
      <c r="V80" s="28" t="str">
        <f t="shared" si="14"/>
        <v/>
      </c>
      <c r="W80" s="28" t="str">
        <f t="shared" si="14"/>
        <v/>
      </c>
      <c r="X80" s="29" t="str">
        <f t="shared" si="14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5"/>
        <v/>
      </c>
      <c r="S81" s="27" t="str">
        <f t="shared" ref="S81:X96" si="16">IF(C81="","",((C81-C80)*1000)/($B81-$B80))</f>
        <v/>
      </c>
      <c r="T81" s="28" t="str">
        <f t="shared" si="16"/>
        <v/>
      </c>
      <c r="U81" s="28" t="str">
        <f t="shared" si="16"/>
        <v/>
      </c>
      <c r="V81" s="28" t="str">
        <f t="shared" si="16"/>
        <v/>
      </c>
      <c r="W81" s="28" t="str">
        <f t="shared" si="16"/>
        <v/>
      </c>
      <c r="X81" s="29" t="str">
        <f t="shared" si="16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5"/>
        <v/>
      </c>
      <c r="S82" s="27" t="str">
        <f t="shared" si="16"/>
        <v/>
      </c>
      <c r="T82" s="28" t="str">
        <f t="shared" si="16"/>
        <v/>
      </c>
      <c r="U82" s="28" t="str">
        <f t="shared" si="16"/>
        <v/>
      </c>
      <c r="V82" s="28" t="str">
        <f t="shared" si="16"/>
        <v/>
      </c>
      <c r="W82" s="28" t="str">
        <f t="shared" si="16"/>
        <v/>
      </c>
      <c r="X82" s="29" t="str">
        <f t="shared" si="16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5"/>
        <v/>
      </c>
      <c r="S83" s="27" t="str">
        <f t="shared" si="16"/>
        <v/>
      </c>
      <c r="T83" s="28" t="str">
        <f t="shared" si="16"/>
        <v/>
      </c>
      <c r="U83" s="28" t="str">
        <f t="shared" si="16"/>
        <v/>
      </c>
      <c r="V83" s="28" t="str">
        <f t="shared" si="16"/>
        <v/>
      </c>
      <c r="W83" s="28" t="str">
        <f t="shared" si="16"/>
        <v/>
      </c>
      <c r="X83" s="29" t="str">
        <f t="shared" si="16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5"/>
        <v/>
      </c>
      <c r="S84" s="27" t="str">
        <f t="shared" si="16"/>
        <v/>
      </c>
      <c r="T84" s="28" t="str">
        <f t="shared" si="16"/>
        <v/>
      </c>
      <c r="U84" s="28" t="str">
        <f t="shared" si="16"/>
        <v/>
      </c>
      <c r="V84" s="28" t="str">
        <f t="shared" si="16"/>
        <v/>
      </c>
      <c r="W84" s="28" t="str">
        <f t="shared" si="16"/>
        <v/>
      </c>
      <c r="X84" s="29" t="str">
        <f t="shared" si="16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5"/>
        <v/>
      </c>
      <c r="S85" s="27" t="str">
        <f t="shared" si="16"/>
        <v/>
      </c>
      <c r="T85" s="28" t="str">
        <f t="shared" si="16"/>
        <v/>
      </c>
      <c r="U85" s="28" t="str">
        <f t="shared" si="16"/>
        <v/>
      </c>
      <c r="V85" s="28" t="str">
        <f t="shared" si="16"/>
        <v/>
      </c>
      <c r="W85" s="28" t="str">
        <f t="shared" si="16"/>
        <v/>
      </c>
      <c r="X85" s="29" t="str">
        <f t="shared" si="16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5"/>
        <v/>
      </c>
      <c r="S86" s="27" t="str">
        <f t="shared" si="16"/>
        <v/>
      </c>
      <c r="T86" s="28" t="str">
        <f t="shared" si="16"/>
        <v/>
      </c>
      <c r="U86" s="28" t="str">
        <f t="shared" si="16"/>
        <v/>
      </c>
      <c r="V86" s="28" t="str">
        <f t="shared" si="16"/>
        <v/>
      </c>
      <c r="W86" s="28" t="str">
        <f t="shared" si="16"/>
        <v/>
      </c>
      <c r="X86" s="29" t="str">
        <f t="shared" si="16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5"/>
        <v/>
      </c>
      <c r="S87" s="27" t="str">
        <f t="shared" si="16"/>
        <v/>
      </c>
      <c r="T87" s="28" t="str">
        <f t="shared" si="16"/>
        <v/>
      </c>
      <c r="U87" s="28" t="str">
        <f t="shared" si="16"/>
        <v/>
      </c>
      <c r="V87" s="28" t="str">
        <f t="shared" si="16"/>
        <v/>
      </c>
      <c r="W87" s="28" t="str">
        <f t="shared" si="16"/>
        <v/>
      </c>
      <c r="X87" s="29" t="str">
        <f t="shared" si="16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5"/>
        <v/>
      </c>
      <c r="S88" s="27" t="str">
        <f t="shared" si="16"/>
        <v/>
      </c>
      <c r="T88" s="28" t="str">
        <f t="shared" si="16"/>
        <v/>
      </c>
      <c r="U88" s="28" t="str">
        <f t="shared" si="16"/>
        <v/>
      </c>
      <c r="V88" s="28" t="str">
        <f t="shared" si="16"/>
        <v/>
      </c>
      <c r="W88" s="28" t="str">
        <f t="shared" si="16"/>
        <v/>
      </c>
      <c r="X88" s="29" t="str">
        <f t="shared" si="16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5"/>
        <v/>
      </c>
      <c r="S89" s="27" t="str">
        <f t="shared" si="16"/>
        <v/>
      </c>
      <c r="T89" s="28" t="str">
        <f t="shared" si="16"/>
        <v/>
      </c>
      <c r="U89" s="28" t="str">
        <f t="shared" si="16"/>
        <v/>
      </c>
      <c r="V89" s="28" t="str">
        <f t="shared" si="16"/>
        <v/>
      </c>
      <c r="W89" s="28" t="str">
        <f t="shared" si="16"/>
        <v/>
      </c>
      <c r="X89" s="29" t="str">
        <f t="shared" si="16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5"/>
        <v/>
      </c>
      <c r="S90" s="27" t="str">
        <f t="shared" si="16"/>
        <v/>
      </c>
      <c r="T90" s="28" t="str">
        <f t="shared" si="16"/>
        <v/>
      </c>
      <c r="U90" s="28" t="str">
        <f t="shared" si="16"/>
        <v/>
      </c>
      <c r="V90" s="28" t="str">
        <f t="shared" si="16"/>
        <v/>
      </c>
      <c r="W90" s="28" t="str">
        <f t="shared" si="16"/>
        <v/>
      </c>
      <c r="X90" s="29" t="str">
        <f t="shared" si="16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5"/>
        <v/>
      </c>
      <c r="S91" s="27" t="str">
        <f t="shared" si="16"/>
        <v/>
      </c>
      <c r="T91" s="28" t="str">
        <f t="shared" si="16"/>
        <v/>
      </c>
      <c r="U91" s="28" t="str">
        <f t="shared" si="16"/>
        <v/>
      </c>
      <c r="V91" s="28" t="str">
        <f t="shared" si="16"/>
        <v/>
      </c>
      <c r="W91" s="28" t="str">
        <f t="shared" si="16"/>
        <v/>
      </c>
      <c r="X91" s="29" t="str">
        <f t="shared" si="16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5"/>
        <v/>
      </c>
      <c r="S92" s="27" t="str">
        <f t="shared" si="16"/>
        <v/>
      </c>
      <c r="T92" s="28" t="str">
        <f t="shared" si="16"/>
        <v/>
      </c>
      <c r="U92" s="28" t="str">
        <f t="shared" si="16"/>
        <v/>
      </c>
      <c r="V92" s="28" t="str">
        <f t="shared" si="16"/>
        <v/>
      </c>
      <c r="W92" s="28" t="str">
        <f t="shared" si="16"/>
        <v/>
      </c>
      <c r="X92" s="29" t="str">
        <f t="shared" si="16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5"/>
        <v/>
      </c>
      <c r="S93" s="27" t="str">
        <f t="shared" si="16"/>
        <v/>
      </c>
      <c r="T93" s="28" t="str">
        <f t="shared" si="16"/>
        <v/>
      </c>
      <c r="U93" s="28" t="str">
        <f t="shared" si="16"/>
        <v/>
      </c>
      <c r="V93" s="28" t="str">
        <f t="shared" si="16"/>
        <v/>
      </c>
      <c r="W93" s="28" t="str">
        <f t="shared" si="16"/>
        <v/>
      </c>
      <c r="X93" s="29" t="str">
        <f t="shared" si="16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5"/>
        <v/>
      </c>
      <c r="S94" s="27" t="str">
        <f t="shared" si="16"/>
        <v/>
      </c>
      <c r="T94" s="28" t="str">
        <f t="shared" si="16"/>
        <v/>
      </c>
      <c r="U94" s="28" t="str">
        <f t="shared" si="16"/>
        <v/>
      </c>
      <c r="V94" s="28" t="str">
        <f t="shared" si="16"/>
        <v/>
      </c>
      <c r="W94" s="28" t="str">
        <f t="shared" si="16"/>
        <v/>
      </c>
      <c r="X94" s="29" t="str">
        <f t="shared" si="16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5"/>
        <v/>
      </c>
      <c r="S95" s="27" t="str">
        <f t="shared" si="16"/>
        <v/>
      </c>
      <c r="T95" s="28" t="str">
        <f t="shared" si="16"/>
        <v/>
      </c>
      <c r="U95" s="28" t="str">
        <f t="shared" si="16"/>
        <v/>
      </c>
      <c r="V95" s="28" t="str">
        <f t="shared" si="16"/>
        <v/>
      </c>
      <c r="W95" s="28" t="str">
        <f t="shared" si="16"/>
        <v/>
      </c>
      <c r="X95" s="29" t="str">
        <f t="shared" si="16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5"/>
        <v/>
      </c>
      <c r="S96" s="27" t="str">
        <f t="shared" si="16"/>
        <v/>
      </c>
      <c r="T96" s="28" t="str">
        <f t="shared" si="16"/>
        <v/>
      </c>
      <c r="U96" s="28" t="str">
        <f t="shared" si="16"/>
        <v/>
      </c>
      <c r="V96" s="28" t="str">
        <f t="shared" si="16"/>
        <v/>
      </c>
      <c r="W96" s="28" t="str">
        <f t="shared" si="16"/>
        <v/>
      </c>
      <c r="X96" s="29" t="str">
        <f t="shared" si="16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ref="L97:L153" si="17">IF(ISBLANK(C97),"",(C97-C$32)*1000)</f>
        <v/>
      </c>
      <c r="M97" s="19" t="str">
        <f t="shared" ref="M97:M153" si="18">IF(ISBLANK(D97),"",(D97-D$32)*1000)</f>
        <v/>
      </c>
      <c r="N97" s="19" t="str">
        <f t="shared" ref="N97:N153" si="19">IF(ISBLANK(E97),"",(E97-E$32)*1000)</f>
        <v/>
      </c>
      <c r="O97" s="19" t="str">
        <f t="shared" ref="O97:O153" si="20">IF(ISBLANK(F97),"",(F97-F$32)*1000)</f>
        <v/>
      </c>
      <c r="P97" s="19" t="str">
        <f t="shared" ref="P97:P153" si="21">IF(ISBLANK(G97),"",(G97-G$32)*1000)</f>
        <v/>
      </c>
      <c r="Q97" s="19" t="str">
        <f t="shared" ref="Q97:Q153" si="22">IF(ISBLANK(H97),"",(H97-H$32)*1000)</f>
        <v/>
      </c>
      <c r="R97" s="19" t="str">
        <f t="shared" si="15"/>
        <v/>
      </c>
      <c r="S97" s="27" t="str">
        <f t="shared" ref="S97:X112" si="23">IF(C97="","",((C97-C96)*1000)/($B97-$B96))</f>
        <v/>
      </c>
      <c r="T97" s="28" t="str">
        <f t="shared" si="23"/>
        <v/>
      </c>
      <c r="U97" s="28" t="str">
        <f t="shared" si="23"/>
        <v/>
      </c>
      <c r="V97" s="28" t="str">
        <f t="shared" si="23"/>
        <v/>
      </c>
      <c r="W97" s="28" t="str">
        <f t="shared" si="23"/>
        <v/>
      </c>
      <c r="X97" s="29" t="str">
        <f t="shared" si="2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8"/>
        <v/>
      </c>
      <c r="N98" s="19" t="str">
        <f t="shared" si="19"/>
        <v/>
      </c>
      <c r="O98" s="19" t="str">
        <f t="shared" si="20"/>
        <v/>
      </c>
      <c r="P98" s="19" t="str">
        <f t="shared" si="21"/>
        <v/>
      </c>
      <c r="Q98" s="19" t="str">
        <f t="shared" si="22"/>
        <v/>
      </c>
      <c r="R98" s="19" t="str">
        <f t="shared" si="15"/>
        <v/>
      </c>
      <c r="S98" s="27" t="str">
        <f t="shared" si="23"/>
        <v/>
      </c>
      <c r="T98" s="28" t="str">
        <f t="shared" si="23"/>
        <v/>
      </c>
      <c r="U98" s="28" t="str">
        <f t="shared" si="23"/>
        <v/>
      </c>
      <c r="V98" s="28" t="str">
        <f t="shared" si="23"/>
        <v/>
      </c>
      <c r="W98" s="28" t="str">
        <f t="shared" si="23"/>
        <v/>
      </c>
      <c r="X98" s="29" t="str">
        <f t="shared" si="2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8"/>
        <v/>
      </c>
      <c r="N99" s="19" t="str">
        <f t="shared" si="19"/>
        <v/>
      </c>
      <c r="O99" s="19" t="str">
        <f t="shared" si="20"/>
        <v/>
      </c>
      <c r="P99" s="19" t="str">
        <f t="shared" si="21"/>
        <v/>
      </c>
      <c r="Q99" s="19" t="str">
        <f t="shared" si="22"/>
        <v/>
      </c>
      <c r="R99" s="19" t="str">
        <f t="shared" si="15"/>
        <v/>
      </c>
      <c r="S99" s="27" t="str">
        <f t="shared" si="23"/>
        <v/>
      </c>
      <c r="T99" s="28" t="str">
        <f t="shared" si="23"/>
        <v/>
      </c>
      <c r="U99" s="28" t="str">
        <f t="shared" si="23"/>
        <v/>
      </c>
      <c r="V99" s="28" t="str">
        <f t="shared" si="23"/>
        <v/>
      </c>
      <c r="W99" s="28" t="str">
        <f t="shared" si="23"/>
        <v/>
      </c>
      <c r="X99" s="29" t="str">
        <f t="shared" si="2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8"/>
        <v/>
      </c>
      <c r="N100" s="19" t="str">
        <f t="shared" si="19"/>
        <v/>
      </c>
      <c r="O100" s="19" t="str">
        <f t="shared" si="20"/>
        <v/>
      </c>
      <c r="P100" s="19" t="str">
        <f t="shared" si="21"/>
        <v/>
      </c>
      <c r="Q100" s="19" t="str">
        <f t="shared" si="22"/>
        <v/>
      </c>
      <c r="R100" s="19" t="str">
        <f t="shared" si="15"/>
        <v/>
      </c>
      <c r="S100" s="27" t="str">
        <f t="shared" si="23"/>
        <v/>
      </c>
      <c r="T100" s="28" t="str">
        <f t="shared" si="23"/>
        <v/>
      </c>
      <c r="U100" s="28" t="str">
        <f t="shared" si="23"/>
        <v/>
      </c>
      <c r="V100" s="28" t="str">
        <f t="shared" si="23"/>
        <v/>
      </c>
      <c r="W100" s="28" t="str">
        <f t="shared" si="23"/>
        <v/>
      </c>
      <c r="X100" s="29" t="str">
        <f t="shared" si="2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8"/>
        <v/>
      </c>
      <c r="N101" s="19" t="str">
        <f t="shared" si="19"/>
        <v/>
      </c>
      <c r="O101" s="19" t="str">
        <f t="shared" si="20"/>
        <v/>
      </c>
      <c r="P101" s="19" t="str">
        <f t="shared" si="21"/>
        <v/>
      </c>
      <c r="Q101" s="19" t="str">
        <f t="shared" si="22"/>
        <v/>
      </c>
      <c r="R101" s="19" t="str">
        <f t="shared" si="15"/>
        <v/>
      </c>
      <c r="S101" s="27" t="str">
        <f t="shared" si="23"/>
        <v/>
      </c>
      <c r="T101" s="28" t="str">
        <f t="shared" si="23"/>
        <v/>
      </c>
      <c r="U101" s="28" t="str">
        <f t="shared" si="23"/>
        <v/>
      </c>
      <c r="V101" s="28" t="str">
        <f t="shared" si="23"/>
        <v/>
      </c>
      <c r="W101" s="28" t="str">
        <f t="shared" si="23"/>
        <v/>
      </c>
      <c r="X101" s="29" t="str">
        <f t="shared" si="2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8"/>
        <v/>
      </c>
      <c r="N102" s="19" t="str">
        <f t="shared" si="19"/>
        <v/>
      </c>
      <c r="O102" s="19" t="str">
        <f t="shared" si="20"/>
        <v/>
      </c>
      <c r="P102" s="19" t="str">
        <f t="shared" si="21"/>
        <v/>
      </c>
      <c r="Q102" s="19" t="str">
        <f t="shared" si="22"/>
        <v/>
      </c>
      <c r="R102" s="19" t="str">
        <f t="shared" si="15"/>
        <v/>
      </c>
      <c r="S102" s="27" t="str">
        <f t="shared" si="23"/>
        <v/>
      </c>
      <c r="T102" s="28" t="str">
        <f t="shared" si="23"/>
        <v/>
      </c>
      <c r="U102" s="28" t="str">
        <f t="shared" si="23"/>
        <v/>
      </c>
      <c r="V102" s="28" t="str">
        <f t="shared" si="23"/>
        <v/>
      </c>
      <c r="W102" s="28" t="str">
        <f t="shared" si="23"/>
        <v/>
      </c>
      <c r="X102" s="29" t="str">
        <f t="shared" si="2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8"/>
        <v/>
      </c>
      <c r="N103" s="19" t="str">
        <f t="shared" si="19"/>
        <v/>
      </c>
      <c r="O103" s="19" t="str">
        <f t="shared" si="20"/>
        <v/>
      </c>
      <c r="P103" s="19" t="str">
        <f t="shared" si="21"/>
        <v/>
      </c>
      <c r="Q103" s="19" t="str">
        <f t="shared" si="22"/>
        <v/>
      </c>
      <c r="R103" s="19" t="str">
        <f t="shared" si="15"/>
        <v/>
      </c>
      <c r="S103" s="27" t="str">
        <f t="shared" si="23"/>
        <v/>
      </c>
      <c r="T103" s="28" t="str">
        <f t="shared" si="23"/>
        <v/>
      </c>
      <c r="U103" s="28" t="str">
        <f t="shared" si="23"/>
        <v/>
      </c>
      <c r="V103" s="28" t="str">
        <f t="shared" si="23"/>
        <v/>
      </c>
      <c r="W103" s="28" t="str">
        <f t="shared" si="23"/>
        <v/>
      </c>
      <c r="X103" s="29" t="str">
        <f t="shared" si="2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8"/>
        <v/>
      </c>
      <c r="N104" s="19" t="str">
        <f t="shared" si="19"/>
        <v/>
      </c>
      <c r="O104" s="19" t="str">
        <f t="shared" si="20"/>
        <v/>
      </c>
      <c r="P104" s="19" t="str">
        <f t="shared" si="21"/>
        <v/>
      </c>
      <c r="Q104" s="19" t="str">
        <f t="shared" si="22"/>
        <v/>
      </c>
      <c r="R104" s="19" t="str">
        <f t="shared" si="15"/>
        <v/>
      </c>
      <c r="S104" s="27" t="str">
        <f t="shared" si="23"/>
        <v/>
      </c>
      <c r="T104" s="28" t="str">
        <f t="shared" si="23"/>
        <v/>
      </c>
      <c r="U104" s="28" t="str">
        <f t="shared" si="23"/>
        <v/>
      </c>
      <c r="V104" s="28" t="str">
        <f t="shared" si="23"/>
        <v/>
      </c>
      <c r="W104" s="28" t="str">
        <f t="shared" si="23"/>
        <v/>
      </c>
      <c r="X104" s="29" t="str">
        <f t="shared" si="2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8"/>
        <v/>
      </c>
      <c r="N105" s="19" t="str">
        <f t="shared" si="19"/>
        <v/>
      </c>
      <c r="O105" s="19" t="str">
        <f t="shared" si="20"/>
        <v/>
      </c>
      <c r="P105" s="19" t="str">
        <f t="shared" si="21"/>
        <v/>
      </c>
      <c r="Q105" s="19" t="str">
        <f t="shared" si="22"/>
        <v/>
      </c>
      <c r="R105" s="19" t="str">
        <f t="shared" si="15"/>
        <v/>
      </c>
      <c r="S105" s="27" t="str">
        <f t="shared" si="23"/>
        <v/>
      </c>
      <c r="T105" s="28" t="str">
        <f t="shared" si="23"/>
        <v/>
      </c>
      <c r="U105" s="28" t="str">
        <f t="shared" si="23"/>
        <v/>
      </c>
      <c r="V105" s="28" t="str">
        <f t="shared" si="23"/>
        <v/>
      </c>
      <c r="W105" s="28" t="str">
        <f t="shared" si="23"/>
        <v/>
      </c>
      <c r="X105" s="29" t="str">
        <f t="shared" si="2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8"/>
        <v/>
      </c>
      <c r="N106" s="19" t="str">
        <f t="shared" si="19"/>
        <v/>
      </c>
      <c r="O106" s="19" t="str">
        <f t="shared" si="20"/>
        <v/>
      </c>
      <c r="P106" s="19" t="str">
        <f t="shared" si="21"/>
        <v/>
      </c>
      <c r="Q106" s="19" t="str">
        <f t="shared" si="22"/>
        <v/>
      </c>
      <c r="R106" s="19" t="str">
        <f t="shared" si="15"/>
        <v/>
      </c>
      <c r="S106" s="27" t="str">
        <f t="shared" si="23"/>
        <v/>
      </c>
      <c r="T106" s="28" t="str">
        <f t="shared" si="23"/>
        <v/>
      </c>
      <c r="U106" s="28" t="str">
        <f t="shared" si="23"/>
        <v/>
      </c>
      <c r="V106" s="28" t="str">
        <f t="shared" si="23"/>
        <v/>
      </c>
      <c r="W106" s="28" t="str">
        <f t="shared" si="23"/>
        <v/>
      </c>
      <c r="X106" s="29" t="str">
        <f t="shared" si="2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8"/>
        <v/>
      </c>
      <c r="N107" s="19" t="str">
        <f t="shared" si="19"/>
        <v/>
      </c>
      <c r="O107" s="19" t="str">
        <f t="shared" si="20"/>
        <v/>
      </c>
      <c r="P107" s="19" t="str">
        <f t="shared" si="21"/>
        <v/>
      </c>
      <c r="Q107" s="19" t="str">
        <f t="shared" si="22"/>
        <v/>
      </c>
      <c r="R107" s="19" t="str">
        <f t="shared" si="15"/>
        <v/>
      </c>
      <c r="S107" s="27" t="str">
        <f t="shared" si="23"/>
        <v/>
      </c>
      <c r="T107" s="28" t="str">
        <f t="shared" si="23"/>
        <v/>
      </c>
      <c r="U107" s="28" t="str">
        <f t="shared" si="23"/>
        <v/>
      </c>
      <c r="V107" s="28" t="str">
        <f t="shared" si="23"/>
        <v/>
      </c>
      <c r="W107" s="28" t="str">
        <f t="shared" si="23"/>
        <v/>
      </c>
      <c r="X107" s="29" t="str">
        <f t="shared" si="2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8"/>
        <v/>
      </c>
      <c r="N108" s="19" t="str">
        <f t="shared" si="19"/>
        <v/>
      </c>
      <c r="O108" s="19" t="str">
        <f t="shared" si="20"/>
        <v/>
      </c>
      <c r="P108" s="19" t="str">
        <f t="shared" si="21"/>
        <v/>
      </c>
      <c r="Q108" s="19" t="str">
        <f t="shared" si="22"/>
        <v/>
      </c>
      <c r="R108" s="19" t="str">
        <f t="shared" si="15"/>
        <v/>
      </c>
      <c r="S108" s="27" t="str">
        <f t="shared" si="23"/>
        <v/>
      </c>
      <c r="T108" s="28" t="str">
        <f t="shared" si="23"/>
        <v/>
      </c>
      <c r="U108" s="28" t="str">
        <f t="shared" si="23"/>
        <v/>
      </c>
      <c r="V108" s="28" t="str">
        <f t="shared" si="23"/>
        <v/>
      </c>
      <c r="W108" s="28" t="str">
        <f t="shared" si="23"/>
        <v/>
      </c>
      <c r="X108" s="29" t="str">
        <f t="shared" si="2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8"/>
        <v/>
      </c>
      <c r="N109" s="19" t="str">
        <f t="shared" si="19"/>
        <v/>
      </c>
      <c r="O109" s="19" t="str">
        <f t="shared" si="20"/>
        <v/>
      </c>
      <c r="P109" s="19" t="str">
        <f t="shared" si="21"/>
        <v/>
      </c>
      <c r="Q109" s="19" t="str">
        <f t="shared" si="22"/>
        <v/>
      </c>
      <c r="R109" s="19" t="str">
        <f t="shared" si="15"/>
        <v/>
      </c>
      <c r="S109" s="27" t="str">
        <f t="shared" si="23"/>
        <v/>
      </c>
      <c r="T109" s="28" t="str">
        <f t="shared" si="23"/>
        <v/>
      </c>
      <c r="U109" s="28" t="str">
        <f t="shared" si="23"/>
        <v/>
      </c>
      <c r="V109" s="28" t="str">
        <f t="shared" si="23"/>
        <v/>
      </c>
      <c r="W109" s="28" t="str">
        <f t="shared" si="23"/>
        <v/>
      </c>
      <c r="X109" s="29" t="str">
        <f t="shared" si="2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8"/>
        <v/>
      </c>
      <c r="N110" s="19" t="str">
        <f t="shared" si="19"/>
        <v/>
      </c>
      <c r="O110" s="19" t="str">
        <f t="shared" si="20"/>
        <v/>
      </c>
      <c r="P110" s="19" t="str">
        <f t="shared" si="21"/>
        <v/>
      </c>
      <c r="Q110" s="19" t="str">
        <f t="shared" si="22"/>
        <v/>
      </c>
      <c r="R110" s="19" t="str">
        <f t="shared" si="15"/>
        <v/>
      </c>
      <c r="S110" s="27" t="str">
        <f t="shared" si="23"/>
        <v/>
      </c>
      <c r="T110" s="28" t="str">
        <f t="shared" si="23"/>
        <v/>
      </c>
      <c r="U110" s="28" t="str">
        <f t="shared" si="23"/>
        <v/>
      </c>
      <c r="V110" s="28" t="str">
        <f t="shared" si="23"/>
        <v/>
      </c>
      <c r="W110" s="28" t="str">
        <f t="shared" si="23"/>
        <v/>
      </c>
      <c r="X110" s="29" t="str">
        <f t="shared" si="2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8"/>
        <v/>
      </c>
      <c r="N111" s="19" t="str">
        <f t="shared" si="19"/>
        <v/>
      </c>
      <c r="O111" s="19" t="str">
        <f t="shared" si="20"/>
        <v/>
      </c>
      <c r="P111" s="19" t="str">
        <f t="shared" si="21"/>
        <v/>
      </c>
      <c r="Q111" s="19" t="str">
        <f t="shared" si="22"/>
        <v/>
      </c>
      <c r="R111" s="19" t="str">
        <f t="shared" si="15"/>
        <v/>
      </c>
      <c r="S111" s="27" t="str">
        <f t="shared" si="23"/>
        <v/>
      </c>
      <c r="T111" s="28" t="str">
        <f t="shared" si="23"/>
        <v/>
      </c>
      <c r="U111" s="28" t="str">
        <f t="shared" si="23"/>
        <v/>
      </c>
      <c r="V111" s="28" t="str">
        <f t="shared" si="23"/>
        <v/>
      </c>
      <c r="W111" s="28" t="str">
        <f t="shared" si="23"/>
        <v/>
      </c>
      <c r="X111" s="29" t="str">
        <f t="shared" si="2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8"/>
        <v/>
      </c>
      <c r="N112" s="19" t="str">
        <f t="shared" si="19"/>
        <v/>
      </c>
      <c r="O112" s="19" t="str">
        <f t="shared" si="20"/>
        <v/>
      </c>
      <c r="P112" s="19" t="str">
        <f t="shared" si="21"/>
        <v/>
      </c>
      <c r="Q112" s="19" t="str">
        <f t="shared" si="22"/>
        <v/>
      </c>
      <c r="R112" s="19" t="str">
        <f t="shared" ref="R112:R143" si="24">IF(ISBLANK(I112),"",(I112-I$16)*1000)</f>
        <v/>
      </c>
      <c r="S112" s="27" t="str">
        <f t="shared" si="23"/>
        <v/>
      </c>
      <c r="T112" s="28" t="str">
        <f t="shared" si="23"/>
        <v/>
      </c>
      <c r="U112" s="28" t="str">
        <f t="shared" si="23"/>
        <v/>
      </c>
      <c r="V112" s="28" t="str">
        <f t="shared" si="23"/>
        <v/>
      </c>
      <c r="W112" s="28" t="str">
        <f t="shared" si="23"/>
        <v/>
      </c>
      <c r="X112" s="29" t="str">
        <f t="shared" si="2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8"/>
        <v/>
      </c>
      <c r="N113" s="19" t="str">
        <f t="shared" si="19"/>
        <v/>
      </c>
      <c r="O113" s="19" t="str">
        <f t="shared" si="20"/>
        <v/>
      </c>
      <c r="P113" s="19" t="str">
        <f t="shared" si="21"/>
        <v/>
      </c>
      <c r="Q113" s="19" t="str">
        <f t="shared" si="22"/>
        <v/>
      </c>
      <c r="R113" s="19" t="str">
        <f t="shared" si="24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8"/>
        <v/>
      </c>
      <c r="N114" s="19" t="str">
        <f t="shared" si="19"/>
        <v/>
      </c>
      <c r="O114" s="19" t="str">
        <f t="shared" si="20"/>
        <v/>
      </c>
      <c r="P114" s="19" t="str">
        <f t="shared" si="21"/>
        <v/>
      </c>
      <c r="Q114" s="19" t="str">
        <f t="shared" si="22"/>
        <v/>
      </c>
      <c r="R114" s="19" t="str">
        <f t="shared" si="24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8"/>
        <v/>
      </c>
      <c r="N115" s="19" t="str">
        <f t="shared" si="19"/>
        <v/>
      </c>
      <c r="O115" s="19" t="str">
        <f t="shared" si="20"/>
        <v/>
      </c>
      <c r="P115" s="19" t="str">
        <f t="shared" si="21"/>
        <v/>
      </c>
      <c r="Q115" s="19" t="str">
        <f t="shared" si="22"/>
        <v/>
      </c>
      <c r="R115" s="19" t="str">
        <f t="shared" si="24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8"/>
        <v/>
      </c>
      <c r="N116" s="19" t="str">
        <f t="shared" si="19"/>
        <v/>
      </c>
      <c r="O116" s="19" t="str">
        <f t="shared" si="20"/>
        <v/>
      </c>
      <c r="P116" s="19" t="str">
        <f t="shared" si="21"/>
        <v/>
      </c>
      <c r="Q116" s="19" t="str">
        <f t="shared" si="22"/>
        <v/>
      </c>
      <c r="R116" s="19" t="str">
        <f t="shared" si="24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8"/>
        <v/>
      </c>
      <c r="N117" s="19" t="str">
        <f t="shared" si="19"/>
        <v/>
      </c>
      <c r="O117" s="19" t="str">
        <f t="shared" si="20"/>
        <v/>
      </c>
      <c r="P117" s="19" t="str">
        <f t="shared" si="21"/>
        <v/>
      </c>
      <c r="Q117" s="19" t="str">
        <f t="shared" si="22"/>
        <v/>
      </c>
      <c r="R117" s="19" t="str">
        <f t="shared" si="24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8"/>
        <v/>
      </c>
      <c r="N118" s="19" t="str">
        <f t="shared" si="19"/>
        <v/>
      </c>
      <c r="O118" s="19" t="str">
        <f t="shared" si="20"/>
        <v/>
      </c>
      <c r="P118" s="19" t="str">
        <f t="shared" si="21"/>
        <v/>
      </c>
      <c r="Q118" s="19" t="str">
        <f t="shared" si="22"/>
        <v/>
      </c>
      <c r="R118" s="19" t="str">
        <f t="shared" si="24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8"/>
        <v/>
      </c>
      <c r="N119" s="19" t="str">
        <f t="shared" si="19"/>
        <v/>
      </c>
      <c r="O119" s="19" t="str">
        <f t="shared" si="20"/>
        <v/>
      </c>
      <c r="P119" s="19" t="str">
        <f t="shared" si="21"/>
        <v/>
      </c>
      <c r="Q119" s="19" t="str">
        <f t="shared" si="22"/>
        <v/>
      </c>
      <c r="R119" s="19" t="str">
        <f t="shared" si="24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8"/>
        <v/>
      </c>
      <c r="N120" s="19" t="str">
        <f t="shared" si="19"/>
        <v/>
      </c>
      <c r="O120" s="19" t="str">
        <f t="shared" si="20"/>
        <v/>
      </c>
      <c r="P120" s="19" t="str">
        <f t="shared" si="21"/>
        <v/>
      </c>
      <c r="Q120" s="19" t="str">
        <f t="shared" si="22"/>
        <v/>
      </c>
      <c r="R120" s="19" t="str">
        <f t="shared" si="24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8"/>
        <v/>
      </c>
      <c r="N121" s="19" t="str">
        <f t="shared" si="19"/>
        <v/>
      </c>
      <c r="O121" s="19" t="str">
        <f t="shared" si="20"/>
        <v/>
      </c>
      <c r="P121" s="19" t="str">
        <f t="shared" si="21"/>
        <v/>
      </c>
      <c r="Q121" s="19" t="str">
        <f t="shared" si="22"/>
        <v/>
      </c>
      <c r="R121" s="19" t="str">
        <f t="shared" si="24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8"/>
        <v/>
      </c>
      <c r="N122" s="19" t="str">
        <f t="shared" si="19"/>
        <v/>
      </c>
      <c r="O122" s="19" t="str">
        <f t="shared" si="20"/>
        <v/>
      </c>
      <c r="P122" s="19" t="str">
        <f t="shared" si="21"/>
        <v/>
      </c>
      <c r="Q122" s="19" t="str">
        <f t="shared" si="22"/>
        <v/>
      </c>
      <c r="R122" s="19" t="str">
        <f t="shared" si="24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8"/>
        <v/>
      </c>
      <c r="N123" s="19" t="str">
        <f t="shared" si="19"/>
        <v/>
      </c>
      <c r="O123" s="19" t="str">
        <f t="shared" si="20"/>
        <v/>
      </c>
      <c r="P123" s="19" t="str">
        <f t="shared" si="21"/>
        <v/>
      </c>
      <c r="Q123" s="19" t="str">
        <f t="shared" si="22"/>
        <v/>
      </c>
      <c r="R123" s="19" t="str">
        <f t="shared" si="24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8"/>
        <v/>
      </c>
      <c r="N124" s="19" t="str">
        <f t="shared" si="19"/>
        <v/>
      </c>
      <c r="O124" s="19" t="str">
        <f t="shared" si="20"/>
        <v/>
      </c>
      <c r="P124" s="19" t="str">
        <f t="shared" si="21"/>
        <v/>
      </c>
      <c r="Q124" s="19" t="str">
        <f t="shared" si="22"/>
        <v/>
      </c>
      <c r="R124" s="19" t="str">
        <f t="shared" si="24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8"/>
        <v/>
      </c>
      <c r="N125" s="19" t="str">
        <f t="shared" si="19"/>
        <v/>
      </c>
      <c r="O125" s="19" t="str">
        <f t="shared" si="20"/>
        <v/>
      </c>
      <c r="P125" s="19" t="str">
        <f t="shared" si="21"/>
        <v/>
      </c>
      <c r="Q125" s="19" t="str">
        <f t="shared" si="22"/>
        <v/>
      </c>
      <c r="R125" s="19" t="str">
        <f t="shared" si="24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8"/>
        <v/>
      </c>
      <c r="N126" s="19" t="str">
        <f t="shared" si="19"/>
        <v/>
      </c>
      <c r="O126" s="19" t="str">
        <f t="shared" si="20"/>
        <v/>
      </c>
      <c r="P126" s="19" t="str">
        <f t="shared" si="21"/>
        <v/>
      </c>
      <c r="Q126" s="19" t="str">
        <f t="shared" si="22"/>
        <v/>
      </c>
      <c r="R126" s="19" t="str">
        <f t="shared" si="24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8"/>
        <v/>
      </c>
      <c r="N127" s="19" t="str">
        <f t="shared" si="19"/>
        <v/>
      </c>
      <c r="O127" s="19" t="str">
        <f t="shared" si="20"/>
        <v/>
      </c>
      <c r="P127" s="19" t="str">
        <f t="shared" si="21"/>
        <v/>
      </c>
      <c r="Q127" s="19" t="str">
        <f t="shared" si="22"/>
        <v/>
      </c>
      <c r="R127" s="19" t="str">
        <f t="shared" si="24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8"/>
        <v/>
      </c>
      <c r="N128" s="19" t="str">
        <f t="shared" si="19"/>
        <v/>
      </c>
      <c r="O128" s="19" t="str">
        <f t="shared" si="20"/>
        <v/>
      </c>
      <c r="P128" s="19" t="str">
        <f t="shared" si="21"/>
        <v/>
      </c>
      <c r="Q128" s="19" t="str">
        <f t="shared" si="22"/>
        <v/>
      </c>
      <c r="R128" s="19" t="str">
        <f t="shared" si="24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8"/>
        <v/>
      </c>
      <c r="N129" s="19" t="str">
        <f t="shared" si="19"/>
        <v/>
      </c>
      <c r="O129" s="19" t="str">
        <f t="shared" si="20"/>
        <v/>
      </c>
      <c r="P129" s="19" t="str">
        <f t="shared" si="21"/>
        <v/>
      </c>
      <c r="Q129" s="19" t="str">
        <f t="shared" si="22"/>
        <v/>
      </c>
      <c r="R129" s="19" t="str">
        <f t="shared" si="24"/>
        <v/>
      </c>
      <c r="S129" s="27" t="str">
        <f t="shared" ref="S129:X144" si="26">IF(C129="","",((C129-C128)*1000)/($B129-$B128))</f>
        <v/>
      </c>
      <c r="T129" s="28" t="str">
        <f t="shared" si="26"/>
        <v/>
      </c>
      <c r="U129" s="28" t="str">
        <f t="shared" si="26"/>
        <v/>
      </c>
      <c r="V129" s="28" t="str">
        <f t="shared" si="26"/>
        <v/>
      </c>
      <c r="W129" s="28" t="str">
        <f t="shared" si="26"/>
        <v/>
      </c>
      <c r="X129" s="29" t="str">
        <f t="shared" si="26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8"/>
        <v/>
      </c>
      <c r="N130" s="19" t="str">
        <f t="shared" si="19"/>
        <v/>
      </c>
      <c r="O130" s="19" t="str">
        <f t="shared" si="20"/>
        <v/>
      </c>
      <c r="P130" s="19" t="str">
        <f t="shared" si="21"/>
        <v/>
      </c>
      <c r="Q130" s="19" t="str">
        <f t="shared" si="22"/>
        <v/>
      </c>
      <c r="R130" s="19" t="str">
        <f t="shared" si="24"/>
        <v/>
      </c>
      <c r="S130" s="27" t="str">
        <f t="shared" si="26"/>
        <v/>
      </c>
      <c r="T130" s="28" t="str">
        <f t="shared" si="26"/>
        <v/>
      </c>
      <c r="U130" s="28" t="str">
        <f t="shared" si="26"/>
        <v/>
      </c>
      <c r="V130" s="28" t="str">
        <f t="shared" si="26"/>
        <v/>
      </c>
      <c r="W130" s="28" t="str">
        <f t="shared" si="26"/>
        <v/>
      </c>
      <c r="X130" s="29" t="str">
        <f t="shared" si="26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8"/>
        <v/>
      </c>
      <c r="N131" s="19" t="str">
        <f t="shared" si="19"/>
        <v/>
      </c>
      <c r="O131" s="19" t="str">
        <f t="shared" si="20"/>
        <v/>
      </c>
      <c r="P131" s="19" t="str">
        <f t="shared" si="21"/>
        <v/>
      </c>
      <c r="Q131" s="19" t="str">
        <f t="shared" si="22"/>
        <v/>
      </c>
      <c r="R131" s="19" t="str">
        <f t="shared" si="24"/>
        <v/>
      </c>
      <c r="S131" s="27" t="str">
        <f t="shared" si="26"/>
        <v/>
      </c>
      <c r="T131" s="28" t="str">
        <f t="shared" si="26"/>
        <v/>
      </c>
      <c r="U131" s="28" t="str">
        <f t="shared" si="26"/>
        <v/>
      </c>
      <c r="V131" s="28" t="str">
        <f t="shared" si="26"/>
        <v/>
      </c>
      <c r="W131" s="28" t="str">
        <f t="shared" si="26"/>
        <v/>
      </c>
      <c r="X131" s="29" t="str">
        <f t="shared" si="26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8"/>
        <v/>
      </c>
      <c r="N132" s="19" t="str">
        <f t="shared" si="19"/>
        <v/>
      </c>
      <c r="O132" s="19" t="str">
        <f t="shared" si="20"/>
        <v/>
      </c>
      <c r="P132" s="19" t="str">
        <f t="shared" si="21"/>
        <v/>
      </c>
      <c r="Q132" s="19" t="str">
        <f t="shared" si="22"/>
        <v/>
      </c>
      <c r="R132" s="19" t="str">
        <f t="shared" si="24"/>
        <v/>
      </c>
      <c r="S132" s="27" t="str">
        <f t="shared" si="26"/>
        <v/>
      </c>
      <c r="T132" s="28" t="str">
        <f t="shared" si="26"/>
        <v/>
      </c>
      <c r="U132" s="28" t="str">
        <f t="shared" si="26"/>
        <v/>
      </c>
      <c r="V132" s="28" t="str">
        <f t="shared" si="26"/>
        <v/>
      </c>
      <c r="W132" s="28" t="str">
        <f t="shared" si="26"/>
        <v/>
      </c>
      <c r="X132" s="29" t="str">
        <f t="shared" si="26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7"/>
        <v/>
      </c>
      <c r="M133" s="19" t="str">
        <f t="shared" si="18"/>
        <v/>
      </c>
      <c r="N133" s="19" t="str">
        <f t="shared" si="19"/>
        <v/>
      </c>
      <c r="O133" s="19" t="str">
        <f t="shared" si="20"/>
        <v/>
      </c>
      <c r="P133" s="19" t="str">
        <f t="shared" si="21"/>
        <v/>
      </c>
      <c r="Q133" s="19" t="str">
        <f t="shared" si="22"/>
        <v/>
      </c>
      <c r="R133" s="19" t="str">
        <f t="shared" si="24"/>
        <v/>
      </c>
      <c r="S133" s="27" t="str">
        <f t="shared" si="26"/>
        <v/>
      </c>
      <c r="T133" s="28" t="str">
        <f t="shared" si="26"/>
        <v/>
      </c>
      <c r="U133" s="28" t="str">
        <f t="shared" si="26"/>
        <v/>
      </c>
      <c r="V133" s="28" t="str">
        <f t="shared" si="26"/>
        <v/>
      </c>
      <c r="W133" s="28" t="str">
        <f t="shared" si="26"/>
        <v/>
      </c>
      <c r="X133" s="29" t="str">
        <f t="shared" si="26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7"/>
        <v/>
      </c>
      <c r="M134" s="19" t="str">
        <f t="shared" si="18"/>
        <v/>
      </c>
      <c r="N134" s="19" t="str">
        <f t="shared" si="19"/>
        <v/>
      </c>
      <c r="O134" s="19" t="str">
        <f t="shared" si="20"/>
        <v/>
      </c>
      <c r="P134" s="19" t="str">
        <f t="shared" si="21"/>
        <v/>
      </c>
      <c r="Q134" s="19" t="str">
        <f t="shared" si="22"/>
        <v/>
      </c>
      <c r="R134" s="19" t="str">
        <f t="shared" si="24"/>
        <v/>
      </c>
      <c r="S134" s="27" t="str">
        <f t="shared" si="26"/>
        <v/>
      </c>
      <c r="T134" s="28" t="str">
        <f t="shared" si="26"/>
        <v/>
      </c>
      <c r="U134" s="28" t="str">
        <f t="shared" si="26"/>
        <v/>
      </c>
      <c r="V134" s="28" t="str">
        <f t="shared" si="26"/>
        <v/>
      </c>
      <c r="W134" s="28" t="str">
        <f t="shared" si="26"/>
        <v/>
      </c>
      <c r="X134" s="29" t="str">
        <f t="shared" si="26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7"/>
        <v/>
      </c>
      <c r="M135" s="19" t="str">
        <f t="shared" si="18"/>
        <v/>
      </c>
      <c r="N135" s="19" t="str">
        <f t="shared" si="19"/>
        <v/>
      </c>
      <c r="O135" s="19" t="str">
        <f t="shared" si="20"/>
        <v/>
      </c>
      <c r="P135" s="19" t="str">
        <f t="shared" si="21"/>
        <v/>
      </c>
      <c r="Q135" s="19" t="str">
        <f t="shared" si="22"/>
        <v/>
      </c>
      <c r="R135" s="19" t="str">
        <f t="shared" si="24"/>
        <v/>
      </c>
      <c r="S135" s="27" t="str">
        <f t="shared" si="26"/>
        <v/>
      </c>
      <c r="T135" s="28" t="str">
        <f t="shared" si="26"/>
        <v/>
      </c>
      <c r="U135" s="28" t="str">
        <f t="shared" si="26"/>
        <v/>
      </c>
      <c r="V135" s="28" t="str">
        <f t="shared" si="26"/>
        <v/>
      </c>
      <c r="W135" s="28" t="str">
        <f t="shared" si="26"/>
        <v/>
      </c>
      <c r="X135" s="29" t="str">
        <f t="shared" si="26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7"/>
        <v/>
      </c>
      <c r="M136" s="19" t="str">
        <f t="shared" si="18"/>
        <v/>
      </c>
      <c r="N136" s="19" t="str">
        <f t="shared" si="19"/>
        <v/>
      </c>
      <c r="O136" s="19" t="str">
        <f t="shared" si="20"/>
        <v/>
      </c>
      <c r="P136" s="19" t="str">
        <f t="shared" si="21"/>
        <v/>
      </c>
      <c r="Q136" s="19" t="str">
        <f t="shared" si="22"/>
        <v/>
      </c>
      <c r="R136" s="19" t="str">
        <f t="shared" si="24"/>
        <v/>
      </c>
      <c r="S136" s="27" t="str">
        <f t="shared" si="26"/>
        <v/>
      </c>
      <c r="T136" s="28" t="str">
        <f t="shared" si="26"/>
        <v/>
      </c>
      <c r="U136" s="28" t="str">
        <f t="shared" si="26"/>
        <v/>
      </c>
      <c r="V136" s="28" t="str">
        <f t="shared" si="26"/>
        <v/>
      </c>
      <c r="W136" s="28" t="str">
        <f t="shared" si="26"/>
        <v/>
      </c>
      <c r="X136" s="29" t="str">
        <f t="shared" si="26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7"/>
        <v/>
      </c>
      <c r="M137" s="19" t="str">
        <f t="shared" si="18"/>
        <v/>
      </c>
      <c r="N137" s="19" t="str">
        <f t="shared" si="19"/>
        <v/>
      </c>
      <c r="O137" s="19" t="str">
        <f t="shared" si="20"/>
        <v/>
      </c>
      <c r="P137" s="19" t="str">
        <f t="shared" si="21"/>
        <v/>
      </c>
      <c r="Q137" s="19" t="str">
        <f t="shared" si="22"/>
        <v/>
      </c>
      <c r="R137" s="19" t="str">
        <f t="shared" si="24"/>
        <v/>
      </c>
      <c r="S137" s="27" t="str">
        <f t="shared" si="26"/>
        <v/>
      </c>
      <c r="T137" s="28" t="str">
        <f t="shared" si="26"/>
        <v/>
      </c>
      <c r="U137" s="28" t="str">
        <f t="shared" si="26"/>
        <v/>
      </c>
      <c r="V137" s="28" t="str">
        <f t="shared" si="26"/>
        <v/>
      </c>
      <c r="W137" s="28" t="str">
        <f t="shared" si="26"/>
        <v/>
      </c>
      <c r="X137" s="29" t="str">
        <f t="shared" si="26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7"/>
        <v/>
      </c>
      <c r="M138" s="19" t="str">
        <f t="shared" si="18"/>
        <v/>
      </c>
      <c r="N138" s="19" t="str">
        <f t="shared" si="19"/>
        <v/>
      </c>
      <c r="O138" s="19" t="str">
        <f t="shared" si="20"/>
        <v/>
      </c>
      <c r="P138" s="19" t="str">
        <f t="shared" si="21"/>
        <v/>
      </c>
      <c r="Q138" s="19" t="str">
        <f t="shared" si="22"/>
        <v/>
      </c>
      <c r="R138" s="19" t="str">
        <f t="shared" si="24"/>
        <v/>
      </c>
      <c r="S138" s="27" t="str">
        <f t="shared" si="26"/>
        <v/>
      </c>
      <c r="T138" s="28" t="str">
        <f t="shared" si="26"/>
        <v/>
      </c>
      <c r="U138" s="28" t="str">
        <f t="shared" si="26"/>
        <v/>
      </c>
      <c r="V138" s="28" t="str">
        <f t="shared" si="26"/>
        <v/>
      </c>
      <c r="W138" s="28" t="str">
        <f t="shared" si="26"/>
        <v/>
      </c>
      <c r="X138" s="29" t="str">
        <f t="shared" si="26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7"/>
        <v/>
      </c>
      <c r="M139" s="19" t="str">
        <f t="shared" si="18"/>
        <v/>
      </c>
      <c r="N139" s="19" t="str">
        <f t="shared" si="19"/>
        <v/>
      </c>
      <c r="O139" s="19" t="str">
        <f t="shared" si="20"/>
        <v/>
      </c>
      <c r="P139" s="19" t="str">
        <f t="shared" si="21"/>
        <v/>
      </c>
      <c r="Q139" s="19" t="str">
        <f t="shared" si="22"/>
        <v/>
      </c>
      <c r="R139" s="19" t="str">
        <f t="shared" si="24"/>
        <v/>
      </c>
      <c r="S139" s="27" t="str">
        <f t="shared" si="26"/>
        <v/>
      </c>
      <c r="T139" s="28" t="str">
        <f t="shared" si="26"/>
        <v/>
      </c>
      <c r="U139" s="28" t="str">
        <f t="shared" si="26"/>
        <v/>
      </c>
      <c r="V139" s="28" t="str">
        <f t="shared" si="26"/>
        <v/>
      </c>
      <c r="W139" s="28" t="str">
        <f t="shared" si="26"/>
        <v/>
      </c>
      <c r="X139" s="29" t="str">
        <f t="shared" si="26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7"/>
        <v/>
      </c>
      <c r="M140" s="19" t="str">
        <f t="shared" si="18"/>
        <v/>
      </c>
      <c r="N140" s="19" t="str">
        <f t="shared" si="19"/>
        <v/>
      </c>
      <c r="O140" s="19" t="str">
        <f t="shared" si="20"/>
        <v/>
      </c>
      <c r="P140" s="19" t="str">
        <f t="shared" si="21"/>
        <v/>
      </c>
      <c r="Q140" s="19" t="str">
        <f t="shared" si="22"/>
        <v/>
      </c>
      <c r="R140" s="19" t="str">
        <f t="shared" si="24"/>
        <v/>
      </c>
      <c r="S140" s="27" t="str">
        <f t="shared" si="26"/>
        <v/>
      </c>
      <c r="T140" s="28" t="str">
        <f t="shared" si="26"/>
        <v/>
      </c>
      <c r="U140" s="28" t="str">
        <f t="shared" si="26"/>
        <v/>
      </c>
      <c r="V140" s="28" t="str">
        <f t="shared" si="26"/>
        <v/>
      </c>
      <c r="W140" s="28" t="str">
        <f t="shared" si="26"/>
        <v/>
      </c>
      <c r="X140" s="29" t="str">
        <f t="shared" si="26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7"/>
        <v/>
      </c>
      <c r="M141" s="19" t="str">
        <f t="shared" si="18"/>
        <v/>
      </c>
      <c r="N141" s="19" t="str">
        <f t="shared" si="19"/>
        <v/>
      </c>
      <c r="O141" s="19" t="str">
        <f t="shared" si="20"/>
        <v/>
      </c>
      <c r="P141" s="19" t="str">
        <f t="shared" si="21"/>
        <v/>
      </c>
      <c r="Q141" s="19" t="str">
        <f t="shared" si="22"/>
        <v/>
      </c>
      <c r="R141" s="19" t="str">
        <f t="shared" si="24"/>
        <v/>
      </c>
      <c r="S141" s="27" t="str">
        <f t="shared" si="26"/>
        <v/>
      </c>
      <c r="T141" s="28" t="str">
        <f t="shared" si="26"/>
        <v/>
      </c>
      <c r="U141" s="28" t="str">
        <f t="shared" si="26"/>
        <v/>
      </c>
      <c r="V141" s="28" t="str">
        <f t="shared" si="26"/>
        <v/>
      </c>
      <c r="W141" s="28" t="str">
        <f t="shared" si="26"/>
        <v/>
      </c>
      <c r="X141" s="29" t="str">
        <f t="shared" si="26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7"/>
        <v/>
      </c>
      <c r="M142" s="19" t="str">
        <f t="shared" si="18"/>
        <v/>
      </c>
      <c r="N142" s="19" t="str">
        <f t="shared" si="19"/>
        <v/>
      </c>
      <c r="O142" s="19" t="str">
        <f t="shared" si="20"/>
        <v/>
      </c>
      <c r="P142" s="19" t="str">
        <f t="shared" si="21"/>
        <v/>
      </c>
      <c r="Q142" s="19" t="str">
        <f t="shared" si="22"/>
        <v/>
      </c>
      <c r="R142" s="19" t="str">
        <f t="shared" si="24"/>
        <v/>
      </c>
      <c r="S142" s="27" t="str">
        <f t="shared" si="26"/>
        <v/>
      </c>
      <c r="T142" s="28" t="str">
        <f t="shared" si="26"/>
        <v/>
      </c>
      <c r="U142" s="28" t="str">
        <f t="shared" si="26"/>
        <v/>
      </c>
      <c r="V142" s="28" t="str">
        <f t="shared" si="26"/>
        <v/>
      </c>
      <c r="W142" s="28" t="str">
        <f t="shared" si="26"/>
        <v/>
      </c>
      <c r="X142" s="29" t="str">
        <f t="shared" si="26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7"/>
        <v/>
      </c>
      <c r="M143" s="19" t="str">
        <f t="shared" si="18"/>
        <v/>
      </c>
      <c r="N143" s="19" t="str">
        <f t="shared" si="19"/>
        <v/>
      </c>
      <c r="O143" s="19" t="str">
        <f t="shared" si="20"/>
        <v/>
      </c>
      <c r="P143" s="19" t="str">
        <f t="shared" si="21"/>
        <v/>
      </c>
      <c r="Q143" s="19" t="str">
        <f t="shared" si="22"/>
        <v/>
      </c>
      <c r="R143" s="19" t="str">
        <f t="shared" si="24"/>
        <v/>
      </c>
      <c r="S143" s="27" t="str">
        <f t="shared" si="26"/>
        <v/>
      </c>
      <c r="T143" s="28" t="str">
        <f t="shared" si="26"/>
        <v/>
      </c>
      <c r="U143" s="28" t="str">
        <f t="shared" si="26"/>
        <v/>
      </c>
      <c r="V143" s="28" t="str">
        <f t="shared" si="26"/>
        <v/>
      </c>
      <c r="W143" s="28" t="str">
        <f t="shared" si="26"/>
        <v/>
      </c>
      <c r="X143" s="29" t="str">
        <f t="shared" si="26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7"/>
        <v/>
      </c>
      <c r="M144" s="19" t="str">
        <f t="shared" si="18"/>
        <v/>
      </c>
      <c r="N144" s="19" t="str">
        <f t="shared" si="19"/>
        <v/>
      </c>
      <c r="O144" s="19" t="str">
        <f t="shared" si="20"/>
        <v/>
      </c>
      <c r="P144" s="19" t="str">
        <f t="shared" si="21"/>
        <v/>
      </c>
      <c r="Q144" s="19" t="str">
        <f t="shared" si="22"/>
        <v/>
      </c>
      <c r="R144" s="19" t="str">
        <f t="shared" ref="R144:R153" si="27">IF(ISBLANK(I144),"",(I144-I$16)*1000)</f>
        <v/>
      </c>
      <c r="S144" s="27" t="str">
        <f t="shared" si="26"/>
        <v/>
      </c>
      <c r="T144" s="28" t="str">
        <f t="shared" si="26"/>
        <v/>
      </c>
      <c r="U144" s="28" t="str">
        <f t="shared" si="26"/>
        <v/>
      </c>
      <c r="V144" s="28" t="str">
        <f t="shared" si="26"/>
        <v/>
      </c>
      <c r="W144" s="28" t="str">
        <f t="shared" si="26"/>
        <v/>
      </c>
      <c r="X144" s="29" t="str">
        <f t="shared" si="26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7"/>
        <v/>
      </c>
      <c r="M145" s="19" t="str">
        <f t="shared" si="18"/>
        <v/>
      </c>
      <c r="N145" s="19" t="str">
        <f t="shared" si="19"/>
        <v/>
      </c>
      <c r="O145" s="19" t="str">
        <f t="shared" si="20"/>
        <v/>
      </c>
      <c r="P145" s="19" t="str">
        <f t="shared" si="21"/>
        <v/>
      </c>
      <c r="Q145" s="19" t="str">
        <f t="shared" si="22"/>
        <v/>
      </c>
      <c r="R145" s="19" t="str">
        <f t="shared" si="27"/>
        <v/>
      </c>
      <c r="S145" s="27" t="str">
        <f t="shared" ref="S145:X153" si="28">IF(C145="","",((C145-C144)*1000)/($B145-$B144))</f>
        <v/>
      </c>
      <c r="T145" s="28" t="str">
        <f t="shared" si="28"/>
        <v/>
      </c>
      <c r="U145" s="28" t="str">
        <f t="shared" si="28"/>
        <v/>
      </c>
      <c r="V145" s="28" t="str">
        <f t="shared" si="28"/>
        <v/>
      </c>
      <c r="W145" s="28" t="str">
        <f t="shared" si="28"/>
        <v/>
      </c>
      <c r="X145" s="29" t="str">
        <f t="shared" si="28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7"/>
        <v/>
      </c>
      <c r="M146" s="19" t="str">
        <f t="shared" si="18"/>
        <v/>
      </c>
      <c r="N146" s="19" t="str">
        <f t="shared" si="19"/>
        <v/>
      </c>
      <c r="O146" s="19" t="str">
        <f t="shared" si="20"/>
        <v/>
      </c>
      <c r="P146" s="19" t="str">
        <f t="shared" si="21"/>
        <v/>
      </c>
      <c r="Q146" s="19" t="str">
        <f t="shared" si="22"/>
        <v/>
      </c>
      <c r="R146" s="19" t="str">
        <f t="shared" si="27"/>
        <v/>
      </c>
      <c r="S146" s="27" t="str">
        <f t="shared" si="28"/>
        <v/>
      </c>
      <c r="T146" s="28" t="str">
        <f t="shared" si="28"/>
        <v/>
      </c>
      <c r="U146" s="28" t="str">
        <f t="shared" si="28"/>
        <v/>
      </c>
      <c r="V146" s="28" t="str">
        <f t="shared" si="28"/>
        <v/>
      </c>
      <c r="W146" s="28" t="str">
        <f t="shared" si="28"/>
        <v/>
      </c>
      <c r="X146" s="29" t="str">
        <f t="shared" si="28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7"/>
        <v/>
      </c>
      <c r="M147" s="19" t="str">
        <f t="shared" si="18"/>
        <v/>
      </c>
      <c r="N147" s="19" t="str">
        <f t="shared" si="19"/>
        <v/>
      </c>
      <c r="O147" s="19" t="str">
        <f t="shared" si="20"/>
        <v/>
      </c>
      <c r="P147" s="19" t="str">
        <f t="shared" si="21"/>
        <v/>
      </c>
      <c r="Q147" s="19" t="str">
        <f t="shared" si="22"/>
        <v/>
      </c>
      <c r="R147" s="19" t="str">
        <f t="shared" si="27"/>
        <v/>
      </c>
      <c r="S147" s="27" t="str">
        <f t="shared" si="28"/>
        <v/>
      </c>
      <c r="T147" s="28" t="str">
        <f t="shared" si="28"/>
        <v/>
      </c>
      <c r="U147" s="28" t="str">
        <f t="shared" si="28"/>
        <v/>
      </c>
      <c r="V147" s="28" t="str">
        <f t="shared" si="28"/>
        <v/>
      </c>
      <c r="W147" s="28" t="str">
        <f t="shared" si="28"/>
        <v/>
      </c>
      <c r="X147" s="29" t="str">
        <f t="shared" si="28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7"/>
        <v/>
      </c>
      <c r="M148" s="19" t="str">
        <f t="shared" si="18"/>
        <v/>
      </c>
      <c r="N148" s="19" t="str">
        <f t="shared" si="19"/>
        <v/>
      </c>
      <c r="O148" s="19" t="str">
        <f t="shared" si="20"/>
        <v/>
      </c>
      <c r="P148" s="19" t="str">
        <f t="shared" si="21"/>
        <v/>
      </c>
      <c r="Q148" s="19" t="str">
        <f t="shared" si="22"/>
        <v/>
      </c>
      <c r="R148" s="19" t="str">
        <f t="shared" si="27"/>
        <v/>
      </c>
      <c r="S148" s="27" t="str">
        <f t="shared" si="28"/>
        <v/>
      </c>
      <c r="T148" s="28" t="str">
        <f t="shared" si="28"/>
        <v/>
      </c>
      <c r="U148" s="28" t="str">
        <f t="shared" si="28"/>
        <v/>
      </c>
      <c r="V148" s="28" t="str">
        <f t="shared" si="28"/>
        <v/>
      </c>
      <c r="W148" s="28" t="str">
        <f t="shared" si="28"/>
        <v/>
      </c>
      <c r="X148" s="29" t="str">
        <f t="shared" si="28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7"/>
        <v/>
      </c>
      <c r="M149" s="19" t="str">
        <f t="shared" si="18"/>
        <v/>
      </c>
      <c r="N149" s="19" t="str">
        <f t="shared" si="19"/>
        <v/>
      </c>
      <c r="O149" s="19" t="str">
        <f t="shared" si="20"/>
        <v/>
      </c>
      <c r="P149" s="19" t="str">
        <f t="shared" si="21"/>
        <v/>
      </c>
      <c r="Q149" s="19" t="str">
        <f t="shared" si="22"/>
        <v/>
      </c>
      <c r="R149" s="19" t="str">
        <f t="shared" si="27"/>
        <v/>
      </c>
      <c r="S149" s="27" t="str">
        <f t="shared" si="28"/>
        <v/>
      </c>
      <c r="T149" s="28" t="str">
        <f t="shared" si="28"/>
        <v/>
      </c>
      <c r="U149" s="28" t="str">
        <f t="shared" si="28"/>
        <v/>
      </c>
      <c r="V149" s="28" t="str">
        <f t="shared" si="28"/>
        <v/>
      </c>
      <c r="W149" s="28" t="str">
        <f t="shared" si="28"/>
        <v/>
      </c>
      <c r="X149" s="29" t="str">
        <f t="shared" si="28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7"/>
        <v/>
      </c>
      <c r="M150" s="19" t="str">
        <f t="shared" si="18"/>
        <v/>
      </c>
      <c r="N150" s="19" t="str">
        <f t="shared" si="19"/>
        <v/>
      </c>
      <c r="O150" s="19" t="str">
        <f t="shared" si="20"/>
        <v/>
      </c>
      <c r="P150" s="19" t="str">
        <f t="shared" si="21"/>
        <v/>
      </c>
      <c r="Q150" s="19" t="str">
        <f t="shared" si="22"/>
        <v/>
      </c>
      <c r="R150" s="19" t="str">
        <f t="shared" si="27"/>
        <v/>
      </c>
      <c r="S150" s="27" t="str">
        <f t="shared" si="28"/>
        <v/>
      </c>
      <c r="T150" s="28" t="str">
        <f t="shared" si="28"/>
        <v/>
      </c>
      <c r="U150" s="28" t="str">
        <f t="shared" si="28"/>
        <v/>
      </c>
      <c r="V150" s="28" t="str">
        <f t="shared" si="28"/>
        <v/>
      </c>
      <c r="W150" s="28" t="str">
        <f t="shared" si="28"/>
        <v/>
      </c>
      <c r="X150" s="29" t="str">
        <f t="shared" si="28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7"/>
        <v/>
      </c>
      <c r="M151" s="19" t="str">
        <f t="shared" si="18"/>
        <v/>
      </c>
      <c r="N151" s="19" t="str">
        <f t="shared" si="19"/>
        <v/>
      </c>
      <c r="O151" s="19" t="str">
        <f t="shared" si="20"/>
        <v/>
      </c>
      <c r="P151" s="19" t="str">
        <f t="shared" si="21"/>
        <v/>
      </c>
      <c r="Q151" s="19" t="str">
        <f t="shared" si="22"/>
        <v/>
      </c>
      <c r="R151" s="19" t="str">
        <f t="shared" si="27"/>
        <v/>
      </c>
      <c r="S151" s="27" t="str">
        <f t="shared" si="28"/>
        <v/>
      </c>
      <c r="T151" s="28" t="str">
        <f t="shared" si="28"/>
        <v/>
      </c>
      <c r="U151" s="28" t="str">
        <f t="shared" si="28"/>
        <v/>
      </c>
      <c r="V151" s="28" t="str">
        <f t="shared" si="28"/>
        <v/>
      </c>
      <c r="W151" s="28" t="str">
        <f t="shared" si="28"/>
        <v/>
      </c>
      <c r="X151" s="29" t="str">
        <f t="shared" si="28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7"/>
        <v/>
      </c>
      <c r="M152" s="19" t="str">
        <f t="shared" si="18"/>
        <v/>
      </c>
      <c r="N152" s="19" t="str">
        <f t="shared" si="19"/>
        <v/>
      </c>
      <c r="O152" s="19" t="str">
        <f t="shared" si="20"/>
        <v/>
      </c>
      <c r="P152" s="19" t="str">
        <f t="shared" si="21"/>
        <v/>
      </c>
      <c r="Q152" s="19" t="str">
        <f t="shared" si="22"/>
        <v/>
      </c>
      <c r="R152" s="19" t="str">
        <f t="shared" si="27"/>
        <v/>
      </c>
      <c r="S152" s="27" t="str">
        <f t="shared" si="28"/>
        <v/>
      </c>
      <c r="T152" s="28" t="str">
        <f t="shared" si="28"/>
        <v/>
      </c>
      <c r="U152" s="28" t="str">
        <f t="shared" si="28"/>
        <v/>
      </c>
      <c r="V152" s="28" t="str">
        <f t="shared" si="28"/>
        <v/>
      </c>
      <c r="W152" s="28" t="str">
        <f t="shared" si="28"/>
        <v/>
      </c>
      <c r="X152" s="29" t="str">
        <f t="shared" si="28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7"/>
        <v/>
      </c>
      <c r="M153" s="19" t="str">
        <f t="shared" si="18"/>
        <v/>
      </c>
      <c r="N153" s="19" t="str">
        <f t="shared" si="19"/>
        <v/>
      </c>
      <c r="O153" s="19" t="str">
        <f t="shared" si="20"/>
        <v/>
      </c>
      <c r="P153" s="19" t="str">
        <f t="shared" si="21"/>
        <v/>
      </c>
      <c r="Q153" s="19" t="str">
        <f t="shared" si="22"/>
        <v/>
      </c>
      <c r="R153" s="19" t="str">
        <f t="shared" si="27"/>
        <v/>
      </c>
      <c r="S153" s="27" t="str">
        <f t="shared" si="28"/>
        <v/>
      </c>
      <c r="T153" s="28" t="str">
        <f t="shared" si="28"/>
        <v/>
      </c>
      <c r="U153" s="28" t="str">
        <f t="shared" si="28"/>
        <v/>
      </c>
      <c r="V153" s="28" t="str">
        <f t="shared" si="28"/>
        <v/>
      </c>
      <c r="W153" s="28" t="str">
        <f t="shared" si="28"/>
        <v/>
      </c>
      <c r="X153" s="29" t="str">
        <f t="shared" si="28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3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5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TZ-36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37"/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41855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0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41858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782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1040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55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43">
        <v>41858</v>
      </c>
      <c r="C16" s="14">
        <v>12.355</v>
      </c>
      <c r="D16" s="15">
        <v>6.9459999999999997</v>
      </c>
      <c r="E16" s="15">
        <v>8.0120000000000005</v>
      </c>
      <c r="F16" s="42"/>
      <c r="G16" s="42"/>
      <c r="H16" s="42"/>
      <c r="I16" s="41">
        <v>106.65600000000001</v>
      </c>
      <c r="J16" s="62">
        <v>1055</v>
      </c>
      <c r="K16" s="55">
        <f>IF(ISBLANK(J16),"",(J16-$J$8))</f>
        <v>15</v>
      </c>
      <c r="L16" s="19">
        <f t="shared" ref="L16:Q34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:R79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41859</v>
      </c>
      <c r="C17" s="25">
        <v>12.353999999999999</v>
      </c>
      <c r="D17" s="26">
        <v>6.944</v>
      </c>
      <c r="E17" s="26">
        <v>8.0109999999999992</v>
      </c>
      <c r="F17" s="16"/>
      <c r="G17" s="16"/>
      <c r="H17" s="16"/>
      <c r="I17" s="17">
        <v>106.655</v>
      </c>
      <c r="J17" s="58">
        <v>1059</v>
      </c>
      <c r="K17" s="18">
        <f t="shared" ref="K17:K28" si="2">IF(ISBLANK(J17),"",(J17-$J$8))</f>
        <v>19</v>
      </c>
      <c r="L17" s="19">
        <f t="shared" si="0"/>
        <v>-1.0000000000012221</v>
      </c>
      <c r="M17" s="19">
        <f t="shared" si="0"/>
        <v>-1.9999999999997797</v>
      </c>
      <c r="N17" s="19">
        <f t="shared" si="0"/>
        <v>-1.0000000000012221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 t="shared" si="1"/>
        <v>-1.0000000000047748</v>
      </c>
      <c r="S17" s="27">
        <f t="shared" ref="S17:X32" si="3">IF(C17="","",((C17-C16)*1000)/($B17-$B16))</f>
        <v>-1.0000000000012221</v>
      </c>
      <c r="T17" s="28">
        <f t="shared" si="3"/>
        <v>-1.9999999999997797</v>
      </c>
      <c r="U17" s="28">
        <f t="shared" si="3"/>
        <v>-1.0000000000012221</v>
      </c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41862</v>
      </c>
      <c r="C18" s="25">
        <v>12.353999999999999</v>
      </c>
      <c r="D18" s="26">
        <v>6.944</v>
      </c>
      <c r="E18" s="26">
        <v>8.0120000000000005</v>
      </c>
      <c r="F18" s="16"/>
      <c r="G18" s="16"/>
      <c r="H18" s="16"/>
      <c r="I18" s="17">
        <v>106.655</v>
      </c>
      <c r="J18" s="58">
        <v>1066</v>
      </c>
      <c r="K18" s="18">
        <f t="shared" si="2"/>
        <v>26</v>
      </c>
      <c r="L18" s="19">
        <f t="shared" si="0"/>
        <v>-1.0000000000012221</v>
      </c>
      <c r="M18" s="19">
        <f t="shared" si="0"/>
        <v>-1.9999999999997797</v>
      </c>
      <c r="N18" s="19">
        <f t="shared" si="0"/>
        <v>0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1"/>
        <v>-1.0000000000047748</v>
      </c>
      <c r="S18" s="27">
        <f t="shared" si="3"/>
        <v>0</v>
      </c>
      <c r="T18" s="28">
        <f t="shared" si="3"/>
        <v>0</v>
      </c>
      <c r="U18" s="28">
        <f t="shared" si="3"/>
        <v>0.33333333333374071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41863</v>
      </c>
      <c r="C19" s="25">
        <v>12.353999999999999</v>
      </c>
      <c r="D19" s="26">
        <v>6.9429999999999996</v>
      </c>
      <c r="E19" s="26">
        <v>8.0109999999999992</v>
      </c>
      <c r="F19" s="16"/>
      <c r="G19" s="16"/>
      <c r="H19" s="16"/>
      <c r="I19" s="17">
        <v>106.655</v>
      </c>
      <c r="J19" s="58">
        <v>1074</v>
      </c>
      <c r="K19" s="18">
        <f t="shared" si="2"/>
        <v>34</v>
      </c>
      <c r="L19" s="19">
        <f t="shared" si="0"/>
        <v>-1.0000000000012221</v>
      </c>
      <c r="M19" s="19">
        <f t="shared" si="0"/>
        <v>-3.0000000000001137</v>
      </c>
      <c r="N19" s="19">
        <f t="shared" si="0"/>
        <v>-1.0000000000012221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1"/>
        <v>-1.0000000000047748</v>
      </c>
      <c r="S19" s="27">
        <f t="shared" si="3"/>
        <v>0</v>
      </c>
      <c r="T19" s="28">
        <f t="shared" si="3"/>
        <v>-1.000000000000334</v>
      </c>
      <c r="U19" s="28">
        <f t="shared" si="3"/>
        <v>-1.0000000000012221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41864</v>
      </c>
      <c r="C20" s="25">
        <v>12.353999999999999</v>
      </c>
      <c r="D20" s="26">
        <v>6.9429999999999996</v>
      </c>
      <c r="E20" s="26">
        <v>8.0109999999999992</v>
      </c>
      <c r="F20" s="16"/>
      <c r="G20" s="16"/>
      <c r="H20" s="16"/>
      <c r="I20" s="17">
        <v>106.654</v>
      </c>
      <c r="J20" s="58">
        <v>1082</v>
      </c>
      <c r="K20" s="18">
        <f t="shared" si="2"/>
        <v>42</v>
      </c>
      <c r="L20" s="19">
        <f t="shared" si="0"/>
        <v>-1.0000000000012221</v>
      </c>
      <c r="M20" s="19">
        <f t="shared" si="0"/>
        <v>-3.0000000000001137</v>
      </c>
      <c r="N20" s="19">
        <f t="shared" si="0"/>
        <v>-1.0000000000012221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1"/>
        <v>-2.0000000000095497</v>
      </c>
      <c r="S20" s="27">
        <f t="shared" si="3"/>
        <v>0</v>
      </c>
      <c r="T20" s="28">
        <f t="shared" si="3"/>
        <v>0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41865</v>
      </c>
      <c r="C21" s="25">
        <v>12.353</v>
      </c>
      <c r="D21" s="26">
        <v>6.9429999999999996</v>
      </c>
      <c r="E21" s="26">
        <v>8.0109999999999992</v>
      </c>
      <c r="F21" s="16"/>
      <c r="G21" s="16"/>
      <c r="H21" s="16"/>
      <c r="I21" s="17">
        <v>106.654</v>
      </c>
      <c r="J21" s="58">
        <v>1090</v>
      </c>
      <c r="K21" s="18">
        <f t="shared" si="2"/>
        <v>50</v>
      </c>
      <c r="L21" s="19">
        <f t="shared" si="0"/>
        <v>-2.0000000000006679</v>
      </c>
      <c r="M21" s="19">
        <f t="shared" si="0"/>
        <v>-3.0000000000001137</v>
      </c>
      <c r="N21" s="19">
        <f t="shared" si="0"/>
        <v>-1.0000000000012221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1"/>
        <v>-2.0000000000095497</v>
      </c>
      <c r="S21" s="27">
        <f t="shared" si="3"/>
        <v>-0.99999999999944578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41869</v>
      </c>
      <c r="C22" s="25">
        <v>12.353999999999999</v>
      </c>
      <c r="D22" s="26">
        <v>6.9429999999999996</v>
      </c>
      <c r="E22" s="26">
        <v>8.01</v>
      </c>
      <c r="F22" s="16"/>
      <c r="G22" s="16"/>
      <c r="H22" s="16"/>
      <c r="I22" s="17">
        <v>106.654</v>
      </c>
      <c r="J22" s="58">
        <v>1099</v>
      </c>
      <c r="K22" s="18">
        <f t="shared" si="2"/>
        <v>59</v>
      </c>
      <c r="L22" s="19">
        <f t="shared" si="0"/>
        <v>-1.0000000000012221</v>
      </c>
      <c r="M22" s="19">
        <f t="shared" si="0"/>
        <v>-3.0000000000001137</v>
      </c>
      <c r="N22" s="19">
        <f t="shared" si="0"/>
        <v>-2.0000000000006679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1"/>
        <v>-2.0000000000095497</v>
      </c>
      <c r="S22" s="27">
        <f t="shared" si="3"/>
        <v>0.24999999999986144</v>
      </c>
      <c r="T22" s="28">
        <f t="shared" si="3"/>
        <v>0</v>
      </c>
      <c r="U22" s="28">
        <f t="shared" si="3"/>
        <v>-0.24999999999986144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41870</v>
      </c>
      <c r="C23" s="25">
        <v>12.353999999999999</v>
      </c>
      <c r="D23" s="26">
        <v>6.9429999999999996</v>
      </c>
      <c r="E23" s="26">
        <v>8.01</v>
      </c>
      <c r="F23" s="16"/>
      <c r="G23" s="16"/>
      <c r="H23" s="16"/>
      <c r="I23" s="17">
        <v>106.65300000000001</v>
      </c>
      <c r="J23" s="58">
        <v>1105</v>
      </c>
      <c r="K23" s="18">
        <f t="shared" si="2"/>
        <v>65</v>
      </c>
      <c r="L23" s="19">
        <f t="shared" si="0"/>
        <v>-1.0000000000012221</v>
      </c>
      <c r="M23" s="19">
        <f t="shared" si="0"/>
        <v>-3.0000000000001137</v>
      </c>
      <c r="N23" s="19">
        <f t="shared" si="0"/>
        <v>-2.0000000000006679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1"/>
        <v>-3.0000000000001137</v>
      </c>
      <c r="S23" s="27">
        <f t="shared" si="3"/>
        <v>0</v>
      </c>
      <c r="T23" s="28">
        <f t="shared" si="3"/>
        <v>0</v>
      </c>
      <c r="U23" s="28">
        <f t="shared" si="3"/>
        <v>0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41871</v>
      </c>
      <c r="C24" s="25">
        <v>12.353</v>
      </c>
      <c r="D24" s="26">
        <v>6.9429999999999996</v>
      </c>
      <c r="E24" s="26">
        <v>8.01</v>
      </c>
      <c r="F24" s="16"/>
      <c r="G24" s="16"/>
      <c r="H24" s="16"/>
      <c r="I24" s="17">
        <v>106.65300000000001</v>
      </c>
      <c r="J24" s="58">
        <v>1111</v>
      </c>
      <c r="K24" s="18">
        <f t="shared" si="2"/>
        <v>71</v>
      </c>
      <c r="L24" s="19">
        <f t="shared" si="0"/>
        <v>-2.0000000000006679</v>
      </c>
      <c r="M24" s="19">
        <f t="shared" si="0"/>
        <v>-3.0000000000001137</v>
      </c>
      <c r="N24" s="19">
        <f t="shared" si="0"/>
        <v>-2.0000000000006679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1"/>
        <v>-3.0000000000001137</v>
      </c>
      <c r="S24" s="27">
        <f t="shared" si="3"/>
        <v>-0.99999999999944578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41872</v>
      </c>
      <c r="C25" s="25">
        <v>12.353999999999999</v>
      </c>
      <c r="D25" s="26">
        <v>6.9420000000000002</v>
      </c>
      <c r="E25" s="26">
        <v>8.01</v>
      </c>
      <c r="F25" s="16"/>
      <c r="G25" s="16"/>
      <c r="H25" s="16"/>
      <c r="I25" s="17">
        <v>106.65300000000001</v>
      </c>
      <c r="J25" s="58">
        <v>1113</v>
      </c>
      <c r="K25" s="18">
        <f t="shared" si="2"/>
        <v>73</v>
      </c>
      <c r="L25" s="19">
        <f t="shared" si="0"/>
        <v>-1.0000000000012221</v>
      </c>
      <c r="M25" s="19">
        <f t="shared" si="0"/>
        <v>-3.9999999999995595</v>
      </c>
      <c r="N25" s="19">
        <f t="shared" si="0"/>
        <v>-2.0000000000006679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1"/>
        <v>-3.0000000000001137</v>
      </c>
      <c r="S25" s="27">
        <f t="shared" si="3"/>
        <v>0.99999999999944578</v>
      </c>
      <c r="T25" s="28">
        <f t="shared" si="3"/>
        <v>-0.99999999999944578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41873</v>
      </c>
      <c r="C26" s="25">
        <v>12.353</v>
      </c>
      <c r="D26" s="26">
        <v>6.9420000000000002</v>
      </c>
      <c r="E26" s="26">
        <v>8.01</v>
      </c>
      <c r="F26" s="16"/>
      <c r="G26" s="16"/>
      <c r="H26" s="16"/>
      <c r="I26" s="17">
        <v>106.65300000000001</v>
      </c>
      <c r="J26" s="58">
        <v>1118</v>
      </c>
      <c r="K26" s="18">
        <f t="shared" si="2"/>
        <v>78</v>
      </c>
      <c r="L26" s="19">
        <f t="shared" si="0"/>
        <v>-2.0000000000006679</v>
      </c>
      <c r="M26" s="19">
        <f t="shared" si="0"/>
        <v>-3.9999999999995595</v>
      </c>
      <c r="N26" s="19">
        <f t="shared" si="0"/>
        <v>-2.0000000000006679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1"/>
        <v>-3.0000000000001137</v>
      </c>
      <c r="S26" s="27">
        <f t="shared" si="3"/>
        <v>-0.99999999999944578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41876</v>
      </c>
      <c r="C27" s="25">
        <v>12.353</v>
      </c>
      <c r="D27" s="26">
        <v>6.9420000000000002</v>
      </c>
      <c r="E27" s="26">
        <v>8.01</v>
      </c>
      <c r="F27" s="16"/>
      <c r="G27" s="16"/>
      <c r="H27" s="16"/>
      <c r="I27" s="17">
        <v>106.65300000000001</v>
      </c>
      <c r="J27" s="32">
        <v>1130</v>
      </c>
      <c r="K27" s="18">
        <f t="shared" si="2"/>
        <v>90</v>
      </c>
      <c r="L27" s="19">
        <f t="shared" si="0"/>
        <v>-2.0000000000006679</v>
      </c>
      <c r="M27" s="19">
        <f t="shared" si="0"/>
        <v>-3.9999999999995595</v>
      </c>
      <c r="N27" s="19">
        <f t="shared" si="0"/>
        <v>-2.0000000000006679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1"/>
        <v>-3.0000000000001137</v>
      </c>
      <c r="S27" s="27">
        <f t="shared" si="3"/>
        <v>0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41883</v>
      </c>
      <c r="C28" s="25">
        <v>12.353</v>
      </c>
      <c r="D28" s="26">
        <v>6.9420000000000002</v>
      </c>
      <c r="E28" s="26">
        <v>8.01</v>
      </c>
      <c r="F28" s="16"/>
      <c r="G28" s="16"/>
      <c r="H28" s="16"/>
      <c r="I28" s="17">
        <v>106.65300000000001</v>
      </c>
      <c r="J28" s="32">
        <v>1170</v>
      </c>
      <c r="K28" s="18">
        <f t="shared" si="2"/>
        <v>130</v>
      </c>
      <c r="L28" s="19">
        <f t="shared" si="0"/>
        <v>-2.0000000000006679</v>
      </c>
      <c r="M28" s="19">
        <f t="shared" si="0"/>
        <v>-3.9999999999995595</v>
      </c>
      <c r="N28" s="19">
        <f t="shared" si="0"/>
        <v>-2.0000000000006679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1"/>
        <v>-3.0000000000001137</v>
      </c>
      <c r="S28" s="27">
        <f t="shared" si="3"/>
        <v>0</v>
      </c>
      <c r="T28" s="28">
        <f t="shared" si="3"/>
        <v>0</v>
      </c>
      <c r="U28" s="28">
        <f t="shared" si="3"/>
        <v>0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41890</v>
      </c>
      <c r="C29" s="25">
        <v>12.353</v>
      </c>
      <c r="D29" s="26">
        <v>6.9420000000000002</v>
      </c>
      <c r="E29" s="26">
        <v>8.01</v>
      </c>
      <c r="F29" s="16"/>
      <c r="G29" s="16"/>
      <c r="H29" s="16"/>
      <c r="I29" s="17">
        <v>106.652</v>
      </c>
      <c r="J29" s="58">
        <v>1177</v>
      </c>
      <c r="K29" s="18">
        <f>IF(ISBLANK(J29),"",(J29-$J$8))</f>
        <v>137</v>
      </c>
      <c r="L29" s="19">
        <f t="shared" si="0"/>
        <v>-2.0000000000006679</v>
      </c>
      <c r="M29" s="19">
        <f t="shared" si="0"/>
        <v>-3.9999999999995595</v>
      </c>
      <c r="N29" s="19">
        <f t="shared" si="0"/>
        <v>-2.0000000000006679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41897</v>
      </c>
      <c r="C30" s="25">
        <v>12.353999999999999</v>
      </c>
      <c r="D30" s="26">
        <v>6.9420000000000002</v>
      </c>
      <c r="E30" s="26">
        <v>8.0109999999999992</v>
      </c>
      <c r="F30" s="16"/>
      <c r="G30" s="16"/>
      <c r="H30" s="16"/>
      <c r="I30" s="17">
        <v>106.652</v>
      </c>
      <c r="J30" s="58">
        <v>1191</v>
      </c>
      <c r="K30" s="18">
        <f>IF(ISBLANK(J30),"",(J30-$J$8))</f>
        <v>151</v>
      </c>
      <c r="L30" s="19">
        <f t="shared" si="0"/>
        <v>-1.0000000000012221</v>
      </c>
      <c r="M30" s="19">
        <f t="shared" si="0"/>
        <v>-3.9999999999995595</v>
      </c>
      <c r="N30" s="19">
        <f t="shared" si="0"/>
        <v>-1.0000000000012221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1"/>
        <v>-4.0000000000048885</v>
      </c>
      <c r="S30" s="27">
        <f t="shared" si="3"/>
        <v>0.14285714285706369</v>
      </c>
      <c r="T30" s="28">
        <f t="shared" si="3"/>
        <v>0</v>
      </c>
      <c r="U30" s="28">
        <f t="shared" si="3"/>
        <v>0.14285714285706369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41913</v>
      </c>
      <c r="C31" s="25">
        <v>12.353</v>
      </c>
      <c r="D31" s="26">
        <v>6.9409999999999998</v>
      </c>
      <c r="E31" s="26">
        <v>8.0109999999999992</v>
      </c>
      <c r="F31" s="16"/>
      <c r="G31" s="16"/>
      <c r="H31" s="16"/>
      <c r="I31" s="17">
        <v>106.652</v>
      </c>
      <c r="J31" s="58">
        <v>1277</v>
      </c>
      <c r="K31" s="18">
        <f>IF(ISBLANK(J31),"",(J31-$J$8))</f>
        <v>237</v>
      </c>
      <c r="L31" s="19">
        <f t="shared" si="0"/>
        <v>-2.0000000000006679</v>
      </c>
      <c r="M31" s="19">
        <f t="shared" si="0"/>
        <v>-4.9999999999998934</v>
      </c>
      <c r="N31" s="19">
        <f t="shared" si="0"/>
        <v>-1.0000000000012221</v>
      </c>
      <c r="O31" s="19" t="str">
        <f t="shared" si="0"/>
        <v/>
      </c>
      <c r="P31" s="19" t="str">
        <f t="shared" si="0"/>
        <v/>
      </c>
      <c r="Q31" s="19" t="str">
        <f t="shared" si="0"/>
        <v/>
      </c>
      <c r="R31" s="19">
        <f t="shared" si="1"/>
        <v>-4.0000000000048885</v>
      </c>
      <c r="S31" s="27">
        <f t="shared" si="3"/>
        <v>-6.2499999999965361E-2</v>
      </c>
      <c r="T31" s="28">
        <f t="shared" si="3"/>
        <v>-6.2500000000020872E-2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42032</v>
      </c>
      <c r="C32" s="25">
        <v>12.353</v>
      </c>
      <c r="D32" s="26">
        <v>6.9420000000000002</v>
      </c>
      <c r="E32" s="26">
        <v>8.0109999999999992</v>
      </c>
      <c r="F32" s="16"/>
      <c r="G32" s="16"/>
      <c r="H32" s="16"/>
      <c r="I32" s="17">
        <v>106.65300000000001</v>
      </c>
      <c r="J32" s="58">
        <v>1597</v>
      </c>
      <c r="K32" s="18">
        <f>IF(ISBLANK(J32),"",(J32-$J$8))</f>
        <v>557</v>
      </c>
      <c r="L32" s="19">
        <f t="shared" si="0"/>
        <v>-2.0000000000006679</v>
      </c>
      <c r="M32" s="19">
        <f t="shared" si="0"/>
        <v>-3.9999999999995595</v>
      </c>
      <c r="N32" s="19">
        <f t="shared" si="0"/>
        <v>-1.0000000000012221</v>
      </c>
      <c r="O32" s="19" t="str">
        <f t="shared" si="0"/>
        <v/>
      </c>
      <c r="P32" s="19" t="str">
        <f t="shared" si="0"/>
        <v/>
      </c>
      <c r="Q32" s="19" t="str">
        <f t="shared" si="0"/>
        <v/>
      </c>
      <c r="R32" s="19">
        <f t="shared" si="1"/>
        <v>-3.0000000000001137</v>
      </c>
      <c r="S32" s="27">
        <f t="shared" si="3"/>
        <v>0</v>
      </c>
      <c r="T32" s="28">
        <f t="shared" si="3"/>
        <v>8.4033613445406215E-3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42121</v>
      </c>
      <c r="C33" s="25">
        <v>12.353</v>
      </c>
      <c r="D33" s="26">
        <v>6.9420000000000002</v>
      </c>
      <c r="E33" s="26">
        <v>8.0109999999999992</v>
      </c>
      <c r="F33" s="16"/>
      <c r="G33" s="16"/>
      <c r="H33" s="16"/>
      <c r="I33" s="17">
        <v>106.652</v>
      </c>
      <c r="J33" s="58">
        <v>2011</v>
      </c>
      <c r="K33" s="18">
        <f>IF(ISBLANK(J33),"",(J33-$J$8))</f>
        <v>971</v>
      </c>
      <c r="L33" s="19">
        <f t="shared" si="0"/>
        <v>-2.0000000000006679</v>
      </c>
      <c r="M33" s="19">
        <f t="shared" si="0"/>
        <v>-3.9999999999995595</v>
      </c>
      <c r="N33" s="19">
        <f t="shared" si="0"/>
        <v>-1.0000000000012221</v>
      </c>
      <c r="O33" s="19" t="str">
        <f t="shared" si="0"/>
        <v/>
      </c>
      <c r="P33" s="19" t="str">
        <f t="shared" si="0"/>
        <v/>
      </c>
      <c r="Q33" s="19" t="str">
        <f t="shared" si="0"/>
        <v/>
      </c>
      <c r="R33" s="19">
        <f t="shared" si="1"/>
        <v>-4.0000000000048885</v>
      </c>
      <c r="S33" s="27">
        <f t="shared" ref="S33:X48" si="4">IF(C33="","",((C33-C32)*1000)/($B33-$B32))</f>
        <v>0</v>
      </c>
      <c r="T33" s="28">
        <f t="shared" si="4"/>
        <v>0</v>
      </c>
      <c r="U33" s="28">
        <f t="shared" si="4"/>
        <v>0</v>
      </c>
      <c r="V33" s="28" t="str">
        <f t="shared" si="4"/>
        <v/>
      </c>
      <c r="W33" s="28" t="str">
        <f t="shared" si="4"/>
        <v/>
      </c>
      <c r="X33" s="29" t="str">
        <f t="shared" si="4"/>
        <v/>
      </c>
      <c r="Y33" s="24"/>
    </row>
    <row r="34" spans="2:25" ht="15" customHeight="1" x14ac:dyDescent="0.2">
      <c r="B34" s="31">
        <v>42205</v>
      </c>
      <c r="C34" s="74">
        <v>12.388</v>
      </c>
      <c r="D34" s="26">
        <v>6.9420000000000002</v>
      </c>
      <c r="E34" s="70">
        <v>8.0820000000000007</v>
      </c>
      <c r="F34" s="16">
        <v>13.387</v>
      </c>
      <c r="G34" s="16">
        <v>9.6620000000000008</v>
      </c>
      <c r="H34" s="16">
        <v>10.449</v>
      </c>
      <c r="I34" s="17">
        <v>106.652</v>
      </c>
      <c r="J34" s="58">
        <v>1057</v>
      </c>
      <c r="K34" s="18">
        <f t="shared" ref="K34:K36" si="5">IF(ISBLANK(J34),"",(J34-$J$8))</f>
        <v>17</v>
      </c>
      <c r="L34" s="19">
        <f>IF(ISBLANK(C34),"",((C34-C$34)*1000)+L$33)</f>
        <v>-2.0000000000006679</v>
      </c>
      <c r="M34" s="19">
        <f t="shared" si="0"/>
        <v>-3.9999999999995595</v>
      </c>
      <c r="N34" s="19">
        <f>IF(ISBLANK(E34),"",(E34-E$34)*1000)</f>
        <v>0</v>
      </c>
      <c r="O34" s="19">
        <f>IF(ISBLANK(F34),"",((F34-F$34)*1000)+L$34)</f>
        <v>-2.0000000000006679</v>
      </c>
      <c r="P34" s="19">
        <f>IF(ISBLANK(G34),"",((G34-G$34)*1000)+M$34)</f>
        <v>-3.9999999999995595</v>
      </c>
      <c r="Q34" s="19">
        <f>IF(ISBLANK(H34),"",(H34-H$34)*1000)</f>
        <v>0</v>
      </c>
      <c r="R34" s="19">
        <f t="shared" si="1"/>
        <v>-4.0000000000048885</v>
      </c>
      <c r="S34" s="27">
        <f t="shared" si="4"/>
        <v>0.41666666666666835</v>
      </c>
      <c r="T34" s="28">
        <f t="shared" si="4"/>
        <v>0</v>
      </c>
      <c r="U34" s="28">
        <f t="shared" si="4"/>
        <v>0.84523809523811322</v>
      </c>
      <c r="V34" s="28"/>
      <c r="W34" s="28"/>
      <c r="X34" s="29"/>
      <c r="Y34" s="24" t="s">
        <v>53</v>
      </c>
    </row>
    <row r="35" spans="2:25" ht="15" customHeight="1" x14ac:dyDescent="0.2">
      <c r="B35" s="31">
        <v>42206</v>
      </c>
      <c r="C35" s="25">
        <v>12.388999999999999</v>
      </c>
      <c r="D35" s="26">
        <v>6.94</v>
      </c>
      <c r="E35" s="26">
        <v>8.0820000000000007</v>
      </c>
      <c r="F35" s="16">
        <v>13.387</v>
      </c>
      <c r="G35" s="16">
        <v>9.6609999999999996</v>
      </c>
      <c r="H35" s="16">
        <v>10.449</v>
      </c>
      <c r="I35" s="17">
        <v>106.651</v>
      </c>
      <c r="J35" s="58">
        <v>1081</v>
      </c>
      <c r="K35" s="18">
        <f t="shared" si="5"/>
        <v>41</v>
      </c>
      <c r="L35" s="19">
        <f t="shared" ref="L35:L98" si="6">IF(ISBLANK(C35),"",((C35-C$34)*1000)+L$33)</f>
        <v>-1.0000000000012221</v>
      </c>
      <c r="M35" s="19">
        <f t="shared" ref="M35:M98" si="7">IF(ISBLANK(D35),"",(D35-D$16)*1000)</f>
        <v>-5.9999999999993392</v>
      </c>
      <c r="N35" s="19">
        <f t="shared" ref="N35:N98" si="8">IF(ISBLANK(E35),"",(E35-E$34)*1000)</f>
        <v>0</v>
      </c>
      <c r="O35" s="19">
        <f t="shared" ref="O35:O98" si="9">IF(ISBLANK(F35),"",((F35-F$34)*1000)+L$34)</f>
        <v>-2.0000000000006679</v>
      </c>
      <c r="P35" s="19">
        <f t="shared" ref="P35:P98" si="10">IF(ISBLANK(G35),"",((G35-G$34)*1000)+M$34)</f>
        <v>-5.0000000000007816</v>
      </c>
      <c r="Q35" s="19">
        <f t="shared" ref="Q35:Q98" si="11">IF(ISBLANK(H35),"",(H35-H$34)*1000)</f>
        <v>0</v>
      </c>
      <c r="R35" s="19">
        <f t="shared" si="1"/>
        <v>-5.0000000000096634</v>
      </c>
      <c r="S35" s="27">
        <f t="shared" si="4"/>
        <v>0.99999999999944578</v>
      </c>
      <c r="T35" s="28">
        <f t="shared" si="4"/>
        <v>-1.9999999999997797</v>
      </c>
      <c r="U35" s="28">
        <f t="shared" si="4"/>
        <v>0</v>
      </c>
      <c r="V35" s="28">
        <f t="shared" si="4"/>
        <v>0</v>
      </c>
      <c r="W35" s="28">
        <f t="shared" si="4"/>
        <v>-1.0000000000012221</v>
      </c>
      <c r="X35" s="29">
        <f t="shared" si="4"/>
        <v>0</v>
      </c>
      <c r="Y35" s="24"/>
    </row>
    <row r="36" spans="2:25" ht="15" customHeight="1" x14ac:dyDescent="0.2">
      <c r="B36" s="31">
        <v>42209</v>
      </c>
      <c r="C36" s="25">
        <v>12.388999999999999</v>
      </c>
      <c r="D36" s="26">
        <v>6.94</v>
      </c>
      <c r="E36" s="26">
        <v>8.0820000000000007</v>
      </c>
      <c r="F36" s="16">
        <v>13.387</v>
      </c>
      <c r="G36" s="16">
        <v>9.6609999999999996</v>
      </c>
      <c r="H36" s="16">
        <v>10.448</v>
      </c>
      <c r="I36" s="17">
        <v>106.652</v>
      </c>
      <c r="J36" s="58">
        <v>1149</v>
      </c>
      <c r="K36" s="18">
        <f t="shared" si="5"/>
        <v>109</v>
      </c>
      <c r="L36" s="19">
        <f t="shared" si="6"/>
        <v>-1.0000000000012221</v>
      </c>
      <c r="M36" s="19">
        <f t="shared" si="7"/>
        <v>-5.9999999999993392</v>
      </c>
      <c r="N36" s="19">
        <f t="shared" si="8"/>
        <v>0</v>
      </c>
      <c r="O36" s="19">
        <f t="shared" si="9"/>
        <v>-2.0000000000006679</v>
      </c>
      <c r="P36" s="19">
        <f t="shared" si="10"/>
        <v>-5.0000000000007816</v>
      </c>
      <c r="Q36" s="19">
        <f t="shared" si="11"/>
        <v>-0.99999999999944578</v>
      </c>
      <c r="R36" s="19">
        <f t="shared" si="1"/>
        <v>-4.0000000000048885</v>
      </c>
      <c r="S36" s="27">
        <f t="shared" si="4"/>
        <v>0</v>
      </c>
      <c r="T36" s="28">
        <f t="shared" si="4"/>
        <v>0</v>
      </c>
      <c r="U36" s="28">
        <f t="shared" si="4"/>
        <v>0</v>
      </c>
      <c r="V36" s="28">
        <f t="shared" si="4"/>
        <v>0</v>
      </c>
      <c r="W36" s="28">
        <f t="shared" si="4"/>
        <v>0</v>
      </c>
      <c r="X36" s="29">
        <f t="shared" si="4"/>
        <v>-0.33333333333314857</v>
      </c>
      <c r="Y36" s="24"/>
    </row>
    <row r="37" spans="2:25" ht="15" customHeight="1" x14ac:dyDescent="0.2">
      <c r="B37" s="31">
        <v>42212</v>
      </c>
      <c r="C37" s="25">
        <v>12.388999999999999</v>
      </c>
      <c r="D37" s="26">
        <v>6.94</v>
      </c>
      <c r="E37" s="26">
        <v>8.0820000000000007</v>
      </c>
      <c r="F37" s="16">
        <v>13.385999999999999</v>
      </c>
      <c r="G37" s="16">
        <v>9.6609999999999996</v>
      </c>
      <c r="H37" s="16">
        <v>10.449</v>
      </c>
      <c r="I37" s="17">
        <v>106.652</v>
      </c>
      <c r="J37" s="58">
        <v>1175</v>
      </c>
      <c r="K37" s="18">
        <f t="shared" ref="K37:K39" si="12">IF(ISBLANK(J37),"",(J37-$J$8))</f>
        <v>135</v>
      </c>
      <c r="L37" s="19">
        <f t="shared" si="6"/>
        <v>-1.0000000000012221</v>
      </c>
      <c r="M37" s="19">
        <f t="shared" si="7"/>
        <v>-5.9999999999993392</v>
      </c>
      <c r="N37" s="19">
        <f t="shared" si="8"/>
        <v>0</v>
      </c>
      <c r="O37" s="19">
        <f t="shared" si="9"/>
        <v>-3.00000000000189</v>
      </c>
      <c r="P37" s="19">
        <f t="shared" si="10"/>
        <v>-5.0000000000007816</v>
      </c>
      <c r="Q37" s="19">
        <f t="shared" si="11"/>
        <v>0</v>
      </c>
      <c r="R37" s="19">
        <f t="shared" si="1"/>
        <v>-4.0000000000048885</v>
      </c>
      <c r="S37" s="27">
        <f t="shared" si="4"/>
        <v>0</v>
      </c>
      <c r="T37" s="28">
        <f t="shared" si="4"/>
        <v>0</v>
      </c>
      <c r="U37" s="28">
        <f t="shared" si="4"/>
        <v>0</v>
      </c>
      <c r="V37" s="28">
        <f t="shared" si="4"/>
        <v>-0.33333333333374071</v>
      </c>
      <c r="W37" s="28">
        <f t="shared" si="4"/>
        <v>0</v>
      </c>
      <c r="X37" s="29">
        <f t="shared" si="4"/>
        <v>0.33333333333314857</v>
      </c>
      <c r="Y37" s="24"/>
    </row>
    <row r="38" spans="2:25" ht="15" customHeight="1" x14ac:dyDescent="0.2">
      <c r="B38" s="31">
        <v>42213</v>
      </c>
      <c r="C38" s="25">
        <v>12.388999999999999</v>
      </c>
      <c r="D38" s="26">
        <v>6.94</v>
      </c>
      <c r="E38" s="26">
        <v>8.0820000000000007</v>
      </c>
      <c r="F38" s="16">
        <v>13.387</v>
      </c>
      <c r="G38" s="16">
        <v>9.6609999999999996</v>
      </c>
      <c r="H38" s="16">
        <v>10.449</v>
      </c>
      <c r="I38" s="17">
        <v>106.651</v>
      </c>
      <c r="J38" s="58">
        <v>1179</v>
      </c>
      <c r="K38" s="18">
        <f t="shared" si="12"/>
        <v>139</v>
      </c>
      <c r="L38" s="19">
        <f t="shared" si="6"/>
        <v>-1.0000000000012221</v>
      </c>
      <c r="M38" s="19">
        <f t="shared" si="7"/>
        <v>-5.9999999999993392</v>
      </c>
      <c r="N38" s="19">
        <f t="shared" si="8"/>
        <v>0</v>
      </c>
      <c r="O38" s="19">
        <f t="shared" si="9"/>
        <v>-2.0000000000006679</v>
      </c>
      <c r="P38" s="19">
        <f t="shared" si="10"/>
        <v>-5.0000000000007816</v>
      </c>
      <c r="Q38" s="19">
        <f t="shared" si="11"/>
        <v>0</v>
      </c>
      <c r="R38" s="19">
        <f t="shared" si="1"/>
        <v>-5.0000000000096634</v>
      </c>
      <c r="S38" s="27">
        <f t="shared" si="4"/>
        <v>0</v>
      </c>
      <c r="T38" s="28">
        <f t="shared" si="4"/>
        <v>0</v>
      </c>
      <c r="U38" s="28">
        <f t="shared" si="4"/>
        <v>0</v>
      </c>
      <c r="V38" s="28">
        <f t="shared" si="4"/>
        <v>1.0000000000012221</v>
      </c>
      <c r="W38" s="28">
        <f t="shared" si="4"/>
        <v>0</v>
      </c>
      <c r="X38" s="29">
        <f t="shared" si="4"/>
        <v>0</v>
      </c>
      <c r="Y38" s="24"/>
    </row>
    <row r="39" spans="2:25" ht="15" customHeight="1" x14ac:dyDescent="0.2">
      <c r="B39" s="31">
        <v>42214</v>
      </c>
      <c r="C39" s="25">
        <v>12.388999999999999</v>
      </c>
      <c r="D39" s="26">
        <v>6.9409999999999998</v>
      </c>
      <c r="E39" s="26">
        <v>8.0820000000000007</v>
      </c>
      <c r="F39" s="16">
        <v>13.387</v>
      </c>
      <c r="G39" s="16">
        <v>9.6620000000000008</v>
      </c>
      <c r="H39" s="16">
        <v>10.448</v>
      </c>
      <c r="I39" s="17">
        <v>106.652</v>
      </c>
      <c r="J39" s="58">
        <v>1183</v>
      </c>
      <c r="K39" s="18">
        <f t="shared" si="12"/>
        <v>143</v>
      </c>
      <c r="L39" s="19">
        <f t="shared" si="6"/>
        <v>-1.0000000000012221</v>
      </c>
      <c r="M39" s="19">
        <f t="shared" si="7"/>
        <v>-4.9999999999998934</v>
      </c>
      <c r="N39" s="19">
        <f t="shared" si="8"/>
        <v>0</v>
      </c>
      <c r="O39" s="19">
        <f t="shared" si="9"/>
        <v>-2.0000000000006679</v>
      </c>
      <c r="P39" s="19">
        <f t="shared" si="10"/>
        <v>-3.9999999999995595</v>
      </c>
      <c r="Q39" s="19">
        <f t="shared" si="11"/>
        <v>-0.99999999999944578</v>
      </c>
      <c r="R39" s="19">
        <f t="shared" si="1"/>
        <v>-4.0000000000048885</v>
      </c>
      <c r="S39" s="27">
        <f t="shared" si="4"/>
        <v>0</v>
      </c>
      <c r="T39" s="28">
        <f t="shared" si="4"/>
        <v>0.99999999999944578</v>
      </c>
      <c r="U39" s="28">
        <f t="shared" si="4"/>
        <v>0</v>
      </c>
      <c r="V39" s="28">
        <f t="shared" si="4"/>
        <v>0</v>
      </c>
      <c r="W39" s="28">
        <f t="shared" si="4"/>
        <v>1.0000000000012221</v>
      </c>
      <c r="X39" s="29">
        <f t="shared" si="4"/>
        <v>-0.99999999999944578</v>
      </c>
      <c r="Y39" s="24"/>
    </row>
    <row r="40" spans="2:25" ht="15" customHeight="1" x14ac:dyDescent="0.2">
      <c r="B40" s="31">
        <v>42215</v>
      </c>
      <c r="C40" s="25">
        <v>12.388</v>
      </c>
      <c r="D40" s="26">
        <v>6.9409999999999998</v>
      </c>
      <c r="E40" s="26">
        <v>8.0820000000000007</v>
      </c>
      <c r="F40" s="16">
        <v>13.385</v>
      </c>
      <c r="G40" s="16">
        <v>9.6609999999999996</v>
      </c>
      <c r="H40" s="16">
        <v>10.449</v>
      </c>
      <c r="I40" s="17">
        <v>106.652</v>
      </c>
      <c r="J40" s="58">
        <v>999</v>
      </c>
      <c r="K40" s="18">
        <f>IF(ISBLANK(J40),"",(J40-$J$8))</f>
        <v>-41</v>
      </c>
      <c r="L40" s="19">
        <f t="shared" si="6"/>
        <v>-2.0000000000006679</v>
      </c>
      <c r="M40" s="19">
        <f t="shared" si="7"/>
        <v>-4.9999999999998934</v>
      </c>
      <c r="N40" s="19">
        <f t="shared" si="8"/>
        <v>0</v>
      </c>
      <c r="O40" s="19">
        <f t="shared" si="9"/>
        <v>-4.0000000000013358</v>
      </c>
      <c r="P40" s="19">
        <f t="shared" si="10"/>
        <v>-5.0000000000007816</v>
      </c>
      <c r="Q40" s="19">
        <f t="shared" si="11"/>
        <v>0</v>
      </c>
      <c r="R40" s="19">
        <f t="shared" si="1"/>
        <v>-4.0000000000048885</v>
      </c>
      <c r="S40" s="27">
        <f t="shared" si="4"/>
        <v>-0.99999999999944578</v>
      </c>
      <c r="T40" s="28">
        <f t="shared" si="4"/>
        <v>0</v>
      </c>
      <c r="U40" s="28">
        <f t="shared" si="4"/>
        <v>0</v>
      </c>
      <c r="V40" s="28">
        <f t="shared" si="4"/>
        <v>-2.0000000000006679</v>
      </c>
      <c r="W40" s="28">
        <f t="shared" si="4"/>
        <v>-1.0000000000012221</v>
      </c>
      <c r="X40" s="29">
        <f t="shared" si="4"/>
        <v>0.99999999999944578</v>
      </c>
      <c r="Y40" s="24"/>
    </row>
    <row r="41" spans="2:25" ht="15" customHeight="1" x14ac:dyDescent="0.2">
      <c r="B41" s="31">
        <v>42219</v>
      </c>
      <c r="C41" s="25">
        <v>12.388999999999999</v>
      </c>
      <c r="D41" s="26">
        <v>6.94</v>
      </c>
      <c r="E41" s="26">
        <v>8.0820000000000007</v>
      </c>
      <c r="F41" s="16">
        <v>13.385999999999999</v>
      </c>
      <c r="G41" s="16">
        <v>9.6609999999999996</v>
      </c>
      <c r="H41" s="16">
        <v>10.449</v>
      </c>
      <c r="I41" s="17">
        <v>106.652</v>
      </c>
      <c r="J41" s="58">
        <v>1206</v>
      </c>
      <c r="K41" s="18">
        <f>IF(ISBLANK(J41),"",(J41-$J$8))</f>
        <v>166</v>
      </c>
      <c r="L41" s="19">
        <f t="shared" si="6"/>
        <v>-1.0000000000012221</v>
      </c>
      <c r="M41" s="19">
        <f t="shared" si="7"/>
        <v>-5.9999999999993392</v>
      </c>
      <c r="N41" s="19">
        <f t="shared" si="8"/>
        <v>0</v>
      </c>
      <c r="O41" s="19">
        <f t="shared" si="9"/>
        <v>-3.00000000000189</v>
      </c>
      <c r="P41" s="19">
        <f t="shared" si="10"/>
        <v>-5.0000000000007816</v>
      </c>
      <c r="Q41" s="19">
        <f t="shared" si="11"/>
        <v>0</v>
      </c>
      <c r="R41" s="19">
        <f t="shared" si="1"/>
        <v>-4.0000000000048885</v>
      </c>
      <c r="S41" s="27">
        <f t="shared" si="4"/>
        <v>0.24999999999986144</v>
      </c>
      <c r="T41" s="28">
        <f t="shared" si="4"/>
        <v>-0.24999999999986144</v>
      </c>
      <c r="U41" s="28">
        <f t="shared" si="4"/>
        <v>0</v>
      </c>
      <c r="V41" s="28">
        <f t="shared" si="4"/>
        <v>0.24999999999986144</v>
      </c>
      <c r="W41" s="28">
        <f t="shared" si="4"/>
        <v>0</v>
      </c>
      <c r="X41" s="29">
        <f t="shared" si="4"/>
        <v>0</v>
      </c>
      <c r="Y41" s="24"/>
    </row>
    <row r="42" spans="2:25" ht="15" customHeight="1" x14ac:dyDescent="0.2">
      <c r="B42" s="31">
        <v>42311</v>
      </c>
      <c r="C42" s="25">
        <v>12.388</v>
      </c>
      <c r="D42" s="26">
        <v>6.94</v>
      </c>
      <c r="E42" s="26">
        <v>8.0820000000000007</v>
      </c>
      <c r="F42" s="16">
        <v>13.385999999999999</v>
      </c>
      <c r="G42" s="16">
        <v>9.6609999999999996</v>
      </c>
      <c r="H42" s="16">
        <v>10.449</v>
      </c>
      <c r="I42" s="17">
        <v>106.652</v>
      </c>
      <c r="J42" s="58">
        <v>2203</v>
      </c>
      <c r="K42" s="59">
        <f t="shared" ref="K42:K44" si="13">IF(ISBLANK(J42),"",(J42-$J$8))</f>
        <v>1163</v>
      </c>
      <c r="L42" s="19">
        <f t="shared" si="6"/>
        <v>-2.0000000000006679</v>
      </c>
      <c r="M42" s="19">
        <f t="shared" si="7"/>
        <v>-5.9999999999993392</v>
      </c>
      <c r="N42" s="19">
        <f t="shared" si="8"/>
        <v>0</v>
      </c>
      <c r="O42" s="19">
        <f t="shared" si="9"/>
        <v>-3.00000000000189</v>
      </c>
      <c r="P42" s="19">
        <f t="shared" si="10"/>
        <v>-5.0000000000007816</v>
      </c>
      <c r="Q42" s="19">
        <f t="shared" si="11"/>
        <v>0</v>
      </c>
      <c r="R42" s="19">
        <f t="shared" si="1"/>
        <v>-4.0000000000048885</v>
      </c>
      <c r="S42" s="27">
        <f t="shared" si="4"/>
        <v>-1.0869565217385279E-2</v>
      </c>
      <c r="T42" s="28">
        <f t="shared" si="4"/>
        <v>0</v>
      </c>
      <c r="U42" s="28">
        <f t="shared" si="4"/>
        <v>0</v>
      </c>
      <c r="V42" s="28">
        <f t="shared" si="4"/>
        <v>0</v>
      </c>
      <c r="W42" s="28">
        <f t="shared" si="4"/>
        <v>0</v>
      </c>
      <c r="X42" s="29">
        <f t="shared" si="4"/>
        <v>0</v>
      </c>
      <c r="Y42" s="24"/>
    </row>
    <row r="43" spans="2:25" ht="15" customHeight="1" x14ac:dyDescent="0.2">
      <c r="B43" s="31">
        <v>42404</v>
      </c>
      <c r="C43" s="33"/>
      <c r="D43" s="16"/>
      <c r="E43" s="16"/>
      <c r="F43" s="16">
        <v>13.387</v>
      </c>
      <c r="G43" s="16">
        <v>9.6620000000000008</v>
      </c>
      <c r="H43" s="16">
        <v>10.449</v>
      </c>
      <c r="I43" s="17">
        <v>106.652</v>
      </c>
      <c r="J43" s="58">
        <v>2484</v>
      </c>
      <c r="K43" s="18">
        <f t="shared" si="13"/>
        <v>1444</v>
      </c>
      <c r="L43" s="19" t="str">
        <f t="shared" si="6"/>
        <v/>
      </c>
      <c r="M43" s="19" t="str">
        <f t="shared" si="7"/>
        <v/>
      </c>
      <c r="N43" s="19" t="str">
        <f t="shared" si="8"/>
        <v/>
      </c>
      <c r="O43" s="19">
        <f t="shared" si="9"/>
        <v>-2.0000000000006679</v>
      </c>
      <c r="P43" s="19">
        <f t="shared" si="10"/>
        <v>-3.9999999999995595</v>
      </c>
      <c r="Q43" s="19">
        <f t="shared" si="11"/>
        <v>0</v>
      </c>
      <c r="R43" s="19">
        <f t="shared" si="1"/>
        <v>-4.0000000000048885</v>
      </c>
      <c r="S43" s="27" t="str">
        <f t="shared" si="4"/>
        <v/>
      </c>
      <c r="T43" s="28" t="str">
        <f t="shared" si="4"/>
        <v/>
      </c>
      <c r="U43" s="28" t="str">
        <f t="shared" si="4"/>
        <v/>
      </c>
      <c r="V43" s="28">
        <f t="shared" si="4"/>
        <v>1.0752688172056152E-2</v>
      </c>
      <c r="W43" s="28">
        <f t="shared" si="4"/>
        <v>1.0752688172056152E-2</v>
      </c>
      <c r="X43" s="29">
        <f t="shared" si="4"/>
        <v>0</v>
      </c>
      <c r="Y43" s="24"/>
    </row>
    <row r="44" spans="2:25" ht="15" customHeight="1" x14ac:dyDescent="0.2">
      <c r="B44" s="31">
        <v>42530</v>
      </c>
      <c r="C44" s="26"/>
      <c r="D44" s="26"/>
      <c r="E44" s="26"/>
      <c r="F44" s="16">
        <v>13.387</v>
      </c>
      <c r="G44" s="16">
        <v>9.6609999999999996</v>
      </c>
      <c r="H44" s="16">
        <v>10.45</v>
      </c>
      <c r="I44" s="17">
        <v>106.651</v>
      </c>
      <c r="J44" s="58">
        <v>2608</v>
      </c>
      <c r="K44" s="18">
        <f t="shared" si="13"/>
        <v>1568</v>
      </c>
      <c r="L44" s="19" t="str">
        <f t="shared" si="6"/>
        <v/>
      </c>
      <c r="M44" s="19" t="str">
        <f t="shared" si="7"/>
        <v/>
      </c>
      <c r="N44" s="19" t="str">
        <f t="shared" si="8"/>
        <v/>
      </c>
      <c r="O44" s="19">
        <f t="shared" si="9"/>
        <v>-2.0000000000006679</v>
      </c>
      <c r="P44" s="19">
        <f t="shared" si="10"/>
        <v>-5.0000000000007816</v>
      </c>
      <c r="Q44" s="19">
        <f t="shared" si="11"/>
        <v>0.99999999999944578</v>
      </c>
      <c r="R44" s="19">
        <f t="shared" si="1"/>
        <v>-5.0000000000096634</v>
      </c>
      <c r="S44" s="27" t="str">
        <f t="shared" si="4"/>
        <v/>
      </c>
      <c r="T44" s="28" t="str">
        <f t="shared" si="4"/>
        <v/>
      </c>
      <c r="U44" s="28" t="str">
        <f t="shared" si="4"/>
        <v/>
      </c>
      <c r="V44" s="28">
        <f t="shared" si="4"/>
        <v>0</v>
      </c>
      <c r="W44" s="28">
        <f t="shared" si="4"/>
        <v>-7.9365079365176366E-3</v>
      </c>
      <c r="X44" s="29">
        <f t="shared" si="4"/>
        <v>7.9365079365035385E-3</v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6"/>
        <v/>
      </c>
      <c r="M45" s="19" t="str">
        <f t="shared" si="7"/>
        <v/>
      </c>
      <c r="N45" s="19" t="str">
        <f t="shared" si="8"/>
        <v/>
      </c>
      <c r="O45" s="19" t="str">
        <f t="shared" si="9"/>
        <v/>
      </c>
      <c r="P45" s="19" t="str">
        <f t="shared" si="10"/>
        <v/>
      </c>
      <c r="Q45" s="19" t="str">
        <f t="shared" si="11"/>
        <v/>
      </c>
      <c r="R45" s="19" t="str">
        <f t="shared" si="1"/>
        <v/>
      </c>
      <c r="S45" s="27" t="str">
        <f t="shared" si="4"/>
        <v/>
      </c>
      <c r="T45" s="28" t="str">
        <f t="shared" si="4"/>
        <v/>
      </c>
      <c r="U45" s="28" t="str">
        <f t="shared" si="4"/>
        <v/>
      </c>
      <c r="V45" s="28" t="str">
        <f t="shared" si="4"/>
        <v/>
      </c>
      <c r="W45" s="28" t="str">
        <f t="shared" si="4"/>
        <v/>
      </c>
      <c r="X45" s="29" t="str">
        <f t="shared" si="4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6"/>
        <v/>
      </c>
      <c r="M46" s="19" t="str">
        <f t="shared" si="7"/>
        <v/>
      </c>
      <c r="N46" s="19" t="str">
        <f t="shared" si="8"/>
        <v/>
      </c>
      <c r="O46" s="19" t="str">
        <f t="shared" si="9"/>
        <v/>
      </c>
      <c r="P46" s="19" t="str">
        <f t="shared" si="10"/>
        <v/>
      </c>
      <c r="Q46" s="19" t="str">
        <f t="shared" si="11"/>
        <v/>
      </c>
      <c r="R46" s="19" t="str">
        <f t="shared" si="1"/>
        <v/>
      </c>
      <c r="S46" s="27" t="str">
        <f t="shared" si="4"/>
        <v/>
      </c>
      <c r="T46" s="28" t="str">
        <f t="shared" si="4"/>
        <v/>
      </c>
      <c r="U46" s="28" t="str">
        <f t="shared" si="4"/>
        <v/>
      </c>
      <c r="V46" s="28" t="str">
        <f t="shared" si="4"/>
        <v/>
      </c>
      <c r="W46" s="28" t="str">
        <f t="shared" si="4"/>
        <v/>
      </c>
      <c r="X46" s="29" t="str">
        <f t="shared" si="4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6"/>
        <v/>
      </c>
      <c r="M47" s="19" t="str">
        <f t="shared" si="7"/>
        <v/>
      </c>
      <c r="N47" s="19" t="str">
        <f t="shared" si="8"/>
        <v/>
      </c>
      <c r="O47" s="19" t="str">
        <f t="shared" si="9"/>
        <v/>
      </c>
      <c r="P47" s="19" t="str">
        <f t="shared" si="10"/>
        <v/>
      </c>
      <c r="Q47" s="19" t="str">
        <f t="shared" si="11"/>
        <v/>
      </c>
      <c r="R47" s="19" t="str">
        <f t="shared" si="1"/>
        <v/>
      </c>
      <c r="S47" s="27" t="str">
        <f t="shared" si="4"/>
        <v/>
      </c>
      <c r="T47" s="28" t="str">
        <f t="shared" si="4"/>
        <v/>
      </c>
      <c r="U47" s="28" t="str">
        <f t="shared" si="4"/>
        <v/>
      </c>
      <c r="V47" s="28" t="str">
        <f t="shared" si="4"/>
        <v/>
      </c>
      <c r="W47" s="28" t="str">
        <f t="shared" si="4"/>
        <v/>
      </c>
      <c r="X47" s="29" t="str">
        <f t="shared" si="4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6"/>
        <v/>
      </c>
      <c r="M48" s="19" t="str">
        <f t="shared" si="7"/>
        <v/>
      </c>
      <c r="N48" s="19" t="str">
        <f t="shared" si="8"/>
        <v/>
      </c>
      <c r="O48" s="19" t="str">
        <f t="shared" si="9"/>
        <v/>
      </c>
      <c r="P48" s="19" t="str">
        <f t="shared" si="10"/>
        <v/>
      </c>
      <c r="Q48" s="19" t="str">
        <f t="shared" si="11"/>
        <v/>
      </c>
      <c r="R48" s="19" t="str">
        <f t="shared" si="1"/>
        <v/>
      </c>
      <c r="S48" s="27" t="str">
        <f t="shared" si="4"/>
        <v/>
      </c>
      <c r="T48" s="28" t="str">
        <f t="shared" si="4"/>
        <v/>
      </c>
      <c r="U48" s="28" t="str">
        <f t="shared" si="4"/>
        <v/>
      </c>
      <c r="V48" s="28" t="str">
        <f t="shared" si="4"/>
        <v/>
      </c>
      <c r="W48" s="28" t="str">
        <f t="shared" si="4"/>
        <v/>
      </c>
      <c r="X48" s="29" t="str">
        <f t="shared" si="4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6"/>
        <v/>
      </c>
      <c r="M49" s="19" t="str">
        <f t="shared" si="7"/>
        <v/>
      </c>
      <c r="N49" s="19" t="str">
        <f t="shared" si="8"/>
        <v/>
      </c>
      <c r="O49" s="19" t="str">
        <f t="shared" si="9"/>
        <v/>
      </c>
      <c r="P49" s="19" t="str">
        <f t="shared" si="10"/>
        <v/>
      </c>
      <c r="Q49" s="19" t="str">
        <f t="shared" si="11"/>
        <v/>
      </c>
      <c r="R49" s="19" t="str">
        <f t="shared" si="1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6"/>
        <v/>
      </c>
      <c r="M50" s="19" t="str">
        <f t="shared" si="7"/>
        <v/>
      </c>
      <c r="N50" s="19" t="str">
        <f t="shared" si="8"/>
        <v/>
      </c>
      <c r="O50" s="19" t="str">
        <f t="shared" si="9"/>
        <v/>
      </c>
      <c r="P50" s="19" t="str">
        <f t="shared" si="10"/>
        <v/>
      </c>
      <c r="Q50" s="19" t="str">
        <f t="shared" si="11"/>
        <v/>
      </c>
      <c r="R50" s="19" t="str">
        <f t="shared" si="1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6"/>
        <v/>
      </c>
      <c r="M51" s="19" t="str">
        <f t="shared" si="7"/>
        <v/>
      </c>
      <c r="N51" s="19" t="str">
        <f t="shared" si="8"/>
        <v/>
      </c>
      <c r="O51" s="19" t="str">
        <f t="shared" si="9"/>
        <v/>
      </c>
      <c r="P51" s="19" t="str">
        <f t="shared" si="10"/>
        <v/>
      </c>
      <c r="Q51" s="19" t="str">
        <f t="shared" si="11"/>
        <v/>
      </c>
      <c r="R51" s="19" t="str">
        <f t="shared" si="1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6"/>
        <v/>
      </c>
      <c r="M52" s="19" t="str">
        <f t="shared" si="7"/>
        <v/>
      </c>
      <c r="N52" s="19" t="str">
        <f t="shared" si="8"/>
        <v/>
      </c>
      <c r="O52" s="19" t="str">
        <f t="shared" si="9"/>
        <v/>
      </c>
      <c r="P52" s="19" t="str">
        <f t="shared" si="10"/>
        <v/>
      </c>
      <c r="Q52" s="19" t="str">
        <f t="shared" si="11"/>
        <v/>
      </c>
      <c r="R52" s="19" t="str">
        <f t="shared" si="1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6"/>
        <v/>
      </c>
      <c r="M53" s="19" t="str">
        <f t="shared" si="7"/>
        <v/>
      </c>
      <c r="N53" s="19" t="str">
        <f t="shared" si="8"/>
        <v/>
      </c>
      <c r="O53" s="19" t="str">
        <f t="shared" si="9"/>
        <v/>
      </c>
      <c r="P53" s="19" t="str">
        <f t="shared" si="10"/>
        <v/>
      </c>
      <c r="Q53" s="19" t="str">
        <f t="shared" si="11"/>
        <v/>
      </c>
      <c r="R53" s="19" t="str">
        <f t="shared" si="1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6"/>
        <v/>
      </c>
      <c r="M54" s="19" t="str">
        <f t="shared" si="7"/>
        <v/>
      </c>
      <c r="N54" s="19" t="str">
        <f t="shared" si="8"/>
        <v/>
      </c>
      <c r="O54" s="19" t="str">
        <f t="shared" si="9"/>
        <v/>
      </c>
      <c r="P54" s="19" t="str">
        <f t="shared" si="10"/>
        <v/>
      </c>
      <c r="Q54" s="19" t="str">
        <f t="shared" si="11"/>
        <v/>
      </c>
      <c r="R54" s="19" t="str">
        <f t="shared" si="1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6"/>
        <v/>
      </c>
      <c r="M55" s="19" t="str">
        <f t="shared" si="7"/>
        <v/>
      </c>
      <c r="N55" s="19" t="str">
        <f t="shared" si="8"/>
        <v/>
      </c>
      <c r="O55" s="19" t="str">
        <f t="shared" si="9"/>
        <v/>
      </c>
      <c r="P55" s="19" t="str">
        <f t="shared" si="10"/>
        <v/>
      </c>
      <c r="Q55" s="19" t="str">
        <f t="shared" si="11"/>
        <v/>
      </c>
      <c r="R55" s="19" t="str">
        <f t="shared" si="1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6"/>
        <v/>
      </c>
      <c r="M56" s="19" t="str">
        <f t="shared" si="7"/>
        <v/>
      </c>
      <c r="N56" s="19" t="str">
        <f t="shared" si="8"/>
        <v/>
      </c>
      <c r="O56" s="19" t="str">
        <f t="shared" si="9"/>
        <v/>
      </c>
      <c r="P56" s="19" t="str">
        <f t="shared" si="10"/>
        <v/>
      </c>
      <c r="Q56" s="19" t="str">
        <f t="shared" si="11"/>
        <v/>
      </c>
      <c r="R56" s="19" t="str">
        <f t="shared" si="1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6"/>
        <v/>
      </c>
      <c r="M57" s="19" t="str">
        <f t="shared" si="7"/>
        <v/>
      </c>
      <c r="N57" s="19" t="str">
        <f t="shared" si="8"/>
        <v/>
      </c>
      <c r="O57" s="19" t="str">
        <f t="shared" si="9"/>
        <v/>
      </c>
      <c r="P57" s="19" t="str">
        <f t="shared" si="10"/>
        <v/>
      </c>
      <c r="Q57" s="19" t="str">
        <f t="shared" si="11"/>
        <v/>
      </c>
      <c r="R57" s="19" t="str">
        <f t="shared" si="1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6"/>
        <v/>
      </c>
      <c r="M58" s="19" t="str">
        <f t="shared" si="7"/>
        <v/>
      </c>
      <c r="N58" s="19" t="str">
        <f t="shared" si="8"/>
        <v/>
      </c>
      <c r="O58" s="19" t="str">
        <f t="shared" si="9"/>
        <v/>
      </c>
      <c r="P58" s="19" t="str">
        <f t="shared" si="10"/>
        <v/>
      </c>
      <c r="Q58" s="19" t="str">
        <f t="shared" si="11"/>
        <v/>
      </c>
      <c r="R58" s="19" t="str">
        <f t="shared" si="1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6"/>
        <v/>
      </c>
      <c r="M59" s="19" t="str">
        <f t="shared" si="7"/>
        <v/>
      </c>
      <c r="N59" s="19" t="str">
        <f t="shared" si="8"/>
        <v/>
      </c>
      <c r="O59" s="19" t="str">
        <f t="shared" si="9"/>
        <v/>
      </c>
      <c r="P59" s="19" t="str">
        <f t="shared" si="10"/>
        <v/>
      </c>
      <c r="Q59" s="19" t="str">
        <f t="shared" si="11"/>
        <v/>
      </c>
      <c r="R59" s="19" t="str">
        <f t="shared" si="1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6"/>
        <v/>
      </c>
      <c r="M60" s="19" t="str">
        <f t="shared" si="7"/>
        <v/>
      </c>
      <c r="N60" s="19" t="str">
        <f t="shared" si="8"/>
        <v/>
      </c>
      <c r="O60" s="19" t="str">
        <f t="shared" si="9"/>
        <v/>
      </c>
      <c r="P60" s="19" t="str">
        <f t="shared" si="10"/>
        <v/>
      </c>
      <c r="Q60" s="19" t="str">
        <f t="shared" si="11"/>
        <v/>
      </c>
      <c r="R60" s="19" t="str">
        <f t="shared" si="1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6"/>
        <v/>
      </c>
      <c r="M61" s="19" t="str">
        <f t="shared" si="7"/>
        <v/>
      </c>
      <c r="N61" s="19" t="str">
        <f t="shared" si="8"/>
        <v/>
      </c>
      <c r="O61" s="19" t="str">
        <f t="shared" si="9"/>
        <v/>
      </c>
      <c r="P61" s="19" t="str">
        <f t="shared" si="10"/>
        <v/>
      </c>
      <c r="Q61" s="19" t="str">
        <f t="shared" si="11"/>
        <v/>
      </c>
      <c r="R61" s="19" t="str">
        <f t="shared" si="1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6"/>
        <v/>
      </c>
      <c r="M62" s="19" t="str">
        <f t="shared" si="7"/>
        <v/>
      </c>
      <c r="N62" s="19" t="str">
        <f t="shared" si="8"/>
        <v/>
      </c>
      <c r="O62" s="19" t="str">
        <f t="shared" si="9"/>
        <v/>
      </c>
      <c r="P62" s="19" t="str">
        <f t="shared" si="10"/>
        <v/>
      </c>
      <c r="Q62" s="19" t="str">
        <f t="shared" si="11"/>
        <v/>
      </c>
      <c r="R62" s="19" t="str">
        <f t="shared" si="1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6"/>
        <v/>
      </c>
      <c r="M63" s="19" t="str">
        <f t="shared" si="7"/>
        <v/>
      </c>
      <c r="N63" s="19" t="str">
        <f t="shared" si="8"/>
        <v/>
      </c>
      <c r="O63" s="19" t="str">
        <f t="shared" si="9"/>
        <v/>
      </c>
      <c r="P63" s="19" t="str">
        <f t="shared" si="10"/>
        <v/>
      </c>
      <c r="Q63" s="19" t="str">
        <f t="shared" si="11"/>
        <v/>
      </c>
      <c r="R63" s="19" t="str">
        <f t="shared" si="1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6"/>
        <v/>
      </c>
      <c r="M64" s="19" t="str">
        <f t="shared" si="7"/>
        <v/>
      </c>
      <c r="N64" s="19" t="str">
        <f t="shared" si="8"/>
        <v/>
      </c>
      <c r="O64" s="19" t="str">
        <f t="shared" si="9"/>
        <v/>
      </c>
      <c r="P64" s="19" t="str">
        <f t="shared" si="10"/>
        <v/>
      </c>
      <c r="Q64" s="19" t="str">
        <f t="shared" si="11"/>
        <v/>
      </c>
      <c r="R64" s="19" t="str">
        <f t="shared" si="1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6"/>
        <v/>
      </c>
      <c r="M65" s="19" t="str">
        <f t="shared" si="7"/>
        <v/>
      </c>
      <c r="N65" s="19" t="str">
        <f t="shared" si="8"/>
        <v/>
      </c>
      <c r="O65" s="19" t="str">
        <f t="shared" si="9"/>
        <v/>
      </c>
      <c r="P65" s="19" t="str">
        <f t="shared" si="10"/>
        <v/>
      </c>
      <c r="Q65" s="19" t="str">
        <f t="shared" si="11"/>
        <v/>
      </c>
      <c r="R65" s="19" t="str">
        <f t="shared" si="1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6"/>
        <v/>
      </c>
      <c r="M66" s="19" t="str">
        <f t="shared" si="7"/>
        <v/>
      </c>
      <c r="N66" s="19" t="str">
        <f t="shared" si="8"/>
        <v/>
      </c>
      <c r="O66" s="19" t="str">
        <f t="shared" si="9"/>
        <v/>
      </c>
      <c r="P66" s="19" t="str">
        <f t="shared" si="10"/>
        <v/>
      </c>
      <c r="Q66" s="19" t="str">
        <f t="shared" si="11"/>
        <v/>
      </c>
      <c r="R66" s="19" t="str">
        <f t="shared" si="1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6"/>
        <v/>
      </c>
      <c r="M67" s="19" t="str">
        <f t="shared" si="7"/>
        <v/>
      </c>
      <c r="N67" s="19" t="str">
        <f t="shared" si="8"/>
        <v/>
      </c>
      <c r="O67" s="19" t="str">
        <f t="shared" si="9"/>
        <v/>
      </c>
      <c r="P67" s="19" t="str">
        <f t="shared" si="10"/>
        <v/>
      </c>
      <c r="Q67" s="19" t="str">
        <f t="shared" si="11"/>
        <v/>
      </c>
      <c r="R67" s="19" t="str">
        <f t="shared" si="1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6"/>
        <v/>
      </c>
      <c r="M68" s="19" t="str">
        <f t="shared" si="7"/>
        <v/>
      </c>
      <c r="N68" s="19" t="str">
        <f t="shared" si="8"/>
        <v/>
      </c>
      <c r="O68" s="19" t="str">
        <f t="shared" si="9"/>
        <v/>
      </c>
      <c r="P68" s="19" t="str">
        <f t="shared" si="10"/>
        <v/>
      </c>
      <c r="Q68" s="19" t="str">
        <f t="shared" si="11"/>
        <v/>
      </c>
      <c r="R68" s="19" t="str">
        <f t="shared" si="1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6"/>
        <v/>
      </c>
      <c r="M69" s="19" t="str">
        <f t="shared" si="7"/>
        <v/>
      </c>
      <c r="N69" s="19" t="str">
        <f t="shared" si="8"/>
        <v/>
      </c>
      <c r="O69" s="19" t="str">
        <f t="shared" si="9"/>
        <v/>
      </c>
      <c r="P69" s="19" t="str">
        <f t="shared" si="10"/>
        <v/>
      </c>
      <c r="Q69" s="19" t="str">
        <f t="shared" si="11"/>
        <v/>
      </c>
      <c r="R69" s="19" t="str">
        <f t="shared" si="1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6"/>
        <v/>
      </c>
      <c r="M70" s="19" t="str">
        <f t="shared" si="7"/>
        <v/>
      </c>
      <c r="N70" s="19" t="str">
        <f t="shared" si="8"/>
        <v/>
      </c>
      <c r="O70" s="19" t="str">
        <f t="shared" si="9"/>
        <v/>
      </c>
      <c r="P70" s="19" t="str">
        <f t="shared" si="10"/>
        <v/>
      </c>
      <c r="Q70" s="19" t="str">
        <f t="shared" si="11"/>
        <v/>
      </c>
      <c r="R70" s="19" t="str">
        <f t="shared" si="1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6"/>
        <v/>
      </c>
      <c r="M71" s="19" t="str">
        <f t="shared" si="7"/>
        <v/>
      </c>
      <c r="N71" s="19" t="str">
        <f t="shared" si="8"/>
        <v/>
      </c>
      <c r="O71" s="19" t="str">
        <f t="shared" si="9"/>
        <v/>
      </c>
      <c r="P71" s="19" t="str">
        <f t="shared" si="10"/>
        <v/>
      </c>
      <c r="Q71" s="19" t="str">
        <f t="shared" si="11"/>
        <v/>
      </c>
      <c r="R71" s="19" t="str">
        <f t="shared" si="1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6"/>
        <v/>
      </c>
      <c r="M72" s="19" t="str">
        <f t="shared" si="7"/>
        <v/>
      </c>
      <c r="N72" s="19" t="str">
        <f t="shared" si="8"/>
        <v/>
      </c>
      <c r="O72" s="19" t="str">
        <f t="shared" si="9"/>
        <v/>
      </c>
      <c r="P72" s="19" t="str">
        <f t="shared" si="10"/>
        <v/>
      </c>
      <c r="Q72" s="19" t="str">
        <f t="shared" si="11"/>
        <v/>
      </c>
      <c r="R72" s="19" t="str">
        <f t="shared" si="1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6"/>
        <v/>
      </c>
      <c r="M73" s="19" t="str">
        <f t="shared" si="7"/>
        <v/>
      </c>
      <c r="N73" s="19" t="str">
        <f t="shared" si="8"/>
        <v/>
      </c>
      <c r="O73" s="19" t="str">
        <f t="shared" si="9"/>
        <v/>
      </c>
      <c r="P73" s="19" t="str">
        <f t="shared" si="10"/>
        <v/>
      </c>
      <c r="Q73" s="19" t="str">
        <f t="shared" si="11"/>
        <v/>
      </c>
      <c r="R73" s="19" t="str">
        <f t="shared" si="1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6"/>
        <v/>
      </c>
      <c r="M74" s="19" t="str">
        <f t="shared" si="7"/>
        <v/>
      </c>
      <c r="N74" s="19" t="str">
        <f t="shared" si="8"/>
        <v/>
      </c>
      <c r="O74" s="19" t="str">
        <f t="shared" si="9"/>
        <v/>
      </c>
      <c r="P74" s="19" t="str">
        <f t="shared" si="10"/>
        <v/>
      </c>
      <c r="Q74" s="19" t="str">
        <f t="shared" si="11"/>
        <v/>
      </c>
      <c r="R74" s="19" t="str">
        <f t="shared" si="1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6"/>
        <v/>
      </c>
      <c r="M75" s="19" t="str">
        <f t="shared" si="7"/>
        <v/>
      </c>
      <c r="N75" s="19" t="str">
        <f t="shared" si="8"/>
        <v/>
      </c>
      <c r="O75" s="19" t="str">
        <f t="shared" si="9"/>
        <v/>
      </c>
      <c r="P75" s="19" t="str">
        <f t="shared" si="10"/>
        <v/>
      </c>
      <c r="Q75" s="19" t="str">
        <f t="shared" si="11"/>
        <v/>
      </c>
      <c r="R75" s="19" t="str">
        <f t="shared" si="1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6"/>
        <v/>
      </c>
      <c r="M76" s="19" t="str">
        <f t="shared" si="7"/>
        <v/>
      </c>
      <c r="N76" s="19" t="str">
        <f t="shared" si="8"/>
        <v/>
      </c>
      <c r="O76" s="19" t="str">
        <f t="shared" si="9"/>
        <v/>
      </c>
      <c r="P76" s="19" t="str">
        <f t="shared" si="10"/>
        <v/>
      </c>
      <c r="Q76" s="19" t="str">
        <f t="shared" si="11"/>
        <v/>
      </c>
      <c r="R76" s="19" t="str">
        <f t="shared" si="1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6"/>
        <v/>
      </c>
      <c r="M77" s="19" t="str">
        <f t="shared" si="7"/>
        <v/>
      </c>
      <c r="N77" s="19" t="str">
        <f t="shared" si="8"/>
        <v/>
      </c>
      <c r="O77" s="19" t="str">
        <f t="shared" si="9"/>
        <v/>
      </c>
      <c r="P77" s="19" t="str">
        <f t="shared" si="10"/>
        <v/>
      </c>
      <c r="Q77" s="19" t="str">
        <f t="shared" si="11"/>
        <v/>
      </c>
      <c r="R77" s="19" t="str">
        <f t="shared" si="1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6"/>
        <v/>
      </c>
      <c r="M78" s="19" t="str">
        <f t="shared" si="7"/>
        <v/>
      </c>
      <c r="N78" s="19" t="str">
        <f t="shared" si="8"/>
        <v/>
      </c>
      <c r="O78" s="19" t="str">
        <f t="shared" si="9"/>
        <v/>
      </c>
      <c r="P78" s="19" t="str">
        <f t="shared" si="10"/>
        <v/>
      </c>
      <c r="Q78" s="19" t="str">
        <f t="shared" si="11"/>
        <v/>
      </c>
      <c r="R78" s="19" t="str">
        <f t="shared" si="1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6"/>
        <v/>
      </c>
      <c r="M79" s="19" t="str">
        <f t="shared" si="7"/>
        <v/>
      </c>
      <c r="N79" s="19" t="str">
        <f t="shared" si="8"/>
        <v/>
      </c>
      <c r="O79" s="19" t="str">
        <f t="shared" si="9"/>
        <v/>
      </c>
      <c r="P79" s="19" t="str">
        <f t="shared" si="10"/>
        <v/>
      </c>
      <c r="Q79" s="19" t="str">
        <f t="shared" si="11"/>
        <v/>
      </c>
      <c r="R79" s="19" t="str">
        <f t="shared" si="1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6"/>
        <v/>
      </c>
      <c r="M80" s="19" t="str">
        <f t="shared" si="7"/>
        <v/>
      </c>
      <c r="N80" s="19" t="str">
        <f t="shared" si="8"/>
        <v/>
      </c>
      <c r="O80" s="19" t="str">
        <f t="shared" si="9"/>
        <v/>
      </c>
      <c r="P80" s="19" t="str">
        <f t="shared" si="10"/>
        <v/>
      </c>
      <c r="Q80" s="19" t="str">
        <f t="shared" si="11"/>
        <v/>
      </c>
      <c r="R80" s="19" t="str">
        <f t="shared" ref="R80:R111" si="16">IF(ISBLANK(I80),"",(I80-I$16)*1000)</f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6"/>
        <v/>
      </c>
      <c r="M81" s="19" t="str">
        <f t="shared" si="7"/>
        <v/>
      </c>
      <c r="N81" s="19" t="str">
        <f t="shared" si="8"/>
        <v/>
      </c>
      <c r="O81" s="19" t="str">
        <f t="shared" si="9"/>
        <v/>
      </c>
      <c r="P81" s="19" t="str">
        <f t="shared" si="10"/>
        <v/>
      </c>
      <c r="Q81" s="19" t="str">
        <f t="shared" si="11"/>
        <v/>
      </c>
      <c r="R81" s="19" t="str">
        <f t="shared" si="16"/>
        <v/>
      </c>
      <c r="S81" s="27" t="str">
        <f t="shared" ref="S81:X96" si="17">IF(C81="","",((C81-C80)*1000)/($B81-$B80))</f>
        <v/>
      </c>
      <c r="T81" s="28" t="str">
        <f t="shared" si="17"/>
        <v/>
      </c>
      <c r="U81" s="28" t="str">
        <f t="shared" si="17"/>
        <v/>
      </c>
      <c r="V81" s="28" t="str">
        <f t="shared" si="17"/>
        <v/>
      </c>
      <c r="W81" s="28" t="str">
        <f t="shared" si="17"/>
        <v/>
      </c>
      <c r="X81" s="29" t="str">
        <f t="shared" si="17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6"/>
        <v/>
      </c>
      <c r="M82" s="19" t="str">
        <f t="shared" si="7"/>
        <v/>
      </c>
      <c r="N82" s="19" t="str">
        <f t="shared" si="8"/>
        <v/>
      </c>
      <c r="O82" s="19" t="str">
        <f t="shared" si="9"/>
        <v/>
      </c>
      <c r="P82" s="19" t="str">
        <f t="shared" si="10"/>
        <v/>
      </c>
      <c r="Q82" s="19" t="str">
        <f t="shared" si="11"/>
        <v/>
      </c>
      <c r="R82" s="19" t="str">
        <f t="shared" si="16"/>
        <v/>
      </c>
      <c r="S82" s="27" t="str">
        <f t="shared" si="17"/>
        <v/>
      </c>
      <c r="T82" s="28" t="str">
        <f t="shared" si="17"/>
        <v/>
      </c>
      <c r="U82" s="28" t="str">
        <f t="shared" si="17"/>
        <v/>
      </c>
      <c r="V82" s="28" t="str">
        <f t="shared" si="17"/>
        <v/>
      </c>
      <c r="W82" s="28" t="str">
        <f t="shared" si="17"/>
        <v/>
      </c>
      <c r="X82" s="29" t="str">
        <f t="shared" si="17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6"/>
        <v/>
      </c>
      <c r="M83" s="19" t="str">
        <f t="shared" si="7"/>
        <v/>
      </c>
      <c r="N83" s="19" t="str">
        <f t="shared" si="8"/>
        <v/>
      </c>
      <c r="O83" s="19" t="str">
        <f t="shared" si="9"/>
        <v/>
      </c>
      <c r="P83" s="19" t="str">
        <f t="shared" si="10"/>
        <v/>
      </c>
      <c r="Q83" s="19" t="str">
        <f t="shared" si="11"/>
        <v/>
      </c>
      <c r="R83" s="19" t="str">
        <f t="shared" si="16"/>
        <v/>
      </c>
      <c r="S83" s="27" t="str">
        <f t="shared" si="17"/>
        <v/>
      </c>
      <c r="T83" s="28" t="str">
        <f t="shared" si="17"/>
        <v/>
      </c>
      <c r="U83" s="28" t="str">
        <f t="shared" si="17"/>
        <v/>
      </c>
      <c r="V83" s="28" t="str">
        <f t="shared" si="17"/>
        <v/>
      </c>
      <c r="W83" s="28" t="str">
        <f t="shared" si="17"/>
        <v/>
      </c>
      <c r="X83" s="29" t="str">
        <f t="shared" si="17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6"/>
        <v/>
      </c>
      <c r="M84" s="19" t="str">
        <f t="shared" si="7"/>
        <v/>
      </c>
      <c r="N84" s="19" t="str">
        <f t="shared" si="8"/>
        <v/>
      </c>
      <c r="O84" s="19" t="str">
        <f t="shared" si="9"/>
        <v/>
      </c>
      <c r="P84" s="19" t="str">
        <f t="shared" si="10"/>
        <v/>
      </c>
      <c r="Q84" s="19" t="str">
        <f t="shared" si="11"/>
        <v/>
      </c>
      <c r="R84" s="19" t="str">
        <f t="shared" si="16"/>
        <v/>
      </c>
      <c r="S84" s="27" t="str">
        <f t="shared" si="17"/>
        <v/>
      </c>
      <c r="T84" s="28" t="str">
        <f t="shared" si="17"/>
        <v/>
      </c>
      <c r="U84" s="28" t="str">
        <f t="shared" si="17"/>
        <v/>
      </c>
      <c r="V84" s="28" t="str">
        <f t="shared" si="17"/>
        <v/>
      </c>
      <c r="W84" s="28" t="str">
        <f t="shared" si="17"/>
        <v/>
      </c>
      <c r="X84" s="29" t="str">
        <f t="shared" si="17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6"/>
        <v/>
      </c>
      <c r="M85" s="19" t="str">
        <f t="shared" si="7"/>
        <v/>
      </c>
      <c r="N85" s="19" t="str">
        <f t="shared" si="8"/>
        <v/>
      </c>
      <c r="O85" s="19" t="str">
        <f t="shared" si="9"/>
        <v/>
      </c>
      <c r="P85" s="19" t="str">
        <f t="shared" si="10"/>
        <v/>
      </c>
      <c r="Q85" s="19" t="str">
        <f t="shared" si="11"/>
        <v/>
      </c>
      <c r="R85" s="19" t="str">
        <f t="shared" si="16"/>
        <v/>
      </c>
      <c r="S85" s="27" t="str">
        <f t="shared" si="17"/>
        <v/>
      </c>
      <c r="T85" s="28" t="str">
        <f t="shared" si="17"/>
        <v/>
      </c>
      <c r="U85" s="28" t="str">
        <f t="shared" si="17"/>
        <v/>
      </c>
      <c r="V85" s="28" t="str">
        <f t="shared" si="17"/>
        <v/>
      </c>
      <c r="W85" s="28" t="str">
        <f t="shared" si="17"/>
        <v/>
      </c>
      <c r="X85" s="29" t="str">
        <f t="shared" si="17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6"/>
        <v/>
      </c>
      <c r="M86" s="19" t="str">
        <f t="shared" si="7"/>
        <v/>
      </c>
      <c r="N86" s="19" t="str">
        <f t="shared" si="8"/>
        <v/>
      </c>
      <c r="O86" s="19" t="str">
        <f t="shared" si="9"/>
        <v/>
      </c>
      <c r="P86" s="19" t="str">
        <f t="shared" si="10"/>
        <v/>
      </c>
      <c r="Q86" s="19" t="str">
        <f t="shared" si="11"/>
        <v/>
      </c>
      <c r="R86" s="19" t="str">
        <f t="shared" si="16"/>
        <v/>
      </c>
      <c r="S86" s="27" t="str">
        <f t="shared" si="17"/>
        <v/>
      </c>
      <c r="T86" s="28" t="str">
        <f t="shared" si="17"/>
        <v/>
      </c>
      <c r="U86" s="28" t="str">
        <f t="shared" si="17"/>
        <v/>
      </c>
      <c r="V86" s="28" t="str">
        <f t="shared" si="17"/>
        <v/>
      </c>
      <c r="W86" s="28" t="str">
        <f t="shared" si="17"/>
        <v/>
      </c>
      <c r="X86" s="29" t="str">
        <f t="shared" si="17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6"/>
        <v/>
      </c>
      <c r="M87" s="19" t="str">
        <f t="shared" si="7"/>
        <v/>
      </c>
      <c r="N87" s="19" t="str">
        <f t="shared" si="8"/>
        <v/>
      </c>
      <c r="O87" s="19" t="str">
        <f t="shared" si="9"/>
        <v/>
      </c>
      <c r="P87" s="19" t="str">
        <f t="shared" si="10"/>
        <v/>
      </c>
      <c r="Q87" s="19" t="str">
        <f t="shared" si="11"/>
        <v/>
      </c>
      <c r="R87" s="19" t="str">
        <f t="shared" si="16"/>
        <v/>
      </c>
      <c r="S87" s="27" t="str">
        <f t="shared" si="17"/>
        <v/>
      </c>
      <c r="T87" s="28" t="str">
        <f t="shared" si="17"/>
        <v/>
      </c>
      <c r="U87" s="28" t="str">
        <f t="shared" si="17"/>
        <v/>
      </c>
      <c r="V87" s="28" t="str">
        <f t="shared" si="17"/>
        <v/>
      </c>
      <c r="W87" s="28" t="str">
        <f t="shared" si="17"/>
        <v/>
      </c>
      <c r="X87" s="29" t="str">
        <f t="shared" si="17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6"/>
        <v/>
      </c>
      <c r="M88" s="19" t="str">
        <f t="shared" si="7"/>
        <v/>
      </c>
      <c r="N88" s="19" t="str">
        <f t="shared" si="8"/>
        <v/>
      </c>
      <c r="O88" s="19" t="str">
        <f t="shared" si="9"/>
        <v/>
      </c>
      <c r="P88" s="19" t="str">
        <f t="shared" si="10"/>
        <v/>
      </c>
      <c r="Q88" s="19" t="str">
        <f t="shared" si="11"/>
        <v/>
      </c>
      <c r="R88" s="19" t="str">
        <f t="shared" si="16"/>
        <v/>
      </c>
      <c r="S88" s="27" t="str">
        <f t="shared" si="17"/>
        <v/>
      </c>
      <c r="T88" s="28" t="str">
        <f t="shared" si="17"/>
        <v/>
      </c>
      <c r="U88" s="28" t="str">
        <f t="shared" si="17"/>
        <v/>
      </c>
      <c r="V88" s="28" t="str">
        <f t="shared" si="17"/>
        <v/>
      </c>
      <c r="W88" s="28" t="str">
        <f t="shared" si="17"/>
        <v/>
      </c>
      <c r="X88" s="29" t="str">
        <f t="shared" si="17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6"/>
        <v/>
      </c>
      <c r="M89" s="19" t="str">
        <f t="shared" si="7"/>
        <v/>
      </c>
      <c r="N89" s="19" t="str">
        <f t="shared" si="8"/>
        <v/>
      </c>
      <c r="O89" s="19" t="str">
        <f t="shared" si="9"/>
        <v/>
      </c>
      <c r="P89" s="19" t="str">
        <f t="shared" si="10"/>
        <v/>
      </c>
      <c r="Q89" s="19" t="str">
        <f t="shared" si="11"/>
        <v/>
      </c>
      <c r="R89" s="19" t="str">
        <f t="shared" si="16"/>
        <v/>
      </c>
      <c r="S89" s="27" t="str">
        <f t="shared" si="17"/>
        <v/>
      </c>
      <c r="T89" s="28" t="str">
        <f t="shared" si="17"/>
        <v/>
      </c>
      <c r="U89" s="28" t="str">
        <f t="shared" si="17"/>
        <v/>
      </c>
      <c r="V89" s="28" t="str">
        <f t="shared" si="17"/>
        <v/>
      </c>
      <c r="W89" s="28" t="str">
        <f t="shared" si="17"/>
        <v/>
      </c>
      <c r="X89" s="29" t="str">
        <f t="shared" si="17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6"/>
        <v/>
      </c>
      <c r="M90" s="19" t="str">
        <f t="shared" si="7"/>
        <v/>
      </c>
      <c r="N90" s="19" t="str">
        <f t="shared" si="8"/>
        <v/>
      </c>
      <c r="O90" s="19" t="str">
        <f t="shared" si="9"/>
        <v/>
      </c>
      <c r="P90" s="19" t="str">
        <f t="shared" si="10"/>
        <v/>
      </c>
      <c r="Q90" s="19" t="str">
        <f t="shared" si="11"/>
        <v/>
      </c>
      <c r="R90" s="19" t="str">
        <f t="shared" si="16"/>
        <v/>
      </c>
      <c r="S90" s="27" t="str">
        <f t="shared" si="17"/>
        <v/>
      </c>
      <c r="T90" s="28" t="str">
        <f t="shared" si="17"/>
        <v/>
      </c>
      <c r="U90" s="28" t="str">
        <f t="shared" si="17"/>
        <v/>
      </c>
      <c r="V90" s="28" t="str">
        <f t="shared" si="17"/>
        <v/>
      </c>
      <c r="W90" s="28" t="str">
        <f t="shared" si="17"/>
        <v/>
      </c>
      <c r="X90" s="29" t="str">
        <f t="shared" si="17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6"/>
        <v/>
      </c>
      <c r="M91" s="19" t="str">
        <f t="shared" si="7"/>
        <v/>
      </c>
      <c r="N91" s="19" t="str">
        <f t="shared" si="8"/>
        <v/>
      </c>
      <c r="O91" s="19" t="str">
        <f t="shared" si="9"/>
        <v/>
      </c>
      <c r="P91" s="19" t="str">
        <f t="shared" si="10"/>
        <v/>
      </c>
      <c r="Q91" s="19" t="str">
        <f t="shared" si="11"/>
        <v/>
      </c>
      <c r="R91" s="19" t="str">
        <f t="shared" si="16"/>
        <v/>
      </c>
      <c r="S91" s="27" t="str">
        <f t="shared" si="17"/>
        <v/>
      </c>
      <c r="T91" s="28" t="str">
        <f t="shared" si="17"/>
        <v/>
      </c>
      <c r="U91" s="28" t="str">
        <f t="shared" si="17"/>
        <v/>
      </c>
      <c r="V91" s="28" t="str">
        <f t="shared" si="17"/>
        <v/>
      </c>
      <c r="W91" s="28" t="str">
        <f t="shared" si="17"/>
        <v/>
      </c>
      <c r="X91" s="29" t="str">
        <f t="shared" si="17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6"/>
        <v/>
      </c>
      <c r="M92" s="19" t="str">
        <f t="shared" si="7"/>
        <v/>
      </c>
      <c r="N92" s="19" t="str">
        <f t="shared" si="8"/>
        <v/>
      </c>
      <c r="O92" s="19" t="str">
        <f t="shared" si="9"/>
        <v/>
      </c>
      <c r="P92" s="19" t="str">
        <f t="shared" si="10"/>
        <v/>
      </c>
      <c r="Q92" s="19" t="str">
        <f t="shared" si="11"/>
        <v/>
      </c>
      <c r="R92" s="19" t="str">
        <f t="shared" si="16"/>
        <v/>
      </c>
      <c r="S92" s="27" t="str">
        <f t="shared" si="17"/>
        <v/>
      </c>
      <c r="T92" s="28" t="str">
        <f t="shared" si="17"/>
        <v/>
      </c>
      <c r="U92" s="28" t="str">
        <f t="shared" si="17"/>
        <v/>
      </c>
      <c r="V92" s="28" t="str">
        <f t="shared" si="17"/>
        <v/>
      </c>
      <c r="W92" s="28" t="str">
        <f t="shared" si="17"/>
        <v/>
      </c>
      <c r="X92" s="29" t="str">
        <f t="shared" si="17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6"/>
        <v/>
      </c>
      <c r="M93" s="19" t="str">
        <f t="shared" si="7"/>
        <v/>
      </c>
      <c r="N93" s="19" t="str">
        <f t="shared" si="8"/>
        <v/>
      </c>
      <c r="O93" s="19" t="str">
        <f t="shared" si="9"/>
        <v/>
      </c>
      <c r="P93" s="19" t="str">
        <f t="shared" si="10"/>
        <v/>
      </c>
      <c r="Q93" s="19" t="str">
        <f t="shared" si="11"/>
        <v/>
      </c>
      <c r="R93" s="19" t="str">
        <f t="shared" si="16"/>
        <v/>
      </c>
      <c r="S93" s="27" t="str">
        <f t="shared" si="17"/>
        <v/>
      </c>
      <c r="T93" s="28" t="str">
        <f t="shared" si="17"/>
        <v/>
      </c>
      <c r="U93" s="28" t="str">
        <f t="shared" si="17"/>
        <v/>
      </c>
      <c r="V93" s="28" t="str">
        <f t="shared" si="17"/>
        <v/>
      </c>
      <c r="W93" s="28" t="str">
        <f t="shared" si="17"/>
        <v/>
      </c>
      <c r="X93" s="29" t="str">
        <f t="shared" si="17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6"/>
        <v/>
      </c>
      <c r="M94" s="19" t="str">
        <f t="shared" si="7"/>
        <v/>
      </c>
      <c r="N94" s="19" t="str">
        <f t="shared" si="8"/>
        <v/>
      </c>
      <c r="O94" s="19" t="str">
        <f t="shared" si="9"/>
        <v/>
      </c>
      <c r="P94" s="19" t="str">
        <f t="shared" si="10"/>
        <v/>
      </c>
      <c r="Q94" s="19" t="str">
        <f t="shared" si="11"/>
        <v/>
      </c>
      <c r="R94" s="19" t="str">
        <f t="shared" si="16"/>
        <v/>
      </c>
      <c r="S94" s="27" t="str">
        <f t="shared" si="17"/>
        <v/>
      </c>
      <c r="T94" s="28" t="str">
        <f t="shared" si="17"/>
        <v/>
      </c>
      <c r="U94" s="28" t="str">
        <f t="shared" si="17"/>
        <v/>
      </c>
      <c r="V94" s="28" t="str">
        <f t="shared" si="17"/>
        <v/>
      </c>
      <c r="W94" s="28" t="str">
        <f t="shared" si="17"/>
        <v/>
      </c>
      <c r="X94" s="29" t="str">
        <f t="shared" si="17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6"/>
        <v/>
      </c>
      <c r="M95" s="19" t="str">
        <f t="shared" si="7"/>
        <v/>
      </c>
      <c r="N95" s="19" t="str">
        <f t="shared" si="8"/>
        <v/>
      </c>
      <c r="O95" s="19" t="str">
        <f t="shared" si="9"/>
        <v/>
      </c>
      <c r="P95" s="19" t="str">
        <f t="shared" si="10"/>
        <v/>
      </c>
      <c r="Q95" s="19" t="str">
        <f t="shared" si="11"/>
        <v/>
      </c>
      <c r="R95" s="19" t="str">
        <f t="shared" si="16"/>
        <v/>
      </c>
      <c r="S95" s="27" t="str">
        <f t="shared" si="17"/>
        <v/>
      </c>
      <c r="T95" s="28" t="str">
        <f t="shared" si="17"/>
        <v/>
      </c>
      <c r="U95" s="28" t="str">
        <f t="shared" si="17"/>
        <v/>
      </c>
      <c r="V95" s="28" t="str">
        <f t="shared" si="17"/>
        <v/>
      </c>
      <c r="W95" s="28" t="str">
        <f t="shared" si="17"/>
        <v/>
      </c>
      <c r="X95" s="29" t="str">
        <f t="shared" si="17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6"/>
        <v/>
      </c>
      <c r="M96" s="19" t="str">
        <f t="shared" si="7"/>
        <v/>
      </c>
      <c r="N96" s="19" t="str">
        <f t="shared" si="8"/>
        <v/>
      </c>
      <c r="O96" s="19" t="str">
        <f t="shared" si="9"/>
        <v/>
      </c>
      <c r="P96" s="19" t="str">
        <f t="shared" si="10"/>
        <v/>
      </c>
      <c r="Q96" s="19" t="str">
        <f t="shared" si="11"/>
        <v/>
      </c>
      <c r="R96" s="19" t="str">
        <f t="shared" si="16"/>
        <v/>
      </c>
      <c r="S96" s="27" t="str">
        <f t="shared" si="17"/>
        <v/>
      </c>
      <c r="T96" s="28" t="str">
        <f t="shared" si="17"/>
        <v/>
      </c>
      <c r="U96" s="28" t="str">
        <f t="shared" si="17"/>
        <v/>
      </c>
      <c r="V96" s="28" t="str">
        <f t="shared" si="17"/>
        <v/>
      </c>
      <c r="W96" s="28" t="str">
        <f t="shared" si="17"/>
        <v/>
      </c>
      <c r="X96" s="29" t="str">
        <f t="shared" si="17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6"/>
        <v/>
      </c>
      <c r="M97" s="19" t="str">
        <f t="shared" si="7"/>
        <v/>
      </c>
      <c r="N97" s="19" t="str">
        <f t="shared" si="8"/>
        <v/>
      </c>
      <c r="O97" s="19" t="str">
        <f t="shared" si="9"/>
        <v/>
      </c>
      <c r="P97" s="19" t="str">
        <f t="shared" si="10"/>
        <v/>
      </c>
      <c r="Q97" s="19" t="str">
        <f t="shared" si="11"/>
        <v/>
      </c>
      <c r="R97" s="19" t="str">
        <f t="shared" si="16"/>
        <v/>
      </c>
      <c r="S97" s="27" t="str">
        <f t="shared" ref="S97:X112" si="18">IF(C97="","",((C97-C96)*1000)/($B97-$B96))</f>
        <v/>
      </c>
      <c r="T97" s="28" t="str">
        <f t="shared" si="18"/>
        <v/>
      </c>
      <c r="U97" s="28" t="str">
        <f t="shared" si="18"/>
        <v/>
      </c>
      <c r="V97" s="28" t="str">
        <f t="shared" si="18"/>
        <v/>
      </c>
      <c r="W97" s="28" t="str">
        <f t="shared" si="18"/>
        <v/>
      </c>
      <c r="X97" s="29" t="str">
        <f t="shared" si="18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6"/>
        <v/>
      </c>
      <c r="M98" s="19" t="str">
        <f t="shared" si="7"/>
        <v/>
      </c>
      <c r="N98" s="19" t="str">
        <f t="shared" si="8"/>
        <v/>
      </c>
      <c r="O98" s="19" t="str">
        <f t="shared" si="9"/>
        <v/>
      </c>
      <c r="P98" s="19" t="str">
        <f t="shared" si="10"/>
        <v/>
      </c>
      <c r="Q98" s="19" t="str">
        <f t="shared" si="11"/>
        <v/>
      </c>
      <c r="R98" s="19" t="str">
        <f t="shared" si="16"/>
        <v/>
      </c>
      <c r="S98" s="27" t="str">
        <f t="shared" si="18"/>
        <v/>
      </c>
      <c r="T98" s="28" t="str">
        <f t="shared" si="18"/>
        <v/>
      </c>
      <c r="U98" s="28" t="str">
        <f t="shared" si="18"/>
        <v/>
      </c>
      <c r="V98" s="28" t="str">
        <f t="shared" si="18"/>
        <v/>
      </c>
      <c r="W98" s="28" t="str">
        <f t="shared" si="18"/>
        <v/>
      </c>
      <c r="X98" s="29" t="str">
        <f t="shared" si="18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ref="L99:L153" si="19">IF(ISBLANK(C99),"",((C99-C$34)*1000)+L$33)</f>
        <v/>
      </c>
      <c r="M99" s="19" t="str">
        <f t="shared" ref="M99:M153" si="20">IF(ISBLANK(D99),"",(D99-D$16)*1000)</f>
        <v/>
      </c>
      <c r="N99" s="19" t="str">
        <f t="shared" ref="N99:N153" si="21">IF(ISBLANK(E99),"",(E99-E$34)*1000)</f>
        <v/>
      </c>
      <c r="O99" s="19" t="str">
        <f t="shared" ref="O99:O153" si="22">IF(ISBLANK(F99),"",((F99-F$34)*1000)+L$34)</f>
        <v/>
      </c>
      <c r="P99" s="19" t="str">
        <f t="shared" ref="P99:P153" si="23">IF(ISBLANK(G99),"",((G99-G$34)*1000)+M$34)</f>
        <v/>
      </c>
      <c r="Q99" s="19" t="str">
        <f t="shared" ref="Q99:Q153" si="24">IF(ISBLANK(H99),"",(H99-H$34)*1000)</f>
        <v/>
      </c>
      <c r="R99" s="19" t="str">
        <f t="shared" si="16"/>
        <v/>
      </c>
      <c r="S99" s="27" t="str">
        <f t="shared" si="18"/>
        <v/>
      </c>
      <c r="T99" s="28" t="str">
        <f t="shared" si="18"/>
        <v/>
      </c>
      <c r="U99" s="28" t="str">
        <f t="shared" si="18"/>
        <v/>
      </c>
      <c r="V99" s="28" t="str">
        <f t="shared" si="18"/>
        <v/>
      </c>
      <c r="W99" s="28" t="str">
        <f t="shared" si="18"/>
        <v/>
      </c>
      <c r="X99" s="29" t="str">
        <f t="shared" si="18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9"/>
        <v/>
      </c>
      <c r="M100" s="19" t="str">
        <f t="shared" si="20"/>
        <v/>
      </c>
      <c r="N100" s="19" t="str">
        <f t="shared" si="21"/>
        <v/>
      </c>
      <c r="O100" s="19" t="str">
        <f t="shared" si="22"/>
        <v/>
      </c>
      <c r="P100" s="19" t="str">
        <f t="shared" si="23"/>
        <v/>
      </c>
      <c r="Q100" s="19" t="str">
        <f t="shared" si="24"/>
        <v/>
      </c>
      <c r="R100" s="19" t="str">
        <f t="shared" si="16"/>
        <v/>
      </c>
      <c r="S100" s="27" t="str">
        <f t="shared" si="18"/>
        <v/>
      </c>
      <c r="T100" s="28" t="str">
        <f t="shared" si="18"/>
        <v/>
      </c>
      <c r="U100" s="28" t="str">
        <f t="shared" si="18"/>
        <v/>
      </c>
      <c r="V100" s="28" t="str">
        <f t="shared" si="18"/>
        <v/>
      </c>
      <c r="W100" s="28" t="str">
        <f t="shared" si="18"/>
        <v/>
      </c>
      <c r="X100" s="29" t="str">
        <f t="shared" si="18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9"/>
        <v/>
      </c>
      <c r="M101" s="19" t="str">
        <f t="shared" si="20"/>
        <v/>
      </c>
      <c r="N101" s="19" t="str">
        <f t="shared" si="21"/>
        <v/>
      </c>
      <c r="O101" s="19" t="str">
        <f t="shared" si="22"/>
        <v/>
      </c>
      <c r="P101" s="19" t="str">
        <f t="shared" si="23"/>
        <v/>
      </c>
      <c r="Q101" s="19" t="str">
        <f t="shared" si="24"/>
        <v/>
      </c>
      <c r="R101" s="19" t="str">
        <f t="shared" si="16"/>
        <v/>
      </c>
      <c r="S101" s="27" t="str">
        <f t="shared" si="18"/>
        <v/>
      </c>
      <c r="T101" s="28" t="str">
        <f t="shared" si="18"/>
        <v/>
      </c>
      <c r="U101" s="28" t="str">
        <f t="shared" si="18"/>
        <v/>
      </c>
      <c r="V101" s="28" t="str">
        <f t="shared" si="18"/>
        <v/>
      </c>
      <c r="W101" s="28" t="str">
        <f t="shared" si="18"/>
        <v/>
      </c>
      <c r="X101" s="29" t="str">
        <f t="shared" si="18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9"/>
        <v/>
      </c>
      <c r="M102" s="19" t="str">
        <f t="shared" si="20"/>
        <v/>
      </c>
      <c r="N102" s="19" t="str">
        <f t="shared" si="21"/>
        <v/>
      </c>
      <c r="O102" s="19" t="str">
        <f t="shared" si="22"/>
        <v/>
      </c>
      <c r="P102" s="19" t="str">
        <f t="shared" si="23"/>
        <v/>
      </c>
      <c r="Q102" s="19" t="str">
        <f t="shared" si="24"/>
        <v/>
      </c>
      <c r="R102" s="19" t="str">
        <f t="shared" si="16"/>
        <v/>
      </c>
      <c r="S102" s="27" t="str">
        <f t="shared" si="18"/>
        <v/>
      </c>
      <c r="T102" s="28" t="str">
        <f t="shared" si="18"/>
        <v/>
      </c>
      <c r="U102" s="28" t="str">
        <f t="shared" si="18"/>
        <v/>
      </c>
      <c r="V102" s="28" t="str">
        <f t="shared" si="18"/>
        <v/>
      </c>
      <c r="W102" s="28" t="str">
        <f t="shared" si="18"/>
        <v/>
      </c>
      <c r="X102" s="29" t="str">
        <f t="shared" si="18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9"/>
        <v/>
      </c>
      <c r="M103" s="19" t="str">
        <f t="shared" si="20"/>
        <v/>
      </c>
      <c r="N103" s="19" t="str">
        <f t="shared" si="21"/>
        <v/>
      </c>
      <c r="O103" s="19" t="str">
        <f t="shared" si="22"/>
        <v/>
      </c>
      <c r="P103" s="19" t="str">
        <f t="shared" si="23"/>
        <v/>
      </c>
      <c r="Q103" s="19" t="str">
        <f t="shared" si="24"/>
        <v/>
      </c>
      <c r="R103" s="19" t="str">
        <f t="shared" si="16"/>
        <v/>
      </c>
      <c r="S103" s="27" t="str">
        <f t="shared" si="18"/>
        <v/>
      </c>
      <c r="T103" s="28" t="str">
        <f t="shared" si="18"/>
        <v/>
      </c>
      <c r="U103" s="28" t="str">
        <f t="shared" si="18"/>
        <v/>
      </c>
      <c r="V103" s="28" t="str">
        <f t="shared" si="18"/>
        <v/>
      </c>
      <c r="W103" s="28" t="str">
        <f t="shared" si="18"/>
        <v/>
      </c>
      <c r="X103" s="29" t="str">
        <f t="shared" si="18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9"/>
        <v/>
      </c>
      <c r="M104" s="19" t="str">
        <f t="shared" si="20"/>
        <v/>
      </c>
      <c r="N104" s="19" t="str">
        <f t="shared" si="21"/>
        <v/>
      </c>
      <c r="O104" s="19" t="str">
        <f t="shared" si="22"/>
        <v/>
      </c>
      <c r="P104" s="19" t="str">
        <f t="shared" si="23"/>
        <v/>
      </c>
      <c r="Q104" s="19" t="str">
        <f t="shared" si="24"/>
        <v/>
      </c>
      <c r="R104" s="19" t="str">
        <f t="shared" si="16"/>
        <v/>
      </c>
      <c r="S104" s="27" t="str">
        <f t="shared" si="18"/>
        <v/>
      </c>
      <c r="T104" s="28" t="str">
        <f t="shared" si="18"/>
        <v/>
      </c>
      <c r="U104" s="28" t="str">
        <f t="shared" si="18"/>
        <v/>
      </c>
      <c r="V104" s="28" t="str">
        <f t="shared" si="18"/>
        <v/>
      </c>
      <c r="W104" s="28" t="str">
        <f t="shared" si="18"/>
        <v/>
      </c>
      <c r="X104" s="29" t="str">
        <f t="shared" si="18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9"/>
        <v/>
      </c>
      <c r="M105" s="19" t="str">
        <f t="shared" si="20"/>
        <v/>
      </c>
      <c r="N105" s="19" t="str">
        <f t="shared" si="21"/>
        <v/>
      </c>
      <c r="O105" s="19" t="str">
        <f t="shared" si="22"/>
        <v/>
      </c>
      <c r="P105" s="19" t="str">
        <f t="shared" si="23"/>
        <v/>
      </c>
      <c r="Q105" s="19" t="str">
        <f t="shared" si="24"/>
        <v/>
      </c>
      <c r="R105" s="19" t="str">
        <f t="shared" si="16"/>
        <v/>
      </c>
      <c r="S105" s="27" t="str">
        <f t="shared" si="18"/>
        <v/>
      </c>
      <c r="T105" s="28" t="str">
        <f t="shared" si="18"/>
        <v/>
      </c>
      <c r="U105" s="28" t="str">
        <f t="shared" si="18"/>
        <v/>
      </c>
      <c r="V105" s="28" t="str">
        <f t="shared" si="18"/>
        <v/>
      </c>
      <c r="W105" s="28" t="str">
        <f t="shared" si="18"/>
        <v/>
      </c>
      <c r="X105" s="29" t="str">
        <f t="shared" si="18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9"/>
        <v/>
      </c>
      <c r="M106" s="19" t="str">
        <f t="shared" si="20"/>
        <v/>
      </c>
      <c r="N106" s="19" t="str">
        <f t="shared" si="21"/>
        <v/>
      </c>
      <c r="O106" s="19" t="str">
        <f t="shared" si="22"/>
        <v/>
      </c>
      <c r="P106" s="19" t="str">
        <f t="shared" si="23"/>
        <v/>
      </c>
      <c r="Q106" s="19" t="str">
        <f t="shared" si="24"/>
        <v/>
      </c>
      <c r="R106" s="19" t="str">
        <f t="shared" si="16"/>
        <v/>
      </c>
      <c r="S106" s="27" t="str">
        <f t="shared" si="18"/>
        <v/>
      </c>
      <c r="T106" s="28" t="str">
        <f t="shared" si="18"/>
        <v/>
      </c>
      <c r="U106" s="28" t="str">
        <f t="shared" si="18"/>
        <v/>
      </c>
      <c r="V106" s="28" t="str">
        <f t="shared" si="18"/>
        <v/>
      </c>
      <c r="W106" s="28" t="str">
        <f t="shared" si="18"/>
        <v/>
      </c>
      <c r="X106" s="29" t="str">
        <f t="shared" si="18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9"/>
        <v/>
      </c>
      <c r="M107" s="19" t="str">
        <f t="shared" si="20"/>
        <v/>
      </c>
      <c r="N107" s="19" t="str">
        <f t="shared" si="21"/>
        <v/>
      </c>
      <c r="O107" s="19" t="str">
        <f t="shared" si="22"/>
        <v/>
      </c>
      <c r="P107" s="19" t="str">
        <f t="shared" si="23"/>
        <v/>
      </c>
      <c r="Q107" s="19" t="str">
        <f t="shared" si="24"/>
        <v/>
      </c>
      <c r="R107" s="19" t="str">
        <f t="shared" si="16"/>
        <v/>
      </c>
      <c r="S107" s="27" t="str">
        <f t="shared" si="18"/>
        <v/>
      </c>
      <c r="T107" s="28" t="str">
        <f t="shared" si="18"/>
        <v/>
      </c>
      <c r="U107" s="28" t="str">
        <f t="shared" si="18"/>
        <v/>
      </c>
      <c r="V107" s="28" t="str">
        <f t="shared" si="18"/>
        <v/>
      </c>
      <c r="W107" s="28" t="str">
        <f t="shared" si="18"/>
        <v/>
      </c>
      <c r="X107" s="29" t="str">
        <f t="shared" si="18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9"/>
        <v/>
      </c>
      <c r="M108" s="19" t="str">
        <f t="shared" si="20"/>
        <v/>
      </c>
      <c r="N108" s="19" t="str">
        <f t="shared" si="21"/>
        <v/>
      </c>
      <c r="O108" s="19" t="str">
        <f t="shared" si="22"/>
        <v/>
      </c>
      <c r="P108" s="19" t="str">
        <f t="shared" si="23"/>
        <v/>
      </c>
      <c r="Q108" s="19" t="str">
        <f t="shared" si="24"/>
        <v/>
      </c>
      <c r="R108" s="19" t="str">
        <f t="shared" si="16"/>
        <v/>
      </c>
      <c r="S108" s="27" t="str">
        <f t="shared" si="18"/>
        <v/>
      </c>
      <c r="T108" s="28" t="str">
        <f t="shared" si="18"/>
        <v/>
      </c>
      <c r="U108" s="28" t="str">
        <f t="shared" si="18"/>
        <v/>
      </c>
      <c r="V108" s="28" t="str">
        <f t="shared" si="18"/>
        <v/>
      </c>
      <c r="W108" s="28" t="str">
        <f t="shared" si="18"/>
        <v/>
      </c>
      <c r="X108" s="29" t="str">
        <f t="shared" si="18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9"/>
        <v/>
      </c>
      <c r="M109" s="19" t="str">
        <f t="shared" si="20"/>
        <v/>
      </c>
      <c r="N109" s="19" t="str">
        <f t="shared" si="21"/>
        <v/>
      </c>
      <c r="O109" s="19" t="str">
        <f t="shared" si="22"/>
        <v/>
      </c>
      <c r="P109" s="19" t="str">
        <f t="shared" si="23"/>
        <v/>
      </c>
      <c r="Q109" s="19" t="str">
        <f t="shared" si="24"/>
        <v/>
      </c>
      <c r="R109" s="19" t="str">
        <f t="shared" si="16"/>
        <v/>
      </c>
      <c r="S109" s="27" t="str">
        <f t="shared" si="18"/>
        <v/>
      </c>
      <c r="T109" s="28" t="str">
        <f t="shared" si="18"/>
        <v/>
      </c>
      <c r="U109" s="28" t="str">
        <f t="shared" si="18"/>
        <v/>
      </c>
      <c r="V109" s="28" t="str">
        <f t="shared" si="18"/>
        <v/>
      </c>
      <c r="W109" s="28" t="str">
        <f t="shared" si="18"/>
        <v/>
      </c>
      <c r="X109" s="29" t="str">
        <f t="shared" si="18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9"/>
        <v/>
      </c>
      <c r="M110" s="19" t="str">
        <f t="shared" si="20"/>
        <v/>
      </c>
      <c r="N110" s="19" t="str">
        <f t="shared" si="21"/>
        <v/>
      </c>
      <c r="O110" s="19" t="str">
        <f t="shared" si="22"/>
        <v/>
      </c>
      <c r="P110" s="19" t="str">
        <f t="shared" si="23"/>
        <v/>
      </c>
      <c r="Q110" s="19" t="str">
        <f t="shared" si="24"/>
        <v/>
      </c>
      <c r="R110" s="19" t="str">
        <f t="shared" si="16"/>
        <v/>
      </c>
      <c r="S110" s="27" t="str">
        <f t="shared" si="18"/>
        <v/>
      </c>
      <c r="T110" s="28" t="str">
        <f t="shared" si="18"/>
        <v/>
      </c>
      <c r="U110" s="28" t="str">
        <f t="shared" si="18"/>
        <v/>
      </c>
      <c r="V110" s="28" t="str">
        <f t="shared" si="18"/>
        <v/>
      </c>
      <c r="W110" s="28" t="str">
        <f t="shared" si="18"/>
        <v/>
      </c>
      <c r="X110" s="29" t="str">
        <f t="shared" si="18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9"/>
        <v/>
      </c>
      <c r="M111" s="19" t="str">
        <f t="shared" si="20"/>
        <v/>
      </c>
      <c r="N111" s="19" t="str">
        <f t="shared" si="21"/>
        <v/>
      </c>
      <c r="O111" s="19" t="str">
        <f t="shared" si="22"/>
        <v/>
      </c>
      <c r="P111" s="19" t="str">
        <f t="shared" si="23"/>
        <v/>
      </c>
      <c r="Q111" s="19" t="str">
        <f t="shared" si="24"/>
        <v/>
      </c>
      <c r="R111" s="19" t="str">
        <f t="shared" si="16"/>
        <v/>
      </c>
      <c r="S111" s="27" t="str">
        <f t="shared" si="18"/>
        <v/>
      </c>
      <c r="T111" s="28" t="str">
        <f t="shared" si="18"/>
        <v/>
      </c>
      <c r="U111" s="28" t="str">
        <f t="shared" si="18"/>
        <v/>
      </c>
      <c r="V111" s="28" t="str">
        <f t="shared" si="18"/>
        <v/>
      </c>
      <c r="W111" s="28" t="str">
        <f t="shared" si="18"/>
        <v/>
      </c>
      <c r="X111" s="29" t="str">
        <f t="shared" si="18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9"/>
        <v/>
      </c>
      <c r="M112" s="19" t="str">
        <f t="shared" si="20"/>
        <v/>
      </c>
      <c r="N112" s="19" t="str">
        <f t="shared" si="21"/>
        <v/>
      </c>
      <c r="O112" s="19" t="str">
        <f t="shared" si="22"/>
        <v/>
      </c>
      <c r="P112" s="19" t="str">
        <f t="shared" si="23"/>
        <v/>
      </c>
      <c r="Q112" s="19" t="str">
        <f t="shared" si="24"/>
        <v/>
      </c>
      <c r="R112" s="19" t="str">
        <f t="shared" ref="R112:R143" si="25">IF(ISBLANK(I112),"",(I112-I$16)*1000)</f>
        <v/>
      </c>
      <c r="S112" s="27" t="str">
        <f t="shared" si="18"/>
        <v/>
      </c>
      <c r="T112" s="28" t="str">
        <f t="shared" si="18"/>
        <v/>
      </c>
      <c r="U112" s="28" t="str">
        <f t="shared" si="18"/>
        <v/>
      </c>
      <c r="V112" s="28" t="str">
        <f t="shared" si="18"/>
        <v/>
      </c>
      <c r="W112" s="28" t="str">
        <f t="shared" si="18"/>
        <v/>
      </c>
      <c r="X112" s="29" t="str">
        <f t="shared" si="18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9"/>
        <v/>
      </c>
      <c r="M113" s="19" t="str">
        <f t="shared" si="20"/>
        <v/>
      </c>
      <c r="N113" s="19" t="str">
        <f t="shared" si="21"/>
        <v/>
      </c>
      <c r="O113" s="19" t="str">
        <f t="shared" si="22"/>
        <v/>
      </c>
      <c r="P113" s="19" t="str">
        <f t="shared" si="23"/>
        <v/>
      </c>
      <c r="Q113" s="19" t="str">
        <f t="shared" si="24"/>
        <v/>
      </c>
      <c r="R113" s="19" t="str">
        <f t="shared" si="25"/>
        <v/>
      </c>
      <c r="S113" s="27" t="str">
        <f t="shared" ref="S113:X128" si="26">IF(C113="","",((C113-C112)*1000)/($B113-$B112))</f>
        <v/>
      </c>
      <c r="T113" s="28" t="str">
        <f t="shared" si="26"/>
        <v/>
      </c>
      <c r="U113" s="28" t="str">
        <f t="shared" si="26"/>
        <v/>
      </c>
      <c r="V113" s="28" t="str">
        <f t="shared" si="26"/>
        <v/>
      </c>
      <c r="W113" s="28" t="str">
        <f t="shared" si="26"/>
        <v/>
      </c>
      <c r="X113" s="29" t="str">
        <f t="shared" si="26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9"/>
        <v/>
      </c>
      <c r="M114" s="19" t="str">
        <f t="shared" si="20"/>
        <v/>
      </c>
      <c r="N114" s="19" t="str">
        <f t="shared" si="21"/>
        <v/>
      </c>
      <c r="O114" s="19" t="str">
        <f t="shared" si="22"/>
        <v/>
      </c>
      <c r="P114" s="19" t="str">
        <f t="shared" si="23"/>
        <v/>
      </c>
      <c r="Q114" s="19" t="str">
        <f t="shared" si="24"/>
        <v/>
      </c>
      <c r="R114" s="19" t="str">
        <f t="shared" si="25"/>
        <v/>
      </c>
      <c r="S114" s="27" t="str">
        <f t="shared" si="26"/>
        <v/>
      </c>
      <c r="T114" s="28" t="str">
        <f t="shared" si="26"/>
        <v/>
      </c>
      <c r="U114" s="28" t="str">
        <f t="shared" si="26"/>
        <v/>
      </c>
      <c r="V114" s="28" t="str">
        <f t="shared" si="26"/>
        <v/>
      </c>
      <c r="W114" s="28" t="str">
        <f t="shared" si="26"/>
        <v/>
      </c>
      <c r="X114" s="29" t="str">
        <f t="shared" si="26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9"/>
        <v/>
      </c>
      <c r="M115" s="19" t="str">
        <f t="shared" si="20"/>
        <v/>
      </c>
      <c r="N115" s="19" t="str">
        <f t="shared" si="21"/>
        <v/>
      </c>
      <c r="O115" s="19" t="str">
        <f t="shared" si="22"/>
        <v/>
      </c>
      <c r="P115" s="19" t="str">
        <f t="shared" si="23"/>
        <v/>
      </c>
      <c r="Q115" s="19" t="str">
        <f t="shared" si="24"/>
        <v/>
      </c>
      <c r="R115" s="19" t="str">
        <f t="shared" si="25"/>
        <v/>
      </c>
      <c r="S115" s="27" t="str">
        <f t="shared" si="26"/>
        <v/>
      </c>
      <c r="T115" s="28" t="str">
        <f t="shared" si="26"/>
        <v/>
      </c>
      <c r="U115" s="28" t="str">
        <f t="shared" si="26"/>
        <v/>
      </c>
      <c r="V115" s="28" t="str">
        <f t="shared" si="26"/>
        <v/>
      </c>
      <c r="W115" s="28" t="str">
        <f t="shared" si="26"/>
        <v/>
      </c>
      <c r="X115" s="29" t="str">
        <f t="shared" si="26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9"/>
        <v/>
      </c>
      <c r="M116" s="19" t="str">
        <f t="shared" si="20"/>
        <v/>
      </c>
      <c r="N116" s="19" t="str">
        <f t="shared" si="21"/>
        <v/>
      </c>
      <c r="O116" s="19" t="str">
        <f t="shared" si="22"/>
        <v/>
      </c>
      <c r="P116" s="19" t="str">
        <f t="shared" si="23"/>
        <v/>
      </c>
      <c r="Q116" s="19" t="str">
        <f t="shared" si="24"/>
        <v/>
      </c>
      <c r="R116" s="19" t="str">
        <f t="shared" si="25"/>
        <v/>
      </c>
      <c r="S116" s="27" t="str">
        <f t="shared" si="26"/>
        <v/>
      </c>
      <c r="T116" s="28" t="str">
        <f t="shared" si="26"/>
        <v/>
      </c>
      <c r="U116" s="28" t="str">
        <f t="shared" si="26"/>
        <v/>
      </c>
      <c r="V116" s="28" t="str">
        <f t="shared" si="26"/>
        <v/>
      </c>
      <c r="W116" s="28" t="str">
        <f t="shared" si="26"/>
        <v/>
      </c>
      <c r="X116" s="29" t="str">
        <f t="shared" si="26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9"/>
        <v/>
      </c>
      <c r="M117" s="19" t="str">
        <f t="shared" si="20"/>
        <v/>
      </c>
      <c r="N117" s="19" t="str">
        <f t="shared" si="21"/>
        <v/>
      </c>
      <c r="O117" s="19" t="str">
        <f t="shared" si="22"/>
        <v/>
      </c>
      <c r="P117" s="19" t="str">
        <f t="shared" si="23"/>
        <v/>
      </c>
      <c r="Q117" s="19" t="str">
        <f t="shared" si="24"/>
        <v/>
      </c>
      <c r="R117" s="19" t="str">
        <f t="shared" si="25"/>
        <v/>
      </c>
      <c r="S117" s="27" t="str">
        <f t="shared" si="26"/>
        <v/>
      </c>
      <c r="T117" s="28" t="str">
        <f t="shared" si="26"/>
        <v/>
      </c>
      <c r="U117" s="28" t="str">
        <f t="shared" si="26"/>
        <v/>
      </c>
      <c r="V117" s="28" t="str">
        <f t="shared" si="26"/>
        <v/>
      </c>
      <c r="W117" s="28" t="str">
        <f t="shared" si="26"/>
        <v/>
      </c>
      <c r="X117" s="29" t="str">
        <f t="shared" si="26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9"/>
        <v/>
      </c>
      <c r="M118" s="19" t="str">
        <f t="shared" si="20"/>
        <v/>
      </c>
      <c r="N118" s="19" t="str">
        <f t="shared" si="21"/>
        <v/>
      </c>
      <c r="O118" s="19" t="str">
        <f t="shared" si="22"/>
        <v/>
      </c>
      <c r="P118" s="19" t="str">
        <f t="shared" si="23"/>
        <v/>
      </c>
      <c r="Q118" s="19" t="str">
        <f t="shared" si="24"/>
        <v/>
      </c>
      <c r="R118" s="19" t="str">
        <f t="shared" si="25"/>
        <v/>
      </c>
      <c r="S118" s="27" t="str">
        <f t="shared" si="26"/>
        <v/>
      </c>
      <c r="T118" s="28" t="str">
        <f t="shared" si="26"/>
        <v/>
      </c>
      <c r="U118" s="28" t="str">
        <f t="shared" si="26"/>
        <v/>
      </c>
      <c r="V118" s="28" t="str">
        <f t="shared" si="26"/>
        <v/>
      </c>
      <c r="W118" s="28" t="str">
        <f t="shared" si="26"/>
        <v/>
      </c>
      <c r="X118" s="29" t="str">
        <f t="shared" si="26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9"/>
        <v/>
      </c>
      <c r="M119" s="19" t="str">
        <f t="shared" si="20"/>
        <v/>
      </c>
      <c r="N119" s="19" t="str">
        <f t="shared" si="21"/>
        <v/>
      </c>
      <c r="O119" s="19" t="str">
        <f t="shared" si="22"/>
        <v/>
      </c>
      <c r="P119" s="19" t="str">
        <f t="shared" si="23"/>
        <v/>
      </c>
      <c r="Q119" s="19" t="str">
        <f t="shared" si="24"/>
        <v/>
      </c>
      <c r="R119" s="19" t="str">
        <f t="shared" si="25"/>
        <v/>
      </c>
      <c r="S119" s="27" t="str">
        <f t="shared" si="26"/>
        <v/>
      </c>
      <c r="T119" s="28" t="str">
        <f t="shared" si="26"/>
        <v/>
      </c>
      <c r="U119" s="28" t="str">
        <f t="shared" si="26"/>
        <v/>
      </c>
      <c r="V119" s="28" t="str">
        <f t="shared" si="26"/>
        <v/>
      </c>
      <c r="W119" s="28" t="str">
        <f t="shared" si="26"/>
        <v/>
      </c>
      <c r="X119" s="29" t="str">
        <f t="shared" si="26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9"/>
        <v/>
      </c>
      <c r="M120" s="19" t="str">
        <f t="shared" si="20"/>
        <v/>
      </c>
      <c r="N120" s="19" t="str">
        <f t="shared" si="21"/>
        <v/>
      </c>
      <c r="O120" s="19" t="str">
        <f t="shared" si="22"/>
        <v/>
      </c>
      <c r="P120" s="19" t="str">
        <f t="shared" si="23"/>
        <v/>
      </c>
      <c r="Q120" s="19" t="str">
        <f t="shared" si="24"/>
        <v/>
      </c>
      <c r="R120" s="19" t="str">
        <f t="shared" si="25"/>
        <v/>
      </c>
      <c r="S120" s="27" t="str">
        <f t="shared" si="26"/>
        <v/>
      </c>
      <c r="T120" s="28" t="str">
        <f t="shared" si="26"/>
        <v/>
      </c>
      <c r="U120" s="28" t="str">
        <f t="shared" si="26"/>
        <v/>
      </c>
      <c r="V120" s="28" t="str">
        <f t="shared" si="26"/>
        <v/>
      </c>
      <c r="W120" s="28" t="str">
        <f t="shared" si="26"/>
        <v/>
      </c>
      <c r="X120" s="29" t="str">
        <f t="shared" si="26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9"/>
        <v/>
      </c>
      <c r="M121" s="19" t="str">
        <f t="shared" si="20"/>
        <v/>
      </c>
      <c r="N121" s="19" t="str">
        <f t="shared" si="21"/>
        <v/>
      </c>
      <c r="O121" s="19" t="str">
        <f t="shared" si="22"/>
        <v/>
      </c>
      <c r="P121" s="19" t="str">
        <f t="shared" si="23"/>
        <v/>
      </c>
      <c r="Q121" s="19" t="str">
        <f t="shared" si="24"/>
        <v/>
      </c>
      <c r="R121" s="19" t="str">
        <f t="shared" si="25"/>
        <v/>
      </c>
      <c r="S121" s="27" t="str">
        <f t="shared" si="26"/>
        <v/>
      </c>
      <c r="T121" s="28" t="str">
        <f t="shared" si="26"/>
        <v/>
      </c>
      <c r="U121" s="28" t="str">
        <f t="shared" si="26"/>
        <v/>
      </c>
      <c r="V121" s="28" t="str">
        <f t="shared" si="26"/>
        <v/>
      </c>
      <c r="W121" s="28" t="str">
        <f t="shared" si="26"/>
        <v/>
      </c>
      <c r="X121" s="29" t="str">
        <f t="shared" si="26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9"/>
        <v/>
      </c>
      <c r="M122" s="19" t="str">
        <f t="shared" si="20"/>
        <v/>
      </c>
      <c r="N122" s="19" t="str">
        <f t="shared" si="21"/>
        <v/>
      </c>
      <c r="O122" s="19" t="str">
        <f t="shared" si="22"/>
        <v/>
      </c>
      <c r="P122" s="19" t="str">
        <f t="shared" si="23"/>
        <v/>
      </c>
      <c r="Q122" s="19" t="str">
        <f t="shared" si="24"/>
        <v/>
      </c>
      <c r="R122" s="19" t="str">
        <f t="shared" si="25"/>
        <v/>
      </c>
      <c r="S122" s="27" t="str">
        <f t="shared" si="26"/>
        <v/>
      </c>
      <c r="T122" s="28" t="str">
        <f t="shared" si="26"/>
        <v/>
      </c>
      <c r="U122" s="28" t="str">
        <f t="shared" si="26"/>
        <v/>
      </c>
      <c r="V122" s="28" t="str">
        <f t="shared" si="26"/>
        <v/>
      </c>
      <c r="W122" s="28" t="str">
        <f t="shared" si="26"/>
        <v/>
      </c>
      <c r="X122" s="29" t="str">
        <f t="shared" si="26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9"/>
        <v/>
      </c>
      <c r="M123" s="19" t="str">
        <f t="shared" si="20"/>
        <v/>
      </c>
      <c r="N123" s="19" t="str">
        <f t="shared" si="21"/>
        <v/>
      </c>
      <c r="O123" s="19" t="str">
        <f t="shared" si="22"/>
        <v/>
      </c>
      <c r="P123" s="19" t="str">
        <f t="shared" si="23"/>
        <v/>
      </c>
      <c r="Q123" s="19" t="str">
        <f t="shared" si="24"/>
        <v/>
      </c>
      <c r="R123" s="19" t="str">
        <f t="shared" si="25"/>
        <v/>
      </c>
      <c r="S123" s="27" t="str">
        <f t="shared" si="26"/>
        <v/>
      </c>
      <c r="T123" s="28" t="str">
        <f t="shared" si="26"/>
        <v/>
      </c>
      <c r="U123" s="28" t="str">
        <f t="shared" si="26"/>
        <v/>
      </c>
      <c r="V123" s="28" t="str">
        <f t="shared" si="26"/>
        <v/>
      </c>
      <c r="W123" s="28" t="str">
        <f t="shared" si="26"/>
        <v/>
      </c>
      <c r="X123" s="29" t="str">
        <f t="shared" si="26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9"/>
        <v/>
      </c>
      <c r="M124" s="19" t="str">
        <f t="shared" si="20"/>
        <v/>
      </c>
      <c r="N124" s="19" t="str">
        <f t="shared" si="21"/>
        <v/>
      </c>
      <c r="O124" s="19" t="str">
        <f t="shared" si="22"/>
        <v/>
      </c>
      <c r="P124" s="19" t="str">
        <f t="shared" si="23"/>
        <v/>
      </c>
      <c r="Q124" s="19" t="str">
        <f t="shared" si="24"/>
        <v/>
      </c>
      <c r="R124" s="19" t="str">
        <f t="shared" si="25"/>
        <v/>
      </c>
      <c r="S124" s="27" t="str">
        <f t="shared" si="26"/>
        <v/>
      </c>
      <c r="T124" s="28" t="str">
        <f t="shared" si="26"/>
        <v/>
      </c>
      <c r="U124" s="28" t="str">
        <f t="shared" si="26"/>
        <v/>
      </c>
      <c r="V124" s="28" t="str">
        <f t="shared" si="26"/>
        <v/>
      </c>
      <c r="W124" s="28" t="str">
        <f t="shared" si="26"/>
        <v/>
      </c>
      <c r="X124" s="29" t="str">
        <f t="shared" si="26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9"/>
        <v/>
      </c>
      <c r="M125" s="19" t="str">
        <f t="shared" si="20"/>
        <v/>
      </c>
      <c r="N125" s="19" t="str">
        <f t="shared" si="21"/>
        <v/>
      </c>
      <c r="O125" s="19" t="str">
        <f t="shared" si="22"/>
        <v/>
      </c>
      <c r="P125" s="19" t="str">
        <f t="shared" si="23"/>
        <v/>
      </c>
      <c r="Q125" s="19" t="str">
        <f t="shared" si="24"/>
        <v/>
      </c>
      <c r="R125" s="19" t="str">
        <f t="shared" si="25"/>
        <v/>
      </c>
      <c r="S125" s="27" t="str">
        <f t="shared" si="26"/>
        <v/>
      </c>
      <c r="T125" s="28" t="str">
        <f t="shared" si="26"/>
        <v/>
      </c>
      <c r="U125" s="28" t="str">
        <f t="shared" si="26"/>
        <v/>
      </c>
      <c r="V125" s="28" t="str">
        <f t="shared" si="26"/>
        <v/>
      </c>
      <c r="W125" s="28" t="str">
        <f t="shared" si="26"/>
        <v/>
      </c>
      <c r="X125" s="29" t="str">
        <f t="shared" si="26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9"/>
        <v/>
      </c>
      <c r="M126" s="19" t="str">
        <f t="shared" si="20"/>
        <v/>
      </c>
      <c r="N126" s="19" t="str">
        <f t="shared" si="21"/>
        <v/>
      </c>
      <c r="O126" s="19" t="str">
        <f t="shared" si="22"/>
        <v/>
      </c>
      <c r="P126" s="19" t="str">
        <f t="shared" si="23"/>
        <v/>
      </c>
      <c r="Q126" s="19" t="str">
        <f t="shared" si="24"/>
        <v/>
      </c>
      <c r="R126" s="19" t="str">
        <f t="shared" si="25"/>
        <v/>
      </c>
      <c r="S126" s="27" t="str">
        <f t="shared" si="26"/>
        <v/>
      </c>
      <c r="T126" s="28" t="str">
        <f t="shared" si="26"/>
        <v/>
      </c>
      <c r="U126" s="28" t="str">
        <f t="shared" si="26"/>
        <v/>
      </c>
      <c r="V126" s="28" t="str">
        <f t="shared" si="26"/>
        <v/>
      </c>
      <c r="W126" s="28" t="str">
        <f t="shared" si="26"/>
        <v/>
      </c>
      <c r="X126" s="29" t="str">
        <f t="shared" si="26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9"/>
        <v/>
      </c>
      <c r="M127" s="19" t="str">
        <f t="shared" si="20"/>
        <v/>
      </c>
      <c r="N127" s="19" t="str">
        <f t="shared" si="21"/>
        <v/>
      </c>
      <c r="O127" s="19" t="str">
        <f t="shared" si="22"/>
        <v/>
      </c>
      <c r="P127" s="19" t="str">
        <f t="shared" si="23"/>
        <v/>
      </c>
      <c r="Q127" s="19" t="str">
        <f t="shared" si="24"/>
        <v/>
      </c>
      <c r="R127" s="19" t="str">
        <f t="shared" si="25"/>
        <v/>
      </c>
      <c r="S127" s="27" t="str">
        <f t="shared" si="26"/>
        <v/>
      </c>
      <c r="T127" s="28" t="str">
        <f t="shared" si="26"/>
        <v/>
      </c>
      <c r="U127" s="28" t="str">
        <f t="shared" si="26"/>
        <v/>
      </c>
      <c r="V127" s="28" t="str">
        <f t="shared" si="26"/>
        <v/>
      </c>
      <c r="W127" s="28" t="str">
        <f t="shared" si="26"/>
        <v/>
      </c>
      <c r="X127" s="29" t="str">
        <f t="shared" si="26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9"/>
        <v/>
      </c>
      <c r="M128" s="19" t="str">
        <f t="shared" si="20"/>
        <v/>
      </c>
      <c r="N128" s="19" t="str">
        <f t="shared" si="21"/>
        <v/>
      </c>
      <c r="O128" s="19" t="str">
        <f t="shared" si="22"/>
        <v/>
      </c>
      <c r="P128" s="19" t="str">
        <f t="shared" si="23"/>
        <v/>
      </c>
      <c r="Q128" s="19" t="str">
        <f t="shared" si="24"/>
        <v/>
      </c>
      <c r="R128" s="19" t="str">
        <f t="shared" si="25"/>
        <v/>
      </c>
      <c r="S128" s="27" t="str">
        <f t="shared" si="26"/>
        <v/>
      </c>
      <c r="T128" s="28" t="str">
        <f t="shared" si="26"/>
        <v/>
      </c>
      <c r="U128" s="28" t="str">
        <f t="shared" si="26"/>
        <v/>
      </c>
      <c r="V128" s="28" t="str">
        <f t="shared" si="26"/>
        <v/>
      </c>
      <c r="W128" s="28" t="str">
        <f t="shared" si="26"/>
        <v/>
      </c>
      <c r="X128" s="29" t="str">
        <f t="shared" si="26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9"/>
        <v/>
      </c>
      <c r="M129" s="19" t="str">
        <f t="shared" si="20"/>
        <v/>
      </c>
      <c r="N129" s="19" t="str">
        <f t="shared" si="21"/>
        <v/>
      </c>
      <c r="O129" s="19" t="str">
        <f t="shared" si="22"/>
        <v/>
      </c>
      <c r="P129" s="19" t="str">
        <f t="shared" si="23"/>
        <v/>
      </c>
      <c r="Q129" s="19" t="str">
        <f t="shared" si="24"/>
        <v/>
      </c>
      <c r="R129" s="19" t="str">
        <f t="shared" si="25"/>
        <v/>
      </c>
      <c r="S129" s="27" t="str">
        <f t="shared" ref="S129:X144" si="27">IF(C129="","",((C129-C128)*1000)/($B129-$B128))</f>
        <v/>
      </c>
      <c r="T129" s="28" t="str">
        <f t="shared" si="27"/>
        <v/>
      </c>
      <c r="U129" s="28" t="str">
        <f t="shared" si="27"/>
        <v/>
      </c>
      <c r="V129" s="28" t="str">
        <f t="shared" si="27"/>
        <v/>
      </c>
      <c r="W129" s="28" t="str">
        <f t="shared" si="27"/>
        <v/>
      </c>
      <c r="X129" s="29" t="str">
        <f t="shared" si="27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9"/>
        <v/>
      </c>
      <c r="M130" s="19" t="str">
        <f t="shared" si="20"/>
        <v/>
      </c>
      <c r="N130" s="19" t="str">
        <f t="shared" si="21"/>
        <v/>
      </c>
      <c r="O130" s="19" t="str">
        <f t="shared" si="22"/>
        <v/>
      </c>
      <c r="P130" s="19" t="str">
        <f t="shared" si="23"/>
        <v/>
      </c>
      <c r="Q130" s="19" t="str">
        <f t="shared" si="24"/>
        <v/>
      </c>
      <c r="R130" s="19" t="str">
        <f t="shared" si="25"/>
        <v/>
      </c>
      <c r="S130" s="27" t="str">
        <f t="shared" si="27"/>
        <v/>
      </c>
      <c r="T130" s="28" t="str">
        <f t="shared" si="27"/>
        <v/>
      </c>
      <c r="U130" s="28" t="str">
        <f t="shared" si="27"/>
        <v/>
      </c>
      <c r="V130" s="28" t="str">
        <f t="shared" si="27"/>
        <v/>
      </c>
      <c r="W130" s="28" t="str">
        <f t="shared" si="27"/>
        <v/>
      </c>
      <c r="X130" s="29" t="str">
        <f t="shared" si="27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9"/>
        <v/>
      </c>
      <c r="M131" s="19" t="str">
        <f t="shared" si="20"/>
        <v/>
      </c>
      <c r="N131" s="19" t="str">
        <f t="shared" si="21"/>
        <v/>
      </c>
      <c r="O131" s="19" t="str">
        <f t="shared" si="22"/>
        <v/>
      </c>
      <c r="P131" s="19" t="str">
        <f t="shared" si="23"/>
        <v/>
      </c>
      <c r="Q131" s="19" t="str">
        <f t="shared" si="24"/>
        <v/>
      </c>
      <c r="R131" s="19" t="str">
        <f t="shared" si="25"/>
        <v/>
      </c>
      <c r="S131" s="27" t="str">
        <f t="shared" si="27"/>
        <v/>
      </c>
      <c r="T131" s="28" t="str">
        <f t="shared" si="27"/>
        <v/>
      </c>
      <c r="U131" s="28" t="str">
        <f t="shared" si="27"/>
        <v/>
      </c>
      <c r="V131" s="28" t="str">
        <f t="shared" si="27"/>
        <v/>
      </c>
      <c r="W131" s="28" t="str">
        <f t="shared" si="27"/>
        <v/>
      </c>
      <c r="X131" s="29" t="str">
        <f t="shared" si="27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9"/>
        <v/>
      </c>
      <c r="M132" s="19" t="str">
        <f t="shared" si="20"/>
        <v/>
      </c>
      <c r="N132" s="19" t="str">
        <f t="shared" si="21"/>
        <v/>
      </c>
      <c r="O132" s="19" t="str">
        <f t="shared" si="22"/>
        <v/>
      </c>
      <c r="P132" s="19" t="str">
        <f t="shared" si="23"/>
        <v/>
      </c>
      <c r="Q132" s="19" t="str">
        <f t="shared" si="24"/>
        <v/>
      </c>
      <c r="R132" s="19" t="str">
        <f t="shared" si="25"/>
        <v/>
      </c>
      <c r="S132" s="27" t="str">
        <f t="shared" si="27"/>
        <v/>
      </c>
      <c r="T132" s="28" t="str">
        <f t="shared" si="27"/>
        <v/>
      </c>
      <c r="U132" s="28" t="str">
        <f t="shared" si="27"/>
        <v/>
      </c>
      <c r="V132" s="28" t="str">
        <f t="shared" si="27"/>
        <v/>
      </c>
      <c r="W132" s="28" t="str">
        <f t="shared" si="27"/>
        <v/>
      </c>
      <c r="X132" s="29" t="str">
        <f t="shared" si="27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19"/>
        <v/>
      </c>
      <c r="M133" s="19" t="str">
        <f t="shared" si="20"/>
        <v/>
      </c>
      <c r="N133" s="19" t="str">
        <f t="shared" si="21"/>
        <v/>
      </c>
      <c r="O133" s="19" t="str">
        <f t="shared" si="22"/>
        <v/>
      </c>
      <c r="P133" s="19" t="str">
        <f t="shared" si="23"/>
        <v/>
      </c>
      <c r="Q133" s="19" t="str">
        <f t="shared" si="24"/>
        <v/>
      </c>
      <c r="R133" s="19" t="str">
        <f t="shared" si="25"/>
        <v/>
      </c>
      <c r="S133" s="27" t="str">
        <f t="shared" si="27"/>
        <v/>
      </c>
      <c r="T133" s="28" t="str">
        <f t="shared" si="27"/>
        <v/>
      </c>
      <c r="U133" s="28" t="str">
        <f t="shared" si="27"/>
        <v/>
      </c>
      <c r="V133" s="28" t="str">
        <f t="shared" si="27"/>
        <v/>
      </c>
      <c r="W133" s="28" t="str">
        <f t="shared" si="27"/>
        <v/>
      </c>
      <c r="X133" s="29" t="str">
        <f t="shared" si="27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19"/>
        <v/>
      </c>
      <c r="M134" s="19" t="str">
        <f t="shared" si="20"/>
        <v/>
      </c>
      <c r="N134" s="19" t="str">
        <f t="shared" si="21"/>
        <v/>
      </c>
      <c r="O134" s="19" t="str">
        <f t="shared" si="22"/>
        <v/>
      </c>
      <c r="P134" s="19" t="str">
        <f t="shared" si="23"/>
        <v/>
      </c>
      <c r="Q134" s="19" t="str">
        <f t="shared" si="24"/>
        <v/>
      </c>
      <c r="R134" s="19" t="str">
        <f t="shared" si="25"/>
        <v/>
      </c>
      <c r="S134" s="27" t="str">
        <f t="shared" si="27"/>
        <v/>
      </c>
      <c r="T134" s="28" t="str">
        <f t="shared" si="27"/>
        <v/>
      </c>
      <c r="U134" s="28" t="str">
        <f t="shared" si="27"/>
        <v/>
      </c>
      <c r="V134" s="28" t="str">
        <f t="shared" si="27"/>
        <v/>
      </c>
      <c r="W134" s="28" t="str">
        <f t="shared" si="27"/>
        <v/>
      </c>
      <c r="X134" s="29" t="str">
        <f t="shared" si="27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19"/>
        <v/>
      </c>
      <c r="M135" s="19" t="str">
        <f t="shared" si="20"/>
        <v/>
      </c>
      <c r="N135" s="19" t="str">
        <f t="shared" si="21"/>
        <v/>
      </c>
      <c r="O135" s="19" t="str">
        <f t="shared" si="22"/>
        <v/>
      </c>
      <c r="P135" s="19" t="str">
        <f t="shared" si="23"/>
        <v/>
      </c>
      <c r="Q135" s="19" t="str">
        <f t="shared" si="24"/>
        <v/>
      </c>
      <c r="R135" s="19" t="str">
        <f t="shared" si="25"/>
        <v/>
      </c>
      <c r="S135" s="27" t="str">
        <f t="shared" si="27"/>
        <v/>
      </c>
      <c r="T135" s="28" t="str">
        <f t="shared" si="27"/>
        <v/>
      </c>
      <c r="U135" s="28" t="str">
        <f t="shared" si="27"/>
        <v/>
      </c>
      <c r="V135" s="28" t="str">
        <f t="shared" si="27"/>
        <v/>
      </c>
      <c r="W135" s="28" t="str">
        <f t="shared" si="27"/>
        <v/>
      </c>
      <c r="X135" s="29" t="str">
        <f t="shared" si="27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19"/>
        <v/>
      </c>
      <c r="M136" s="19" t="str">
        <f t="shared" si="20"/>
        <v/>
      </c>
      <c r="N136" s="19" t="str">
        <f t="shared" si="21"/>
        <v/>
      </c>
      <c r="O136" s="19" t="str">
        <f t="shared" si="22"/>
        <v/>
      </c>
      <c r="P136" s="19" t="str">
        <f t="shared" si="23"/>
        <v/>
      </c>
      <c r="Q136" s="19" t="str">
        <f t="shared" si="24"/>
        <v/>
      </c>
      <c r="R136" s="19" t="str">
        <f t="shared" si="25"/>
        <v/>
      </c>
      <c r="S136" s="27" t="str">
        <f t="shared" si="27"/>
        <v/>
      </c>
      <c r="T136" s="28" t="str">
        <f t="shared" si="27"/>
        <v/>
      </c>
      <c r="U136" s="28" t="str">
        <f t="shared" si="27"/>
        <v/>
      </c>
      <c r="V136" s="28" t="str">
        <f t="shared" si="27"/>
        <v/>
      </c>
      <c r="W136" s="28" t="str">
        <f t="shared" si="27"/>
        <v/>
      </c>
      <c r="X136" s="29" t="str">
        <f t="shared" si="27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19"/>
        <v/>
      </c>
      <c r="M137" s="19" t="str">
        <f t="shared" si="20"/>
        <v/>
      </c>
      <c r="N137" s="19" t="str">
        <f t="shared" si="21"/>
        <v/>
      </c>
      <c r="O137" s="19" t="str">
        <f t="shared" si="22"/>
        <v/>
      </c>
      <c r="P137" s="19" t="str">
        <f t="shared" si="23"/>
        <v/>
      </c>
      <c r="Q137" s="19" t="str">
        <f t="shared" si="24"/>
        <v/>
      </c>
      <c r="R137" s="19" t="str">
        <f t="shared" si="25"/>
        <v/>
      </c>
      <c r="S137" s="27" t="str">
        <f t="shared" si="27"/>
        <v/>
      </c>
      <c r="T137" s="28" t="str">
        <f t="shared" si="27"/>
        <v/>
      </c>
      <c r="U137" s="28" t="str">
        <f t="shared" si="27"/>
        <v/>
      </c>
      <c r="V137" s="28" t="str">
        <f t="shared" si="27"/>
        <v/>
      </c>
      <c r="W137" s="28" t="str">
        <f t="shared" si="27"/>
        <v/>
      </c>
      <c r="X137" s="29" t="str">
        <f t="shared" si="27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19"/>
        <v/>
      </c>
      <c r="M138" s="19" t="str">
        <f t="shared" si="20"/>
        <v/>
      </c>
      <c r="N138" s="19" t="str">
        <f t="shared" si="21"/>
        <v/>
      </c>
      <c r="O138" s="19" t="str">
        <f t="shared" si="22"/>
        <v/>
      </c>
      <c r="P138" s="19" t="str">
        <f t="shared" si="23"/>
        <v/>
      </c>
      <c r="Q138" s="19" t="str">
        <f t="shared" si="24"/>
        <v/>
      </c>
      <c r="R138" s="19" t="str">
        <f t="shared" si="25"/>
        <v/>
      </c>
      <c r="S138" s="27" t="str">
        <f t="shared" si="27"/>
        <v/>
      </c>
      <c r="T138" s="28" t="str">
        <f t="shared" si="27"/>
        <v/>
      </c>
      <c r="U138" s="28" t="str">
        <f t="shared" si="27"/>
        <v/>
      </c>
      <c r="V138" s="28" t="str">
        <f t="shared" si="27"/>
        <v/>
      </c>
      <c r="W138" s="28" t="str">
        <f t="shared" si="27"/>
        <v/>
      </c>
      <c r="X138" s="29" t="str">
        <f t="shared" si="27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19"/>
        <v/>
      </c>
      <c r="M139" s="19" t="str">
        <f t="shared" si="20"/>
        <v/>
      </c>
      <c r="N139" s="19" t="str">
        <f t="shared" si="21"/>
        <v/>
      </c>
      <c r="O139" s="19" t="str">
        <f t="shared" si="22"/>
        <v/>
      </c>
      <c r="P139" s="19" t="str">
        <f t="shared" si="23"/>
        <v/>
      </c>
      <c r="Q139" s="19" t="str">
        <f t="shared" si="24"/>
        <v/>
      </c>
      <c r="R139" s="19" t="str">
        <f t="shared" si="25"/>
        <v/>
      </c>
      <c r="S139" s="27" t="str">
        <f t="shared" si="27"/>
        <v/>
      </c>
      <c r="T139" s="28" t="str">
        <f t="shared" si="27"/>
        <v/>
      </c>
      <c r="U139" s="28" t="str">
        <f t="shared" si="27"/>
        <v/>
      </c>
      <c r="V139" s="28" t="str">
        <f t="shared" si="27"/>
        <v/>
      </c>
      <c r="W139" s="28" t="str">
        <f t="shared" si="27"/>
        <v/>
      </c>
      <c r="X139" s="29" t="str">
        <f t="shared" si="27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19"/>
        <v/>
      </c>
      <c r="M140" s="19" t="str">
        <f t="shared" si="20"/>
        <v/>
      </c>
      <c r="N140" s="19" t="str">
        <f t="shared" si="21"/>
        <v/>
      </c>
      <c r="O140" s="19" t="str">
        <f t="shared" si="22"/>
        <v/>
      </c>
      <c r="P140" s="19" t="str">
        <f t="shared" si="23"/>
        <v/>
      </c>
      <c r="Q140" s="19" t="str">
        <f t="shared" si="24"/>
        <v/>
      </c>
      <c r="R140" s="19" t="str">
        <f t="shared" si="25"/>
        <v/>
      </c>
      <c r="S140" s="27" t="str">
        <f t="shared" si="27"/>
        <v/>
      </c>
      <c r="T140" s="28" t="str">
        <f t="shared" si="27"/>
        <v/>
      </c>
      <c r="U140" s="28" t="str">
        <f t="shared" si="27"/>
        <v/>
      </c>
      <c r="V140" s="28" t="str">
        <f t="shared" si="27"/>
        <v/>
      </c>
      <c r="W140" s="28" t="str">
        <f t="shared" si="27"/>
        <v/>
      </c>
      <c r="X140" s="29" t="str">
        <f t="shared" si="27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19"/>
        <v/>
      </c>
      <c r="M141" s="19" t="str">
        <f t="shared" si="20"/>
        <v/>
      </c>
      <c r="N141" s="19" t="str">
        <f t="shared" si="21"/>
        <v/>
      </c>
      <c r="O141" s="19" t="str">
        <f t="shared" si="22"/>
        <v/>
      </c>
      <c r="P141" s="19" t="str">
        <f t="shared" si="23"/>
        <v/>
      </c>
      <c r="Q141" s="19" t="str">
        <f t="shared" si="24"/>
        <v/>
      </c>
      <c r="R141" s="19" t="str">
        <f t="shared" si="25"/>
        <v/>
      </c>
      <c r="S141" s="27" t="str">
        <f t="shared" si="27"/>
        <v/>
      </c>
      <c r="T141" s="28" t="str">
        <f t="shared" si="27"/>
        <v/>
      </c>
      <c r="U141" s="28" t="str">
        <f t="shared" si="27"/>
        <v/>
      </c>
      <c r="V141" s="28" t="str">
        <f t="shared" si="27"/>
        <v/>
      </c>
      <c r="W141" s="28" t="str">
        <f t="shared" si="27"/>
        <v/>
      </c>
      <c r="X141" s="29" t="str">
        <f t="shared" si="27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19"/>
        <v/>
      </c>
      <c r="M142" s="19" t="str">
        <f t="shared" si="20"/>
        <v/>
      </c>
      <c r="N142" s="19" t="str">
        <f t="shared" si="21"/>
        <v/>
      </c>
      <c r="O142" s="19" t="str">
        <f t="shared" si="22"/>
        <v/>
      </c>
      <c r="P142" s="19" t="str">
        <f t="shared" si="23"/>
        <v/>
      </c>
      <c r="Q142" s="19" t="str">
        <f t="shared" si="24"/>
        <v/>
      </c>
      <c r="R142" s="19" t="str">
        <f t="shared" si="25"/>
        <v/>
      </c>
      <c r="S142" s="27" t="str">
        <f t="shared" si="27"/>
        <v/>
      </c>
      <c r="T142" s="28" t="str">
        <f t="shared" si="27"/>
        <v/>
      </c>
      <c r="U142" s="28" t="str">
        <f t="shared" si="27"/>
        <v/>
      </c>
      <c r="V142" s="28" t="str">
        <f t="shared" si="27"/>
        <v/>
      </c>
      <c r="W142" s="28" t="str">
        <f t="shared" si="27"/>
        <v/>
      </c>
      <c r="X142" s="29" t="str">
        <f t="shared" si="27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19"/>
        <v/>
      </c>
      <c r="M143" s="19" t="str">
        <f t="shared" si="20"/>
        <v/>
      </c>
      <c r="N143" s="19" t="str">
        <f t="shared" si="21"/>
        <v/>
      </c>
      <c r="O143" s="19" t="str">
        <f t="shared" si="22"/>
        <v/>
      </c>
      <c r="P143" s="19" t="str">
        <f t="shared" si="23"/>
        <v/>
      </c>
      <c r="Q143" s="19" t="str">
        <f t="shared" si="24"/>
        <v/>
      </c>
      <c r="R143" s="19" t="str">
        <f t="shared" si="25"/>
        <v/>
      </c>
      <c r="S143" s="27" t="str">
        <f t="shared" si="27"/>
        <v/>
      </c>
      <c r="T143" s="28" t="str">
        <f t="shared" si="27"/>
        <v/>
      </c>
      <c r="U143" s="28" t="str">
        <f t="shared" si="27"/>
        <v/>
      </c>
      <c r="V143" s="28" t="str">
        <f t="shared" si="27"/>
        <v/>
      </c>
      <c r="W143" s="28" t="str">
        <f t="shared" si="27"/>
        <v/>
      </c>
      <c r="X143" s="29" t="str">
        <f t="shared" si="27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19"/>
        <v/>
      </c>
      <c r="M144" s="19" t="str">
        <f t="shared" si="20"/>
        <v/>
      </c>
      <c r="N144" s="19" t="str">
        <f t="shared" si="21"/>
        <v/>
      </c>
      <c r="O144" s="19" t="str">
        <f t="shared" si="22"/>
        <v/>
      </c>
      <c r="P144" s="19" t="str">
        <f t="shared" si="23"/>
        <v/>
      </c>
      <c r="Q144" s="19" t="str">
        <f t="shared" si="24"/>
        <v/>
      </c>
      <c r="R144" s="19" t="str">
        <f t="shared" ref="R144:R153" si="28">IF(ISBLANK(I144),"",(I144-I$16)*1000)</f>
        <v/>
      </c>
      <c r="S144" s="27" t="str">
        <f t="shared" si="27"/>
        <v/>
      </c>
      <c r="T144" s="28" t="str">
        <f t="shared" si="27"/>
        <v/>
      </c>
      <c r="U144" s="28" t="str">
        <f t="shared" si="27"/>
        <v/>
      </c>
      <c r="V144" s="28" t="str">
        <f t="shared" si="27"/>
        <v/>
      </c>
      <c r="W144" s="28" t="str">
        <f t="shared" si="27"/>
        <v/>
      </c>
      <c r="X144" s="29" t="str">
        <f t="shared" si="27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19"/>
        <v/>
      </c>
      <c r="M145" s="19" t="str">
        <f t="shared" si="20"/>
        <v/>
      </c>
      <c r="N145" s="19" t="str">
        <f t="shared" si="21"/>
        <v/>
      </c>
      <c r="O145" s="19" t="str">
        <f t="shared" si="22"/>
        <v/>
      </c>
      <c r="P145" s="19" t="str">
        <f t="shared" si="23"/>
        <v/>
      </c>
      <c r="Q145" s="19" t="str">
        <f t="shared" si="24"/>
        <v/>
      </c>
      <c r="R145" s="19" t="str">
        <f t="shared" si="28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19"/>
        <v/>
      </c>
      <c r="M146" s="19" t="str">
        <f t="shared" si="20"/>
        <v/>
      </c>
      <c r="N146" s="19" t="str">
        <f t="shared" si="21"/>
        <v/>
      </c>
      <c r="O146" s="19" t="str">
        <f t="shared" si="22"/>
        <v/>
      </c>
      <c r="P146" s="19" t="str">
        <f t="shared" si="23"/>
        <v/>
      </c>
      <c r="Q146" s="19" t="str">
        <f t="shared" si="24"/>
        <v/>
      </c>
      <c r="R146" s="19" t="str">
        <f t="shared" si="28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19"/>
        <v/>
      </c>
      <c r="M147" s="19" t="str">
        <f t="shared" si="20"/>
        <v/>
      </c>
      <c r="N147" s="19" t="str">
        <f t="shared" si="21"/>
        <v/>
      </c>
      <c r="O147" s="19" t="str">
        <f t="shared" si="22"/>
        <v/>
      </c>
      <c r="P147" s="19" t="str">
        <f t="shared" si="23"/>
        <v/>
      </c>
      <c r="Q147" s="19" t="str">
        <f t="shared" si="24"/>
        <v/>
      </c>
      <c r="R147" s="19" t="str">
        <f t="shared" si="28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19"/>
        <v/>
      </c>
      <c r="M148" s="19" t="str">
        <f t="shared" si="20"/>
        <v/>
      </c>
      <c r="N148" s="19" t="str">
        <f t="shared" si="21"/>
        <v/>
      </c>
      <c r="O148" s="19" t="str">
        <f t="shared" si="22"/>
        <v/>
      </c>
      <c r="P148" s="19" t="str">
        <f t="shared" si="23"/>
        <v/>
      </c>
      <c r="Q148" s="19" t="str">
        <f t="shared" si="24"/>
        <v/>
      </c>
      <c r="R148" s="19" t="str">
        <f t="shared" si="28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19"/>
        <v/>
      </c>
      <c r="M149" s="19" t="str">
        <f t="shared" si="20"/>
        <v/>
      </c>
      <c r="N149" s="19" t="str">
        <f t="shared" si="21"/>
        <v/>
      </c>
      <c r="O149" s="19" t="str">
        <f t="shared" si="22"/>
        <v/>
      </c>
      <c r="P149" s="19" t="str">
        <f t="shared" si="23"/>
        <v/>
      </c>
      <c r="Q149" s="19" t="str">
        <f t="shared" si="24"/>
        <v/>
      </c>
      <c r="R149" s="19" t="str">
        <f t="shared" si="28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19"/>
        <v/>
      </c>
      <c r="M150" s="19" t="str">
        <f t="shared" si="20"/>
        <v/>
      </c>
      <c r="N150" s="19" t="str">
        <f t="shared" si="21"/>
        <v/>
      </c>
      <c r="O150" s="19" t="str">
        <f t="shared" si="22"/>
        <v/>
      </c>
      <c r="P150" s="19" t="str">
        <f t="shared" si="23"/>
        <v/>
      </c>
      <c r="Q150" s="19" t="str">
        <f t="shared" si="24"/>
        <v/>
      </c>
      <c r="R150" s="19" t="str">
        <f t="shared" si="28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19"/>
        <v/>
      </c>
      <c r="M151" s="19" t="str">
        <f t="shared" si="20"/>
        <v/>
      </c>
      <c r="N151" s="19" t="str">
        <f t="shared" si="21"/>
        <v/>
      </c>
      <c r="O151" s="19" t="str">
        <f t="shared" si="22"/>
        <v/>
      </c>
      <c r="P151" s="19" t="str">
        <f t="shared" si="23"/>
        <v/>
      </c>
      <c r="Q151" s="19" t="str">
        <f t="shared" si="24"/>
        <v/>
      </c>
      <c r="R151" s="19" t="str">
        <f t="shared" si="28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19"/>
        <v/>
      </c>
      <c r="M152" s="19" t="str">
        <f t="shared" si="20"/>
        <v/>
      </c>
      <c r="N152" s="19" t="str">
        <f t="shared" si="21"/>
        <v/>
      </c>
      <c r="O152" s="19" t="str">
        <f t="shared" si="22"/>
        <v/>
      </c>
      <c r="P152" s="19" t="str">
        <f t="shared" si="23"/>
        <v/>
      </c>
      <c r="Q152" s="19" t="str">
        <f t="shared" si="24"/>
        <v/>
      </c>
      <c r="R152" s="19" t="str">
        <f t="shared" si="28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19"/>
        <v/>
      </c>
      <c r="M153" s="19" t="str">
        <f t="shared" si="20"/>
        <v/>
      </c>
      <c r="N153" s="19" t="str">
        <f t="shared" si="21"/>
        <v/>
      </c>
      <c r="O153" s="19" t="str">
        <f t="shared" si="22"/>
        <v/>
      </c>
      <c r="P153" s="19" t="str">
        <f t="shared" si="23"/>
        <v/>
      </c>
      <c r="Q153" s="19" t="str">
        <f t="shared" si="24"/>
        <v/>
      </c>
      <c r="R153" s="19" t="str">
        <f t="shared" si="28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10:J12"/>
    <mergeCell ref="K10:S12"/>
    <mergeCell ref="T10:Y12"/>
    <mergeCell ref="W8:Y8"/>
    <mergeCell ref="E5:I5"/>
    <mergeCell ref="J5:Q5"/>
    <mergeCell ref="R5:V5"/>
    <mergeCell ref="E8:I8"/>
    <mergeCell ref="J8:Q8"/>
    <mergeCell ref="R8:V8"/>
    <mergeCell ref="A1:J1"/>
    <mergeCell ref="E2:Q2"/>
    <mergeCell ref="R2:X4"/>
    <mergeCell ref="Y2:Y4"/>
    <mergeCell ref="E3:Q3"/>
    <mergeCell ref="AA9:AI9"/>
    <mergeCell ref="E4:Q4"/>
    <mergeCell ref="B5:D8"/>
    <mergeCell ref="W6:Y6"/>
    <mergeCell ref="E7:I7"/>
    <mergeCell ref="J7:Q7"/>
    <mergeCell ref="R7:V7"/>
    <mergeCell ref="W7:Y7"/>
    <mergeCell ref="J6:Q6"/>
    <mergeCell ref="R6:V6"/>
    <mergeCell ref="B9:O9"/>
    <mergeCell ref="P9:Y9"/>
    <mergeCell ref="W5:Y5"/>
    <mergeCell ref="E6:I6"/>
  </mergeCells>
  <phoneticPr fontId="20" type="noConversion"/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A2BD-4C26-4EA1-87EC-9323EEC801E4}">
  <dimension ref="A1:D401"/>
  <sheetViews>
    <sheetView tabSelected="1" topLeftCell="A363" zoomScaleNormal="100" workbookViewId="0">
      <selection activeCell="G385" sqref="G385"/>
    </sheetView>
  </sheetViews>
  <sheetFormatPr baseColWidth="10" defaultRowHeight="15" x14ac:dyDescent="0.25"/>
  <cols>
    <col min="1" max="1" width="15.7109375" style="84" customWidth="1"/>
    <col min="2" max="2" width="16.28515625" style="93" customWidth="1"/>
    <col min="3" max="3" width="15.7109375" style="94" customWidth="1"/>
  </cols>
  <sheetData>
    <row r="1" spans="1:3" x14ac:dyDescent="0.25">
      <c r="A1" s="85" t="s">
        <v>17</v>
      </c>
      <c r="B1" s="85" t="s">
        <v>78</v>
      </c>
      <c r="C1" s="87" t="s">
        <v>68</v>
      </c>
    </row>
    <row r="2" spans="1:3" x14ac:dyDescent="0.25">
      <c r="A2" s="84">
        <v>45993</v>
      </c>
      <c r="B2" s="88" t="s">
        <v>69</v>
      </c>
      <c r="C2" s="89">
        <v>45.930500000000002</v>
      </c>
    </row>
    <row r="3" spans="1:3" x14ac:dyDescent="0.25">
      <c r="A3" s="84">
        <v>45993</v>
      </c>
      <c r="B3" s="88" t="s">
        <v>70</v>
      </c>
      <c r="C3" s="89">
        <v>46.023600000000002</v>
      </c>
    </row>
    <row r="4" spans="1:3" x14ac:dyDescent="0.25">
      <c r="A4" s="84">
        <v>45993</v>
      </c>
      <c r="B4" s="88" t="s">
        <v>71</v>
      </c>
      <c r="C4" s="89">
        <v>45.886000000000003</v>
      </c>
    </row>
    <row r="5" spans="1:3" x14ac:dyDescent="0.25">
      <c r="A5" s="84">
        <v>45996</v>
      </c>
      <c r="B5" s="88" t="s">
        <v>69</v>
      </c>
      <c r="C5" s="89">
        <v>45.930199999999999</v>
      </c>
    </row>
    <row r="6" spans="1:3" x14ac:dyDescent="0.25">
      <c r="A6" s="84">
        <v>45996</v>
      </c>
      <c r="B6" s="88" t="s">
        <v>70</v>
      </c>
      <c r="C6" s="89">
        <v>46.023400000000002</v>
      </c>
    </row>
    <row r="7" spans="1:3" x14ac:dyDescent="0.25">
      <c r="A7" s="84">
        <v>45996</v>
      </c>
      <c r="B7" s="88" t="s">
        <v>71</v>
      </c>
      <c r="C7" s="89">
        <v>45.885800000000003</v>
      </c>
    </row>
    <row r="8" spans="1:3" x14ac:dyDescent="0.25">
      <c r="A8" s="84">
        <v>46002</v>
      </c>
      <c r="B8" s="88" t="s">
        <v>69</v>
      </c>
      <c r="C8" s="89">
        <v>45.929900000000004</v>
      </c>
    </row>
    <row r="9" spans="1:3" x14ac:dyDescent="0.25">
      <c r="A9" s="84">
        <v>46002</v>
      </c>
      <c r="B9" s="88" t="s">
        <v>70</v>
      </c>
      <c r="C9" s="89">
        <v>46.023099999999999</v>
      </c>
    </row>
    <row r="10" spans="1:3" x14ac:dyDescent="0.25">
      <c r="A10" s="84">
        <v>46002</v>
      </c>
      <c r="B10" s="88" t="s">
        <v>71</v>
      </c>
      <c r="C10" s="89">
        <v>45.885599999999997</v>
      </c>
    </row>
    <row r="11" spans="1:3" x14ac:dyDescent="0.25">
      <c r="A11" s="84">
        <v>46031</v>
      </c>
      <c r="B11" s="88" t="s">
        <v>69</v>
      </c>
      <c r="C11" s="89">
        <v>45.928800000000003</v>
      </c>
    </row>
    <row r="12" spans="1:3" x14ac:dyDescent="0.25">
      <c r="A12" s="84">
        <v>46031</v>
      </c>
      <c r="B12" s="88" t="s">
        <v>70</v>
      </c>
      <c r="C12" s="89">
        <v>46.022399999999998</v>
      </c>
    </row>
    <row r="13" spans="1:3" x14ac:dyDescent="0.25">
      <c r="A13" s="84">
        <v>46031</v>
      </c>
      <c r="B13" s="88" t="s">
        <v>71</v>
      </c>
      <c r="C13" s="89">
        <v>45.884599999999999</v>
      </c>
    </row>
    <row r="14" spans="1:3" x14ac:dyDescent="0.25">
      <c r="A14" s="84">
        <v>46036</v>
      </c>
      <c r="B14" s="88" t="s">
        <v>69</v>
      </c>
      <c r="C14" s="89">
        <v>45.9285</v>
      </c>
    </row>
    <row r="15" spans="1:3" x14ac:dyDescent="0.25">
      <c r="A15" s="84">
        <v>46036</v>
      </c>
      <c r="B15" s="88" t="s">
        <v>70</v>
      </c>
      <c r="C15" s="89">
        <v>46.022100000000002</v>
      </c>
    </row>
    <row r="16" spans="1:3" x14ac:dyDescent="0.25">
      <c r="A16" s="84">
        <v>46036</v>
      </c>
      <c r="B16" s="88" t="s">
        <v>71</v>
      </c>
      <c r="C16" s="89">
        <v>45.8842</v>
      </c>
    </row>
    <row r="17" spans="1:3" x14ac:dyDescent="0.25">
      <c r="A17" s="84">
        <v>46038</v>
      </c>
      <c r="B17" s="88" t="s">
        <v>69</v>
      </c>
      <c r="C17" s="89">
        <v>45.9283</v>
      </c>
    </row>
    <row r="18" spans="1:3" x14ac:dyDescent="0.25">
      <c r="A18" s="84">
        <v>46038</v>
      </c>
      <c r="B18" s="88" t="s">
        <v>70</v>
      </c>
      <c r="C18" s="89">
        <v>46.021900000000002</v>
      </c>
    </row>
    <row r="19" spans="1:3" x14ac:dyDescent="0.25">
      <c r="A19" s="84">
        <v>46038</v>
      </c>
      <c r="B19" s="88" t="s">
        <v>71</v>
      </c>
      <c r="C19" s="89">
        <v>45.884</v>
      </c>
    </row>
    <row r="20" spans="1:3" x14ac:dyDescent="0.25">
      <c r="A20" s="84">
        <v>46041</v>
      </c>
      <c r="B20" s="88" t="s">
        <v>69</v>
      </c>
      <c r="C20" s="89">
        <v>45.928100000000001</v>
      </c>
    </row>
    <row r="21" spans="1:3" x14ac:dyDescent="0.25">
      <c r="A21" s="84">
        <v>46041</v>
      </c>
      <c r="B21" s="88" t="s">
        <v>70</v>
      </c>
      <c r="C21" s="89">
        <v>46.021799999999999</v>
      </c>
    </row>
    <row r="22" spans="1:3" x14ac:dyDescent="0.25">
      <c r="A22" s="84">
        <v>46041</v>
      </c>
      <c r="B22" s="88" t="s">
        <v>71</v>
      </c>
      <c r="C22" s="89">
        <v>45.883899999999997</v>
      </c>
    </row>
    <row r="23" spans="1:3" x14ac:dyDescent="0.25">
      <c r="A23" s="84">
        <v>46045</v>
      </c>
      <c r="B23" s="88" t="s">
        <v>69</v>
      </c>
      <c r="C23" s="89">
        <v>45.927199999999999</v>
      </c>
    </row>
    <row r="24" spans="1:3" x14ac:dyDescent="0.25">
      <c r="A24" s="84">
        <v>46045</v>
      </c>
      <c r="B24" s="88" t="s">
        <v>70</v>
      </c>
      <c r="C24" s="89">
        <v>46.021000000000001</v>
      </c>
    </row>
    <row r="25" spans="1:3" x14ac:dyDescent="0.25">
      <c r="A25" s="84">
        <v>46045</v>
      </c>
      <c r="B25" s="88" t="s">
        <v>71</v>
      </c>
      <c r="C25" s="89">
        <v>45.882899999999999</v>
      </c>
    </row>
    <row r="26" spans="1:3" x14ac:dyDescent="0.25">
      <c r="A26" s="84">
        <v>46049</v>
      </c>
      <c r="B26" s="88" t="s">
        <v>69</v>
      </c>
      <c r="C26" s="89">
        <v>45.926600000000001</v>
      </c>
    </row>
    <row r="27" spans="1:3" x14ac:dyDescent="0.25">
      <c r="A27" s="84">
        <v>46049</v>
      </c>
      <c r="B27" s="88" t="s">
        <v>70</v>
      </c>
      <c r="C27" s="89">
        <v>46.020299999999999</v>
      </c>
    </row>
    <row r="28" spans="1:3" x14ac:dyDescent="0.25">
      <c r="A28" s="84">
        <v>46049</v>
      </c>
      <c r="B28" s="88" t="s">
        <v>71</v>
      </c>
      <c r="C28" s="89">
        <v>45.882300000000001</v>
      </c>
    </row>
    <row r="29" spans="1:3" x14ac:dyDescent="0.25">
      <c r="A29" s="84">
        <v>46052</v>
      </c>
      <c r="B29" s="88" t="s">
        <v>69</v>
      </c>
      <c r="C29" s="89">
        <v>45.924999999999997</v>
      </c>
    </row>
    <row r="30" spans="1:3" x14ac:dyDescent="0.25">
      <c r="A30" s="84">
        <v>46052</v>
      </c>
      <c r="B30" s="88" t="s">
        <v>70</v>
      </c>
      <c r="C30" s="89">
        <v>46.0182</v>
      </c>
    </row>
    <row r="31" spans="1:3" x14ac:dyDescent="0.25">
      <c r="A31" s="84">
        <v>46052</v>
      </c>
      <c r="B31" s="88" t="s">
        <v>71</v>
      </c>
      <c r="C31" s="89">
        <v>45.880499999999998</v>
      </c>
    </row>
    <row r="32" spans="1:3" x14ac:dyDescent="0.25">
      <c r="A32" s="84">
        <v>46055</v>
      </c>
      <c r="B32" s="88" t="s">
        <v>69</v>
      </c>
      <c r="C32" s="89">
        <v>45.924399999999999</v>
      </c>
    </row>
    <row r="33" spans="1:3" x14ac:dyDescent="0.25">
      <c r="A33" s="84">
        <v>46055</v>
      </c>
      <c r="B33" s="88" t="s">
        <v>70</v>
      </c>
      <c r="C33" s="89">
        <v>46.017699999999998</v>
      </c>
    </row>
    <row r="34" spans="1:3" x14ac:dyDescent="0.25">
      <c r="A34" s="84">
        <v>46055</v>
      </c>
      <c r="B34" s="88" t="s">
        <v>71</v>
      </c>
      <c r="C34" s="89">
        <v>45.879899999999999</v>
      </c>
    </row>
    <row r="35" spans="1:3" x14ac:dyDescent="0.25">
      <c r="A35" s="84">
        <v>46057</v>
      </c>
      <c r="B35" s="88" t="s">
        <v>69</v>
      </c>
      <c r="C35" s="89">
        <v>45.924199999999999</v>
      </c>
    </row>
    <row r="36" spans="1:3" x14ac:dyDescent="0.25">
      <c r="A36" s="84">
        <v>46057</v>
      </c>
      <c r="B36" s="88" t="s">
        <v>70</v>
      </c>
      <c r="C36" s="89">
        <v>46.017400000000002</v>
      </c>
    </row>
    <row r="37" spans="1:3" x14ac:dyDescent="0.25">
      <c r="A37" s="84">
        <v>46057</v>
      </c>
      <c r="B37" s="88" t="s">
        <v>71</v>
      </c>
      <c r="C37" s="89">
        <v>45.879600000000003</v>
      </c>
    </row>
    <row r="38" spans="1:3" x14ac:dyDescent="0.25">
      <c r="A38" s="84">
        <v>46058</v>
      </c>
      <c r="B38" s="88" t="s">
        <v>69</v>
      </c>
      <c r="C38" s="89">
        <v>45.923699999999997</v>
      </c>
    </row>
    <row r="39" spans="1:3" x14ac:dyDescent="0.25">
      <c r="A39" s="84">
        <v>46058</v>
      </c>
      <c r="B39" s="88" t="s">
        <v>70</v>
      </c>
      <c r="C39" s="89">
        <v>46.0169</v>
      </c>
    </row>
    <row r="40" spans="1:3" x14ac:dyDescent="0.25">
      <c r="A40" s="84">
        <v>46058</v>
      </c>
      <c r="B40" s="88" t="s">
        <v>71</v>
      </c>
      <c r="C40" s="89">
        <v>45.879199999999997</v>
      </c>
    </row>
    <row r="41" spans="1:3" x14ac:dyDescent="0.25">
      <c r="A41" s="84">
        <v>46059</v>
      </c>
      <c r="B41" s="88" t="s">
        <v>69</v>
      </c>
      <c r="C41" s="89">
        <v>45.923699999999997</v>
      </c>
    </row>
    <row r="42" spans="1:3" x14ac:dyDescent="0.25">
      <c r="A42" s="84">
        <v>46059</v>
      </c>
      <c r="B42" s="88" t="s">
        <v>70</v>
      </c>
      <c r="C42" s="89">
        <v>46.017000000000003</v>
      </c>
    </row>
    <row r="43" spans="1:3" x14ac:dyDescent="0.25">
      <c r="A43" s="84">
        <v>46059</v>
      </c>
      <c r="B43" s="88" t="s">
        <v>71</v>
      </c>
      <c r="C43" s="89">
        <v>45.879199999999997</v>
      </c>
    </row>
    <row r="44" spans="1:3" x14ac:dyDescent="0.25">
      <c r="A44" s="84">
        <v>46062</v>
      </c>
      <c r="B44" s="88" t="s">
        <v>69</v>
      </c>
      <c r="C44" s="89">
        <v>45.923499999999997</v>
      </c>
    </row>
    <row r="45" spans="1:3" x14ac:dyDescent="0.25">
      <c r="A45" s="84">
        <v>46062</v>
      </c>
      <c r="B45" s="88" t="s">
        <v>70</v>
      </c>
      <c r="C45" s="89">
        <v>46.0167</v>
      </c>
    </row>
    <row r="46" spans="1:3" x14ac:dyDescent="0.25">
      <c r="A46" s="84">
        <v>46062</v>
      </c>
      <c r="B46" s="88" t="s">
        <v>71</v>
      </c>
      <c r="C46" s="89">
        <v>45.878999999999998</v>
      </c>
    </row>
    <row r="47" spans="1:3" x14ac:dyDescent="0.25">
      <c r="A47" s="84">
        <v>46063</v>
      </c>
      <c r="B47" s="88" t="s">
        <v>69</v>
      </c>
      <c r="C47" s="89">
        <v>45.923299999999998</v>
      </c>
    </row>
    <row r="48" spans="1:3" x14ac:dyDescent="0.25">
      <c r="A48" s="84">
        <v>46063</v>
      </c>
      <c r="B48" s="88" t="s">
        <v>70</v>
      </c>
      <c r="C48" s="89">
        <v>46.016599999999997</v>
      </c>
    </row>
    <row r="49" spans="1:3" x14ac:dyDescent="0.25">
      <c r="A49" s="84">
        <v>46063</v>
      </c>
      <c r="B49" s="88" t="s">
        <v>71</v>
      </c>
      <c r="C49" s="89">
        <v>45.878900000000002</v>
      </c>
    </row>
    <row r="50" spans="1:3" x14ac:dyDescent="0.25">
      <c r="A50" s="84">
        <v>46064</v>
      </c>
      <c r="B50" s="90" t="s">
        <v>69</v>
      </c>
      <c r="C50" s="89">
        <v>45.923299999999998</v>
      </c>
    </row>
    <row r="51" spans="1:3" x14ac:dyDescent="0.25">
      <c r="A51" s="84">
        <v>46064</v>
      </c>
      <c r="B51" s="90" t="s">
        <v>70</v>
      </c>
      <c r="C51" s="89">
        <v>46.016500000000001</v>
      </c>
    </row>
    <row r="52" spans="1:3" x14ac:dyDescent="0.25">
      <c r="A52" s="84">
        <v>46064</v>
      </c>
      <c r="B52" s="90" t="s">
        <v>71</v>
      </c>
      <c r="C52" s="89">
        <v>45.878900000000002</v>
      </c>
    </row>
    <row r="53" spans="1:3" x14ac:dyDescent="0.25">
      <c r="A53" s="84">
        <v>46065</v>
      </c>
      <c r="B53" s="88" t="s">
        <v>69</v>
      </c>
      <c r="C53" s="89">
        <v>45.923200000000001</v>
      </c>
    </row>
    <row r="54" spans="1:3" x14ac:dyDescent="0.25">
      <c r="A54" s="84">
        <v>46065</v>
      </c>
      <c r="B54" s="88" t="s">
        <v>70</v>
      </c>
      <c r="C54" s="89">
        <v>46.016399999999997</v>
      </c>
    </row>
    <row r="55" spans="1:3" x14ac:dyDescent="0.25">
      <c r="A55" s="84">
        <v>46065</v>
      </c>
      <c r="B55" s="88" t="s">
        <v>71</v>
      </c>
      <c r="C55" s="89">
        <v>45.878700000000002</v>
      </c>
    </row>
    <row r="56" spans="1:3" x14ac:dyDescent="0.25">
      <c r="A56" s="84">
        <v>46066</v>
      </c>
      <c r="B56" s="88" t="s">
        <v>69</v>
      </c>
      <c r="C56" s="89">
        <v>45.923299999999998</v>
      </c>
    </row>
    <row r="57" spans="1:3" x14ac:dyDescent="0.25">
      <c r="A57" s="84">
        <v>46066</v>
      </c>
      <c r="B57" s="88" t="s">
        <v>70</v>
      </c>
      <c r="C57" s="89">
        <v>46.016500000000001</v>
      </c>
    </row>
    <row r="58" spans="1:3" x14ac:dyDescent="0.25">
      <c r="A58" s="84">
        <v>46066</v>
      </c>
      <c r="B58" s="88" t="s">
        <v>71</v>
      </c>
      <c r="C58" s="89">
        <v>45.878799999999998</v>
      </c>
    </row>
    <row r="59" spans="1:3" x14ac:dyDescent="0.25">
      <c r="A59" s="84">
        <v>46069</v>
      </c>
      <c r="B59" s="88" t="s">
        <v>69</v>
      </c>
      <c r="C59" s="89">
        <v>45.923099999999998</v>
      </c>
    </row>
    <row r="60" spans="1:3" x14ac:dyDescent="0.25">
      <c r="A60" s="84">
        <v>46069</v>
      </c>
      <c r="B60" s="88" t="s">
        <v>70</v>
      </c>
      <c r="C60" s="89">
        <v>46.016300000000001</v>
      </c>
    </row>
    <row r="61" spans="1:3" x14ac:dyDescent="0.25">
      <c r="A61" s="84">
        <v>46069</v>
      </c>
      <c r="B61" s="88" t="s">
        <v>71</v>
      </c>
      <c r="C61" s="89">
        <v>45.878500000000003</v>
      </c>
    </row>
    <row r="62" spans="1:3" x14ac:dyDescent="0.25">
      <c r="A62" s="84">
        <v>46070</v>
      </c>
      <c r="B62" s="88" t="s">
        <v>69</v>
      </c>
      <c r="C62" s="89">
        <v>45.922800000000002</v>
      </c>
    </row>
    <row r="63" spans="1:3" x14ac:dyDescent="0.25">
      <c r="A63" s="84">
        <v>46070</v>
      </c>
      <c r="B63" s="88" t="s">
        <v>70</v>
      </c>
      <c r="C63" s="89">
        <v>46.015999999999998</v>
      </c>
    </row>
    <row r="64" spans="1:3" x14ac:dyDescent="0.25">
      <c r="A64" s="84">
        <v>46070</v>
      </c>
      <c r="B64" s="88" t="s">
        <v>71</v>
      </c>
      <c r="C64" s="89">
        <v>45.878300000000003</v>
      </c>
    </row>
    <row r="65" spans="1:3" x14ac:dyDescent="0.25">
      <c r="A65" s="84">
        <v>46071</v>
      </c>
      <c r="B65" s="88" t="s">
        <v>69</v>
      </c>
      <c r="C65" s="89">
        <v>45.922699999999999</v>
      </c>
    </row>
    <row r="66" spans="1:3" x14ac:dyDescent="0.25">
      <c r="A66" s="84">
        <v>46071</v>
      </c>
      <c r="B66" s="88" t="s">
        <v>70</v>
      </c>
      <c r="C66" s="89">
        <v>46.015900000000002</v>
      </c>
    </row>
    <row r="67" spans="1:3" x14ac:dyDescent="0.25">
      <c r="A67" s="84">
        <v>46071</v>
      </c>
      <c r="B67" s="88" t="s">
        <v>71</v>
      </c>
      <c r="C67" s="89">
        <v>45.8782</v>
      </c>
    </row>
    <row r="68" spans="1:3" x14ac:dyDescent="0.25">
      <c r="A68" s="84">
        <v>46072</v>
      </c>
      <c r="B68" s="90" t="s">
        <v>72</v>
      </c>
      <c r="C68" s="91">
        <v>48.143349999999998</v>
      </c>
    </row>
    <row r="69" spans="1:3" x14ac:dyDescent="0.25">
      <c r="A69" s="84">
        <v>46072</v>
      </c>
      <c r="B69" s="90" t="s">
        <v>73</v>
      </c>
      <c r="C69" s="91">
        <v>48.018699999999995</v>
      </c>
    </row>
    <row r="70" spans="1:3" x14ac:dyDescent="0.25">
      <c r="A70" s="84">
        <v>46072</v>
      </c>
      <c r="B70" s="90" t="s">
        <v>74</v>
      </c>
      <c r="C70" s="91">
        <v>48.1267</v>
      </c>
    </row>
    <row r="71" spans="1:3" x14ac:dyDescent="0.25">
      <c r="A71" s="84">
        <v>46072</v>
      </c>
      <c r="B71" s="90" t="s">
        <v>75</v>
      </c>
      <c r="C71" s="91">
        <v>50.171199999999999</v>
      </c>
    </row>
    <row r="72" spans="1:3" x14ac:dyDescent="0.25">
      <c r="A72" s="84">
        <v>46072</v>
      </c>
      <c r="B72" s="90" t="s">
        <v>76</v>
      </c>
      <c r="C72" s="91">
        <v>49.905900000000003</v>
      </c>
    </row>
    <row r="73" spans="1:3" x14ac:dyDescent="0.25">
      <c r="A73" s="84">
        <v>46072</v>
      </c>
      <c r="B73" s="90" t="s">
        <v>77</v>
      </c>
      <c r="C73" s="91">
        <v>50.079500000000003</v>
      </c>
    </row>
    <row r="74" spans="1:3" x14ac:dyDescent="0.25">
      <c r="A74" s="84">
        <v>46072</v>
      </c>
      <c r="B74" s="88" t="s">
        <v>69</v>
      </c>
      <c r="C74" s="89">
        <v>45.923000000000002</v>
      </c>
    </row>
    <row r="75" spans="1:3" x14ac:dyDescent="0.25">
      <c r="A75" s="84">
        <v>46072</v>
      </c>
      <c r="B75" s="88" t="s">
        <v>70</v>
      </c>
      <c r="C75" s="89">
        <v>46.016300000000001</v>
      </c>
    </row>
    <row r="76" spans="1:3" x14ac:dyDescent="0.25">
      <c r="A76" s="84">
        <v>46072</v>
      </c>
      <c r="B76" s="88" t="s">
        <v>71</v>
      </c>
      <c r="C76" s="89">
        <v>45.878500000000003</v>
      </c>
    </row>
    <row r="77" spans="1:3" x14ac:dyDescent="0.25">
      <c r="A77" s="84">
        <v>46073</v>
      </c>
      <c r="B77" s="88" t="s">
        <v>69</v>
      </c>
      <c r="C77" s="89">
        <v>45.923099999999998</v>
      </c>
    </row>
    <row r="78" spans="1:3" x14ac:dyDescent="0.25">
      <c r="A78" s="84">
        <v>46073</v>
      </c>
      <c r="B78" s="88" t="s">
        <v>70</v>
      </c>
      <c r="C78" s="89">
        <v>46.016399999999997</v>
      </c>
    </row>
    <row r="79" spans="1:3" x14ac:dyDescent="0.25">
      <c r="A79" s="84">
        <v>46073</v>
      </c>
      <c r="B79" s="88" t="s">
        <v>71</v>
      </c>
      <c r="C79" s="89">
        <v>45.878599999999999</v>
      </c>
    </row>
    <row r="80" spans="1:3" x14ac:dyDescent="0.25">
      <c r="A80" s="84">
        <v>46076</v>
      </c>
      <c r="B80" s="88" t="s">
        <v>69</v>
      </c>
      <c r="C80" s="89">
        <v>45.922699999999999</v>
      </c>
    </row>
    <row r="81" spans="1:3" x14ac:dyDescent="0.25">
      <c r="A81" s="84">
        <v>46076</v>
      </c>
      <c r="B81" s="88" t="s">
        <v>70</v>
      </c>
      <c r="C81" s="89">
        <v>46.015999999999998</v>
      </c>
    </row>
    <row r="82" spans="1:3" x14ac:dyDescent="0.25">
      <c r="A82" s="84">
        <v>46076</v>
      </c>
      <c r="B82" s="88" t="s">
        <v>71</v>
      </c>
      <c r="C82" s="89">
        <v>45.8782</v>
      </c>
    </row>
    <row r="83" spans="1:3" x14ac:dyDescent="0.25">
      <c r="A83" s="84">
        <v>46077</v>
      </c>
      <c r="B83" s="88" t="s">
        <v>69</v>
      </c>
      <c r="C83" s="89">
        <v>45.922600000000003</v>
      </c>
    </row>
    <row r="84" spans="1:3" x14ac:dyDescent="0.25">
      <c r="A84" s="84">
        <v>46077</v>
      </c>
      <c r="B84" s="88" t="s">
        <v>70</v>
      </c>
      <c r="C84" s="89">
        <v>46.015800000000006</v>
      </c>
    </row>
    <row r="85" spans="1:3" x14ac:dyDescent="0.25">
      <c r="A85" s="84">
        <v>46077</v>
      </c>
      <c r="B85" s="88" t="s">
        <v>71</v>
      </c>
      <c r="C85" s="89">
        <v>45.878100000000003</v>
      </c>
    </row>
    <row r="86" spans="1:3" x14ac:dyDescent="0.25">
      <c r="A86" s="84">
        <v>46078</v>
      </c>
      <c r="B86" s="90" t="s">
        <v>72</v>
      </c>
      <c r="C86" s="91">
        <v>48.143300000000004</v>
      </c>
    </row>
    <row r="87" spans="1:3" x14ac:dyDescent="0.25">
      <c r="A87" s="84">
        <v>46078</v>
      </c>
      <c r="B87" s="90" t="s">
        <v>73</v>
      </c>
      <c r="C87" s="91">
        <v>48.018599999999999</v>
      </c>
    </row>
    <row r="88" spans="1:3" x14ac:dyDescent="0.25">
      <c r="A88" s="84">
        <v>46078</v>
      </c>
      <c r="B88" s="90" t="s">
        <v>74</v>
      </c>
      <c r="C88" s="91">
        <v>48.1267</v>
      </c>
    </row>
    <row r="89" spans="1:3" x14ac:dyDescent="0.25">
      <c r="A89" s="84">
        <v>46078</v>
      </c>
      <c r="B89" s="90" t="s">
        <v>75</v>
      </c>
      <c r="C89" s="91">
        <v>50.170900000000003</v>
      </c>
    </row>
    <row r="90" spans="1:3" x14ac:dyDescent="0.25">
      <c r="A90" s="84">
        <v>46078</v>
      </c>
      <c r="B90" s="90" t="s">
        <v>76</v>
      </c>
      <c r="C90" s="91">
        <v>49.9056</v>
      </c>
    </row>
    <row r="91" spans="1:3" x14ac:dyDescent="0.25">
      <c r="A91" s="84">
        <v>46078</v>
      </c>
      <c r="B91" s="90" t="s">
        <v>77</v>
      </c>
      <c r="C91" s="91">
        <v>50.0792</v>
      </c>
    </row>
    <row r="92" spans="1:3" x14ac:dyDescent="0.25">
      <c r="A92" s="84">
        <v>46079</v>
      </c>
      <c r="B92" s="88" t="s">
        <v>69</v>
      </c>
      <c r="C92" s="89">
        <v>45.922899999999998</v>
      </c>
    </row>
    <row r="93" spans="1:3" x14ac:dyDescent="0.25">
      <c r="A93" s="84">
        <v>46079</v>
      </c>
      <c r="B93" s="88" t="s">
        <v>70</v>
      </c>
      <c r="C93" s="89">
        <v>46.015999999999998</v>
      </c>
    </row>
    <row r="94" spans="1:3" x14ac:dyDescent="0.25">
      <c r="A94" s="84">
        <v>46079</v>
      </c>
      <c r="B94" s="88" t="s">
        <v>71</v>
      </c>
      <c r="C94" s="89">
        <v>45.878300000000003</v>
      </c>
    </row>
    <row r="95" spans="1:3" x14ac:dyDescent="0.25">
      <c r="A95" s="84">
        <v>46083</v>
      </c>
      <c r="B95" s="90" t="s">
        <v>72</v>
      </c>
      <c r="C95" s="89">
        <v>48.1434</v>
      </c>
    </row>
    <row r="96" spans="1:3" x14ac:dyDescent="0.25">
      <c r="A96" s="84">
        <v>46083</v>
      </c>
      <c r="B96" s="90" t="s">
        <v>73</v>
      </c>
      <c r="C96" s="89">
        <v>48.018799999999999</v>
      </c>
    </row>
    <row r="97" spans="1:3" x14ac:dyDescent="0.25">
      <c r="A97" s="84">
        <v>46083</v>
      </c>
      <c r="B97" s="90" t="s">
        <v>74</v>
      </c>
      <c r="C97" s="89">
        <v>48.1267</v>
      </c>
    </row>
    <row r="98" spans="1:3" x14ac:dyDescent="0.25">
      <c r="A98" s="84">
        <v>46083</v>
      </c>
      <c r="B98" s="90" t="s">
        <v>75</v>
      </c>
      <c r="C98" s="89">
        <v>50.170900000000003</v>
      </c>
    </row>
    <row r="99" spans="1:3" x14ac:dyDescent="0.25">
      <c r="A99" s="84">
        <v>46083</v>
      </c>
      <c r="B99" s="90" t="s">
        <v>76</v>
      </c>
      <c r="C99" s="89">
        <v>49.905700000000003</v>
      </c>
    </row>
    <row r="100" spans="1:3" x14ac:dyDescent="0.25">
      <c r="A100" s="84">
        <v>46083</v>
      </c>
      <c r="B100" s="90" t="s">
        <v>77</v>
      </c>
      <c r="C100" s="89">
        <v>50.0792</v>
      </c>
    </row>
    <row r="101" spans="1:3" x14ac:dyDescent="0.25">
      <c r="A101" s="84">
        <v>46083</v>
      </c>
      <c r="B101" s="88" t="s">
        <v>69</v>
      </c>
      <c r="C101" s="89">
        <v>45.922800000000002</v>
      </c>
    </row>
    <row r="102" spans="1:3" x14ac:dyDescent="0.25">
      <c r="A102" s="84">
        <v>46083</v>
      </c>
      <c r="B102" s="88" t="s">
        <v>70</v>
      </c>
      <c r="C102" s="89">
        <v>46.016100000000002</v>
      </c>
    </row>
    <row r="103" spans="1:3" x14ac:dyDescent="0.25">
      <c r="A103" s="84">
        <v>46083</v>
      </c>
      <c r="B103" s="88" t="s">
        <v>71</v>
      </c>
      <c r="C103" s="89">
        <v>45.878300000000003</v>
      </c>
    </row>
    <row r="104" spans="1:3" x14ac:dyDescent="0.25">
      <c r="A104" s="84">
        <v>46085</v>
      </c>
      <c r="B104" s="90" t="s">
        <v>75</v>
      </c>
      <c r="C104" s="91">
        <v>50.170900000000003</v>
      </c>
    </row>
    <row r="105" spans="1:3" x14ac:dyDescent="0.25">
      <c r="A105" s="84">
        <v>46085</v>
      </c>
      <c r="B105" s="90" t="s">
        <v>76</v>
      </c>
      <c r="C105" s="91">
        <v>49.9056</v>
      </c>
    </row>
    <row r="106" spans="1:3" x14ac:dyDescent="0.25">
      <c r="A106" s="84">
        <v>46085</v>
      </c>
      <c r="B106" s="90" t="s">
        <v>77</v>
      </c>
      <c r="C106" s="91">
        <v>50.0792</v>
      </c>
    </row>
    <row r="107" spans="1:3" x14ac:dyDescent="0.25">
      <c r="A107" s="84">
        <v>46090</v>
      </c>
      <c r="B107" s="89" t="s">
        <v>75</v>
      </c>
      <c r="C107" s="89">
        <v>50.171500000000002</v>
      </c>
    </row>
    <row r="108" spans="1:3" x14ac:dyDescent="0.25">
      <c r="A108" s="84">
        <v>46090</v>
      </c>
      <c r="B108" s="89" t="s">
        <v>76</v>
      </c>
      <c r="C108" s="89">
        <v>49.906199999999998</v>
      </c>
    </row>
    <row r="109" spans="1:3" x14ac:dyDescent="0.25">
      <c r="A109" s="84">
        <v>46090</v>
      </c>
      <c r="B109" s="89" t="s">
        <v>77</v>
      </c>
      <c r="C109" s="89">
        <v>50.079900000000002</v>
      </c>
    </row>
    <row r="110" spans="1:3" x14ac:dyDescent="0.25">
      <c r="A110" s="84">
        <v>46092</v>
      </c>
      <c r="B110" s="88" t="s">
        <v>75</v>
      </c>
      <c r="C110" s="89">
        <v>50.171599999999998</v>
      </c>
    </row>
    <row r="111" spans="1:3" x14ac:dyDescent="0.25">
      <c r="A111" s="84">
        <v>46092</v>
      </c>
      <c r="B111" s="88" t="s">
        <v>76</v>
      </c>
      <c r="C111" s="89">
        <v>49.906399999999998</v>
      </c>
    </row>
    <row r="112" spans="1:3" x14ac:dyDescent="0.25">
      <c r="A112" s="84">
        <v>46092</v>
      </c>
      <c r="B112" s="88" t="s">
        <v>77</v>
      </c>
      <c r="C112" s="89">
        <v>50.08</v>
      </c>
    </row>
    <row r="113" spans="1:3" x14ac:dyDescent="0.25">
      <c r="A113" s="84">
        <v>46094</v>
      </c>
      <c r="B113" s="88" t="s">
        <v>75</v>
      </c>
      <c r="C113" s="89">
        <v>50.170999999999999</v>
      </c>
    </row>
    <row r="114" spans="1:3" x14ac:dyDescent="0.25">
      <c r="A114" s="84">
        <v>46094</v>
      </c>
      <c r="B114" s="88" t="s">
        <v>76</v>
      </c>
      <c r="C114" s="89">
        <v>49.906100000000002</v>
      </c>
    </row>
    <row r="115" spans="1:3" x14ac:dyDescent="0.25">
      <c r="A115" s="84">
        <v>46094</v>
      </c>
      <c r="B115" s="88" t="s">
        <v>77</v>
      </c>
      <c r="C115" s="89">
        <v>50.0794</v>
      </c>
    </row>
    <row r="116" spans="1:3" x14ac:dyDescent="0.25">
      <c r="A116" s="84">
        <v>46097</v>
      </c>
      <c r="B116" s="88" t="s">
        <v>75</v>
      </c>
      <c r="C116" s="89">
        <v>50.170900000000003</v>
      </c>
    </row>
    <row r="117" spans="1:3" x14ac:dyDescent="0.25">
      <c r="A117" s="84">
        <v>46097</v>
      </c>
      <c r="B117" s="88" t="s">
        <v>76</v>
      </c>
      <c r="C117" s="89">
        <v>49.905799999999999</v>
      </c>
    </row>
    <row r="118" spans="1:3" x14ac:dyDescent="0.25">
      <c r="A118" s="84">
        <v>46097</v>
      </c>
      <c r="B118" s="88" t="s">
        <v>77</v>
      </c>
      <c r="C118" s="89">
        <v>50.0794</v>
      </c>
    </row>
    <row r="119" spans="1:3" x14ac:dyDescent="0.25">
      <c r="A119" s="84">
        <v>46098</v>
      </c>
      <c r="B119" s="88" t="s">
        <v>75</v>
      </c>
      <c r="C119" s="89">
        <v>50.170499999999997</v>
      </c>
    </row>
    <row r="120" spans="1:3" x14ac:dyDescent="0.25">
      <c r="A120" s="84">
        <v>46098</v>
      </c>
      <c r="B120" s="88" t="s">
        <v>76</v>
      </c>
      <c r="C120" s="89">
        <v>49.9056</v>
      </c>
    </row>
    <row r="121" spans="1:3" x14ac:dyDescent="0.25">
      <c r="A121" s="84">
        <v>46098</v>
      </c>
      <c r="B121" s="88" t="s">
        <v>77</v>
      </c>
      <c r="C121" s="89">
        <v>50.079000000000001</v>
      </c>
    </row>
    <row r="122" spans="1:3" x14ac:dyDescent="0.25">
      <c r="A122" s="84">
        <v>46099</v>
      </c>
      <c r="B122" s="88" t="s">
        <v>75</v>
      </c>
      <c r="C122" s="89">
        <v>50.169899999999998</v>
      </c>
    </row>
    <row r="123" spans="1:3" x14ac:dyDescent="0.25">
      <c r="A123" s="84">
        <v>46099</v>
      </c>
      <c r="B123" s="88" t="s">
        <v>76</v>
      </c>
      <c r="C123" s="89">
        <v>49.904800000000002</v>
      </c>
    </row>
    <row r="124" spans="1:3" x14ac:dyDescent="0.25">
      <c r="A124" s="84">
        <v>46099</v>
      </c>
      <c r="B124" s="88" t="s">
        <v>77</v>
      </c>
      <c r="C124" s="89">
        <v>50.078400000000002</v>
      </c>
    </row>
    <row r="125" spans="1:3" x14ac:dyDescent="0.25">
      <c r="A125" s="84">
        <v>46105</v>
      </c>
      <c r="B125" s="88" t="s">
        <v>72</v>
      </c>
      <c r="C125" s="89">
        <v>48.142499999999998</v>
      </c>
    </row>
    <row r="126" spans="1:3" x14ac:dyDescent="0.25">
      <c r="A126" s="84">
        <v>46105</v>
      </c>
      <c r="B126" s="88" t="s">
        <v>73</v>
      </c>
      <c r="C126" s="89">
        <v>48.018700000000003</v>
      </c>
    </row>
    <row r="127" spans="1:3" x14ac:dyDescent="0.25">
      <c r="A127" s="84">
        <v>46105</v>
      </c>
      <c r="B127" s="88" t="s">
        <v>74</v>
      </c>
      <c r="C127" s="89">
        <v>48.125900000000001</v>
      </c>
    </row>
    <row r="128" spans="1:3" x14ac:dyDescent="0.25">
      <c r="A128" s="84">
        <v>46105</v>
      </c>
      <c r="B128" s="88" t="s">
        <v>75</v>
      </c>
      <c r="C128" s="89">
        <v>50.170299999999997</v>
      </c>
    </row>
    <row r="129" spans="1:3" x14ac:dyDescent="0.25">
      <c r="A129" s="84">
        <v>46105</v>
      </c>
      <c r="B129" s="88" t="s">
        <v>76</v>
      </c>
      <c r="C129" s="89">
        <v>49.9054</v>
      </c>
    </row>
    <row r="130" spans="1:3" x14ac:dyDescent="0.25">
      <c r="A130" s="84">
        <v>46105</v>
      </c>
      <c r="B130" s="88" t="s">
        <v>77</v>
      </c>
      <c r="C130" s="89">
        <v>50.078699999999998</v>
      </c>
    </row>
    <row r="131" spans="1:3" x14ac:dyDescent="0.25">
      <c r="A131" s="84">
        <v>46107</v>
      </c>
      <c r="B131" s="88" t="s">
        <v>72</v>
      </c>
      <c r="C131" s="89">
        <v>48.142800000000001</v>
      </c>
    </row>
    <row r="132" spans="1:3" x14ac:dyDescent="0.25">
      <c r="A132" s="84">
        <v>46107</v>
      </c>
      <c r="B132" s="88" t="s">
        <v>73</v>
      </c>
      <c r="C132" s="89">
        <v>48.019300000000001</v>
      </c>
    </row>
    <row r="133" spans="1:3" x14ac:dyDescent="0.25">
      <c r="A133" s="84">
        <v>46107</v>
      </c>
      <c r="B133" s="88" t="s">
        <v>74</v>
      </c>
      <c r="C133" s="89">
        <v>48.126399999999997</v>
      </c>
    </row>
    <row r="134" spans="1:3" x14ac:dyDescent="0.25">
      <c r="A134" s="84">
        <v>46107</v>
      </c>
      <c r="B134" s="88" t="s">
        <v>75</v>
      </c>
      <c r="C134" s="89">
        <v>50.170499999999997</v>
      </c>
    </row>
    <row r="135" spans="1:3" x14ac:dyDescent="0.25">
      <c r="A135" s="84">
        <v>46107</v>
      </c>
      <c r="B135" s="88" t="s">
        <v>76</v>
      </c>
      <c r="C135" s="89">
        <v>49.905999999999999</v>
      </c>
    </row>
    <row r="136" spans="1:3" x14ac:dyDescent="0.25">
      <c r="A136" s="84">
        <v>46107</v>
      </c>
      <c r="B136" s="88" t="s">
        <v>77</v>
      </c>
      <c r="C136" s="89">
        <v>50.078899999999997</v>
      </c>
    </row>
    <row r="137" spans="1:3" x14ac:dyDescent="0.25">
      <c r="A137" s="84">
        <v>46111</v>
      </c>
      <c r="B137" s="88" t="s">
        <v>72</v>
      </c>
      <c r="C137" s="89">
        <v>48.143000000000001</v>
      </c>
    </row>
    <row r="138" spans="1:3" x14ac:dyDescent="0.25">
      <c r="A138" s="84">
        <v>46111</v>
      </c>
      <c r="B138" s="88" t="s">
        <v>73</v>
      </c>
      <c r="C138" s="89">
        <v>48.019399999999997</v>
      </c>
    </row>
    <row r="139" spans="1:3" x14ac:dyDescent="0.25">
      <c r="A139" s="84">
        <v>46111</v>
      </c>
      <c r="B139" s="88" t="s">
        <v>74</v>
      </c>
      <c r="C139" s="89">
        <v>48.126399999999997</v>
      </c>
    </row>
    <row r="140" spans="1:3" x14ac:dyDescent="0.25">
      <c r="A140" s="84">
        <v>46111</v>
      </c>
      <c r="B140" s="88" t="s">
        <v>75</v>
      </c>
      <c r="C140" s="89">
        <v>50.170400000000001</v>
      </c>
    </row>
    <row r="141" spans="1:3" x14ac:dyDescent="0.25">
      <c r="A141" s="84">
        <v>46111</v>
      </c>
      <c r="B141" s="88" t="s">
        <v>76</v>
      </c>
      <c r="C141" s="89">
        <v>49.9056</v>
      </c>
    </row>
    <row r="142" spans="1:3" x14ac:dyDescent="0.25">
      <c r="A142" s="84">
        <v>46111</v>
      </c>
      <c r="B142" s="88" t="s">
        <v>77</v>
      </c>
      <c r="C142" s="89">
        <v>50.078800000000001</v>
      </c>
    </row>
    <row r="143" spans="1:3" x14ac:dyDescent="0.25">
      <c r="A143" s="84">
        <v>46113</v>
      </c>
      <c r="B143" s="88" t="s">
        <v>75</v>
      </c>
      <c r="C143" s="89">
        <v>50.170699999999997</v>
      </c>
    </row>
    <row r="144" spans="1:3" x14ac:dyDescent="0.25">
      <c r="A144" s="84">
        <v>46113</v>
      </c>
      <c r="B144" s="88" t="s">
        <v>76</v>
      </c>
      <c r="C144" s="89">
        <v>49.905900000000003</v>
      </c>
    </row>
    <row r="145" spans="1:3" x14ac:dyDescent="0.25">
      <c r="A145" s="84">
        <v>46113</v>
      </c>
      <c r="B145" s="88" t="s">
        <v>77</v>
      </c>
      <c r="C145" s="89">
        <v>50.079099999999997</v>
      </c>
    </row>
    <row r="146" spans="1:3" x14ac:dyDescent="0.25">
      <c r="A146" s="84">
        <v>46118</v>
      </c>
      <c r="B146" s="88" t="s">
        <v>72</v>
      </c>
      <c r="C146" s="89">
        <v>48.142800000000001</v>
      </c>
    </row>
    <row r="147" spans="1:3" x14ac:dyDescent="0.25">
      <c r="A147" s="84">
        <v>46118</v>
      </c>
      <c r="B147" s="88" t="s">
        <v>73</v>
      </c>
      <c r="C147" s="89">
        <v>48.019300000000001</v>
      </c>
    </row>
    <row r="148" spans="1:3" x14ac:dyDescent="0.25">
      <c r="A148" s="84">
        <v>46118</v>
      </c>
      <c r="B148" s="88" t="s">
        <v>74</v>
      </c>
      <c r="C148" s="89">
        <v>48.126300000000001</v>
      </c>
    </row>
    <row r="149" spans="1:3" x14ac:dyDescent="0.25">
      <c r="A149" s="84">
        <v>46118</v>
      </c>
      <c r="B149" s="88" t="s">
        <v>75</v>
      </c>
      <c r="C149" s="89">
        <v>50.170299999999997</v>
      </c>
    </row>
    <row r="150" spans="1:3" x14ac:dyDescent="0.25">
      <c r="A150" s="84">
        <v>46118</v>
      </c>
      <c r="B150" s="88" t="s">
        <v>76</v>
      </c>
      <c r="C150" s="89">
        <v>49.905499999999996</v>
      </c>
    </row>
    <row r="151" spans="1:3" x14ac:dyDescent="0.25">
      <c r="A151" s="84">
        <v>46118</v>
      </c>
      <c r="B151" s="88" t="s">
        <v>77</v>
      </c>
      <c r="C151" s="89">
        <v>50.078499999999998</v>
      </c>
    </row>
    <row r="152" spans="1:3" x14ac:dyDescent="0.25">
      <c r="A152" s="84">
        <v>46121</v>
      </c>
      <c r="B152" s="88" t="s">
        <v>72</v>
      </c>
      <c r="C152" s="88">
        <v>48.142299999999999</v>
      </c>
    </row>
    <row r="153" spans="1:3" x14ac:dyDescent="0.25">
      <c r="A153" s="84">
        <v>46121</v>
      </c>
      <c r="B153" s="88" t="s">
        <v>73</v>
      </c>
      <c r="C153" s="88">
        <v>48.018799999999999</v>
      </c>
    </row>
    <row r="154" spans="1:3" x14ac:dyDescent="0.25">
      <c r="A154" s="84">
        <v>46121</v>
      </c>
      <c r="B154" s="88" t="s">
        <v>74</v>
      </c>
      <c r="C154" s="88">
        <v>48.125799999999998</v>
      </c>
    </row>
    <row r="155" spans="1:3" x14ac:dyDescent="0.25">
      <c r="A155" s="84">
        <v>46121</v>
      </c>
      <c r="B155" s="88" t="s">
        <v>75</v>
      </c>
      <c r="C155" s="88">
        <v>50.1693</v>
      </c>
    </row>
    <row r="156" spans="1:3" x14ac:dyDescent="0.25">
      <c r="A156" s="84">
        <v>46121</v>
      </c>
      <c r="B156" s="88" t="s">
        <v>76</v>
      </c>
      <c r="C156" s="88">
        <v>49.904699999999998</v>
      </c>
    </row>
    <row r="157" spans="1:3" x14ac:dyDescent="0.25">
      <c r="A157" s="84">
        <v>46121</v>
      </c>
      <c r="B157" s="88" t="s">
        <v>77</v>
      </c>
      <c r="C157" s="88">
        <v>50.0779</v>
      </c>
    </row>
    <row r="158" spans="1:3" x14ac:dyDescent="0.25">
      <c r="A158" s="84">
        <v>46125</v>
      </c>
      <c r="B158" s="88" t="s">
        <v>72</v>
      </c>
      <c r="C158" s="92">
        <v>48.142299999999999</v>
      </c>
    </row>
    <row r="159" spans="1:3" x14ac:dyDescent="0.25">
      <c r="A159" s="84">
        <v>46125</v>
      </c>
      <c r="B159" s="88" t="s">
        <v>73</v>
      </c>
      <c r="C159" s="92">
        <v>48.018799999999999</v>
      </c>
    </row>
    <row r="160" spans="1:3" x14ac:dyDescent="0.25">
      <c r="A160" s="84">
        <v>46125</v>
      </c>
      <c r="B160" s="88" t="s">
        <v>74</v>
      </c>
      <c r="C160" s="92">
        <v>48.125799999999998</v>
      </c>
    </row>
    <row r="161" spans="1:3" x14ac:dyDescent="0.25">
      <c r="A161" s="84">
        <v>46125</v>
      </c>
      <c r="B161" s="88" t="s">
        <v>75</v>
      </c>
      <c r="C161" s="92">
        <v>50.169900000000005</v>
      </c>
    </row>
    <row r="162" spans="1:3" x14ac:dyDescent="0.25">
      <c r="A162" s="84">
        <v>46125</v>
      </c>
      <c r="B162" s="88" t="s">
        <v>76</v>
      </c>
      <c r="C162" s="92">
        <v>49.904900000000005</v>
      </c>
    </row>
    <row r="163" spans="1:3" x14ac:dyDescent="0.25">
      <c r="A163" s="84">
        <v>46125</v>
      </c>
      <c r="B163" s="88" t="s">
        <v>77</v>
      </c>
      <c r="C163" s="92">
        <v>50.078400000000002</v>
      </c>
    </row>
    <row r="164" spans="1:3" x14ac:dyDescent="0.25">
      <c r="A164" s="84">
        <v>46126</v>
      </c>
      <c r="B164" s="88" t="s">
        <v>72</v>
      </c>
      <c r="C164" s="88">
        <v>48.142299999999999</v>
      </c>
    </row>
    <row r="165" spans="1:3" x14ac:dyDescent="0.25">
      <c r="A165" s="84">
        <v>46126</v>
      </c>
      <c r="B165" s="88" t="s">
        <v>73</v>
      </c>
      <c r="C165" s="88">
        <v>48.018900000000002</v>
      </c>
    </row>
    <row r="166" spans="1:3" x14ac:dyDescent="0.25">
      <c r="A166" s="84">
        <v>46126</v>
      </c>
      <c r="B166" s="88" t="s">
        <v>74</v>
      </c>
      <c r="C166" s="88">
        <v>48.125799999999998</v>
      </c>
    </row>
    <row r="167" spans="1:3" x14ac:dyDescent="0.25">
      <c r="A167" s="84">
        <v>46126</v>
      </c>
      <c r="B167" s="88" t="s">
        <v>75</v>
      </c>
      <c r="C167" s="88">
        <v>50.169800000000002</v>
      </c>
    </row>
    <row r="168" spans="1:3" x14ac:dyDescent="0.25">
      <c r="A168" s="84">
        <v>46126</v>
      </c>
      <c r="B168" s="88" t="s">
        <v>76</v>
      </c>
      <c r="C168" s="88">
        <v>49.905000000000001</v>
      </c>
    </row>
    <row r="169" spans="1:3" x14ac:dyDescent="0.25">
      <c r="A169" s="84">
        <v>46126</v>
      </c>
      <c r="B169" s="88" t="s">
        <v>77</v>
      </c>
      <c r="C169" s="88">
        <v>50.078200000000002</v>
      </c>
    </row>
    <row r="170" spans="1:3" x14ac:dyDescent="0.25">
      <c r="A170" s="84">
        <v>46127</v>
      </c>
      <c r="B170" s="88" t="s">
        <v>72</v>
      </c>
      <c r="C170" s="88">
        <v>48.142400000000002</v>
      </c>
    </row>
    <row r="171" spans="1:3" x14ac:dyDescent="0.25">
      <c r="A171" s="84">
        <v>46127</v>
      </c>
      <c r="B171" s="88" t="s">
        <v>73</v>
      </c>
      <c r="C171" s="88">
        <v>48.018999999999998</v>
      </c>
    </row>
    <row r="172" spans="1:3" x14ac:dyDescent="0.25">
      <c r="A172" s="84">
        <v>46127</v>
      </c>
      <c r="B172" s="88" t="s">
        <v>74</v>
      </c>
      <c r="C172" s="88">
        <v>48.125900000000001</v>
      </c>
    </row>
    <row r="173" spans="1:3" x14ac:dyDescent="0.25">
      <c r="A173" s="84">
        <v>46127</v>
      </c>
      <c r="B173" s="88" t="s">
        <v>75</v>
      </c>
      <c r="C173" s="88">
        <v>50.17</v>
      </c>
    </row>
    <row r="174" spans="1:3" x14ac:dyDescent="0.25">
      <c r="A174" s="84">
        <v>46127</v>
      </c>
      <c r="B174" s="88" t="s">
        <v>76</v>
      </c>
      <c r="C174" s="88">
        <v>49.9056</v>
      </c>
    </row>
    <row r="175" spans="1:3" x14ac:dyDescent="0.25">
      <c r="A175" s="84">
        <v>46127</v>
      </c>
      <c r="B175" s="88" t="s">
        <v>77</v>
      </c>
      <c r="C175" s="88">
        <v>50.078400000000002</v>
      </c>
    </row>
    <row r="176" spans="1:3" x14ac:dyDescent="0.25">
      <c r="A176" s="84">
        <v>46127</v>
      </c>
      <c r="B176" s="88" t="s">
        <v>69</v>
      </c>
      <c r="C176" s="88">
        <v>45.9221</v>
      </c>
    </row>
    <row r="177" spans="1:3" x14ac:dyDescent="0.25">
      <c r="A177" s="84">
        <v>46127</v>
      </c>
      <c r="B177" s="88" t="s">
        <v>70</v>
      </c>
      <c r="C177" s="88">
        <v>46.015499999999996</v>
      </c>
    </row>
    <row r="178" spans="1:3" x14ac:dyDescent="0.25">
      <c r="A178" s="84">
        <v>46127</v>
      </c>
      <c r="B178" s="88" t="s">
        <v>71</v>
      </c>
      <c r="C178" s="88">
        <v>45.877499999999998</v>
      </c>
    </row>
    <row r="179" spans="1:3" x14ac:dyDescent="0.25">
      <c r="A179" s="84">
        <v>46128</v>
      </c>
      <c r="B179" s="88" t="s">
        <v>72</v>
      </c>
      <c r="C179" s="88">
        <v>48.142200000000003</v>
      </c>
    </row>
    <row r="180" spans="1:3" x14ac:dyDescent="0.25">
      <c r="A180" s="84">
        <v>46128</v>
      </c>
      <c r="B180" s="88" t="s">
        <v>73</v>
      </c>
      <c r="C180" s="88">
        <v>48.018599999999999</v>
      </c>
    </row>
    <row r="181" spans="1:3" x14ac:dyDescent="0.25">
      <c r="A181" s="84">
        <v>46128</v>
      </c>
      <c r="B181" s="88" t="s">
        <v>74</v>
      </c>
      <c r="C181" s="88">
        <v>48.125700000000002</v>
      </c>
    </row>
    <row r="182" spans="1:3" x14ac:dyDescent="0.25">
      <c r="A182" s="84">
        <v>46134</v>
      </c>
      <c r="B182" s="88" t="s">
        <v>75</v>
      </c>
      <c r="C182" s="88">
        <v>50.169499999999999</v>
      </c>
    </row>
    <row r="183" spans="1:3" x14ac:dyDescent="0.25">
      <c r="A183" s="84">
        <v>46134</v>
      </c>
      <c r="B183" s="88" t="s">
        <v>76</v>
      </c>
      <c r="C183" s="88">
        <v>49.905200000000001</v>
      </c>
    </row>
    <row r="184" spans="1:3" x14ac:dyDescent="0.25">
      <c r="A184" s="84">
        <v>46134</v>
      </c>
      <c r="B184" s="88" t="s">
        <v>77</v>
      </c>
      <c r="C184" s="88">
        <v>50.0779</v>
      </c>
    </row>
    <row r="185" spans="1:3" x14ac:dyDescent="0.25">
      <c r="A185" s="84">
        <v>46135</v>
      </c>
      <c r="B185" s="88" t="s">
        <v>69</v>
      </c>
      <c r="C185" s="88">
        <v>45.921300000000002</v>
      </c>
    </row>
    <row r="186" spans="1:3" x14ac:dyDescent="0.25">
      <c r="A186" s="84">
        <v>46135</v>
      </c>
      <c r="B186" s="88" t="s">
        <v>70</v>
      </c>
      <c r="C186" s="88">
        <v>46.014699999999998</v>
      </c>
    </row>
    <row r="187" spans="1:3" x14ac:dyDescent="0.25">
      <c r="A187" s="84">
        <v>46135</v>
      </c>
      <c r="B187" s="88" t="s">
        <v>71</v>
      </c>
      <c r="C187" s="88">
        <v>45.876800000000003</v>
      </c>
    </row>
    <row r="188" spans="1:3" x14ac:dyDescent="0.25">
      <c r="A188" s="84">
        <v>46136</v>
      </c>
      <c r="B188" s="88" t="s">
        <v>72</v>
      </c>
      <c r="C188" s="88">
        <v>48.142200000000003</v>
      </c>
    </row>
    <row r="189" spans="1:3" x14ac:dyDescent="0.25">
      <c r="A189" s="84">
        <v>46136</v>
      </c>
      <c r="B189" s="88" t="s">
        <v>73</v>
      </c>
      <c r="C189" s="88">
        <v>48.018700000000003</v>
      </c>
    </row>
    <row r="190" spans="1:3" x14ac:dyDescent="0.25">
      <c r="A190" s="84">
        <v>46136</v>
      </c>
      <c r="B190" s="88" t="s">
        <v>74</v>
      </c>
      <c r="C190" s="88">
        <v>48.125599999999999</v>
      </c>
    </row>
    <row r="191" spans="1:3" x14ac:dyDescent="0.25">
      <c r="A191" s="84">
        <v>46136</v>
      </c>
      <c r="B191" s="88" t="s">
        <v>75</v>
      </c>
      <c r="C191" s="88">
        <v>50.1693</v>
      </c>
    </row>
    <row r="192" spans="1:3" x14ac:dyDescent="0.25">
      <c r="A192" s="84">
        <v>46136</v>
      </c>
      <c r="B192" s="88" t="s">
        <v>76</v>
      </c>
      <c r="C192" s="88">
        <v>49.905000000000001</v>
      </c>
    </row>
    <row r="193" spans="1:4" x14ac:dyDescent="0.25">
      <c r="A193" s="84">
        <v>46136</v>
      </c>
      <c r="B193" s="88" t="s">
        <v>77</v>
      </c>
      <c r="C193" s="88">
        <v>50.0777</v>
      </c>
    </row>
    <row r="194" spans="1:4" x14ac:dyDescent="0.25">
      <c r="A194" s="84">
        <v>46139</v>
      </c>
      <c r="B194" s="88" t="s">
        <v>75</v>
      </c>
      <c r="C194" s="88">
        <v>50.168700000000001</v>
      </c>
    </row>
    <row r="195" spans="1:4" x14ac:dyDescent="0.25">
      <c r="A195" s="84">
        <v>46139</v>
      </c>
      <c r="B195" s="88" t="s">
        <v>76</v>
      </c>
      <c r="C195" s="88">
        <v>49.904499999999999</v>
      </c>
    </row>
    <row r="196" spans="1:4" x14ac:dyDescent="0.25">
      <c r="A196" s="84">
        <v>46139</v>
      </c>
      <c r="B196" s="88" t="s">
        <v>77</v>
      </c>
      <c r="C196" s="88">
        <v>50.077199999999998</v>
      </c>
    </row>
    <row r="197" spans="1:4" x14ac:dyDescent="0.25">
      <c r="A197" s="84">
        <v>46141</v>
      </c>
      <c r="B197" s="88" t="s">
        <v>72</v>
      </c>
      <c r="C197" s="88">
        <v>48.142299999999999</v>
      </c>
      <c r="D197" s="86"/>
    </row>
    <row r="198" spans="1:4" x14ac:dyDescent="0.25">
      <c r="A198" s="84">
        <v>46141</v>
      </c>
      <c r="B198" s="88" t="s">
        <v>73</v>
      </c>
      <c r="C198" s="88">
        <v>48.018599999999999</v>
      </c>
      <c r="D198" s="86"/>
    </row>
    <row r="199" spans="1:4" x14ac:dyDescent="0.25">
      <c r="A199" s="84">
        <v>46141</v>
      </c>
      <c r="B199" s="88" t="s">
        <v>74</v>
      </c>
      <c r="C199" s="88">
        <v>48.125700000000002</v>
      </c>
      <c r="D199" s="86"/>
    </row>
    <row r="200" spans="1:4" x14ac:dyDescent="0.25">
      <c r="A200" s="84">
        <v>46141</v>
      </c>
      <c r="B200" s="88" t="s">
        <v>75</v>
      </c>
      <c r="C200" s="88">
        <v>50.168999999999997</v>
      </c>
      <c r="D200" s="86"/>
    </row>
    <row r="201" spans="1:4" x14ac:dyDescent="0.25">
      <c r="A201" s="84">
        <v>46141</v>
      </c>
      <c r="B201" s="88" t="s">
        <v>76</v>
      </c>
      <c r="C201" s="88">
        <v>49.904800000000002</v>
      </c>
      <c r="D201" s="86"/>
    </row>
    <row r="202" spans="1:4" x14ac:dyDescent="0.25">
      <c r="A202" s="84">
        <v>46141</v>
      </c>
      <c r="B202" s="88" t="s">
        <v>77</v>
      </c>
      <c r="C202" s="88">
        <v>50.077599999999997</v>
      </c>
      <c r="D202" s="86"/>
    </row>
    <row r="203" spans="1:4" x14ac:dyDescent="0.25">
      <c r="A203" s="84">
        <v>46142</v>
      </c>
      <c r="B203" s="89" t="s">
        <v>72</v>
      </c>
      <c r="C203" s="88">
        <v>48.142000000000003</v>
      </c>
    </row>
    <row r="204" spans="1:4" x14ac:dyDescent="0.25">
      <c r="A204" s="84">
        <v>46142</v>
      </c>
      <c r="B204" s="89" t="s">
        <v>73</v>
      </c>
      <c r="C204" s="88">
        <v>48.018799999999999</v>
      </c>
    </row>
    <row r="205" spans="1:4" x14ac:dyDescent="0.25">
      <c r="A205" s="84">
        <v>46142</v>
      </c>
      <c r="B205" s="88" t="s">
        <v>74</v>
      </c>
      <c r="C205" s="88">
        <v>48.125599999999999</v>
      </c>
    </row>
    <row r="206" spans="1:4" x14ac:dyDescent="0.25">
      <c r="A206" s="84">
        <v>46142</v>
      </c>
      <c r="B206" s="88" t="s">
        <v>75</v>
      </c>
      <c r="C206" s="88">
        <v>50.168199999999999</v>
      </c>
    </row>
    <row r="207" spans="1:4" x14ac:dyDescent="0.25">
      <c r="A207" s="84">
        <v>46142</v>
      </c>
      <c r="B207" s="88" t="s">
        <v>76</v>
      </c>
      <c r="C207" s="88">
        <v>49.9041</v>
      </c>
    </row>
    <row r="208" spans="1:4" x14ac:dyDescent="0.25">
      <c r="A208" s="84">
        <v>46142</v>
      </c>
      <c r="B208" s="88" t="s">
        <v>77</v>
      </c>
      <c r="C208" s="88">
        <v>50.076799999999999</v>
      </c>
    </row>
    <row r="209" spans="1:4" x14ac:dyDescent="0.25">
      <c r="A209" s="84">
        <v>46146</v>
      </c>
      <c r="B209" s="88" t="s">
        <v>75</v>
      </c>
      <c r="C209" s="88">
        <v>50.168500000000002</v>
      </c>
    </row>
    <row r="210" spans="1:4" x14ac:dyDescent="0.25">
      <c r="A210" s="84">
        <v>46146</v>
      </c>
      <c r="B210" s="88" t="s">
        <v>76</v>
      </c>
      <c r="C210" s="88">
        <v>49.904400000000003</v>
      </c>
    </row>
    <row r="211" spans="1:4" x14ac:dyDescent="0.25">
      <c r="A211" s="84">
        <v>46146</v>
      </c>
      <c r="B211" s="88" t="s">
        <v>77</v>
      </c>
      <c r="C211" s="88">
        <v>50.077100000000002</v>
      </c>
    </row>
    <row r="212" spans="1:4" x14ac:dyDescent="0.25">
      <c r="A212" s="84">
        <v>46147</v>
      </c>
      <c r="B212" s="88" t="s">
        <v>72</v>
      </c>
      <c r="C212" s="88">
        <v>48.142399999999995</v>
      </c>
      <c r="D212" s="86"/>
    </row>
    <row r="213" spans="1:4" x14ac:dyDescent="0.25">
      <c r="A213" s="84">
        <v>46147</v>
      </c>
      <c r="B213" s="88" t="s">
        <v>73</v>
      </c>
      <c r="C213" s="88">
        <v>48.018899999999995</v>
      </c>
      <c r="D213" s="86"/>
    </row>
    <row r="214" spans="1:4" x14ac:dyDescent="0.25">
      <c r="A214" s="84">
        <v>46147</v>
      </c>
      <c r="B214" s="88" t="s">
        <v>74</v>
      </c>
      <c r="C214" s="88">
        <v>48.125799999999998</v>
      </c>
      <c r="D214" s="86"/>
    </row>
    <row r="215" spans="1:4" x14ac:dyDescent="0.25">
      <c r="A215" s="84">
        <v>46147</v>
      </c>
      <c r="B215" s="88" t="s">
        <v>75</v>
      </c>
      <c r="C215" s="88">
        <v>50.168199999999999</v>
      </c>
      <c r="D215" s="86"/>
    </row>
    <row r="216" spans="1:4" x14ac:dyDescent="0.25">
      <c r="A216" s="84">
        <v>46147</v>
      </c>
      <c r="B216" s="88" t="s">
        <v>76</v>
      </c>
      <c r="C216" s="88">
        <v>49.903999999999996</v>
      </c>
      <c r="D216" s="86"/>
    </row>
    <row r="217" spans="1:4" x14ac:dyDescent="0.25">
      <c r="A217" s="84">
        <v>46147</v>
      </c>
      <c r="B217" s="88" t="s">
        <v>77</v>
      </c>
      <c r="C217" s="88">
        <v>50.076899999999995</v>
      </c>
      <c r="D217" s="86"/>
    </row>
    <row r="218" spans="1:4" x14ac:dyDescent="0.25">
      <c r="A218" s="84">
        <v>46148</v>
      </c>
      <c r="B218" s="88" t="s">
        <v>69</v>
      </c>
      <c r="C218" s="88">
        <v>45.921300000000002</v>
      </c>
    </row>
    <row r="219" spans="1:4" x14ac:dyDescent="0.25">
      <c r="A219" s="84">
        <v>46148</v>
      </c>
      <c r="B219" s="88" t="s">
        <v>70</v>
      </c>
      <c r="C219" s="88">
        <v>46.014800000000001</v>
      </c>
    </row>
    <row r="220" spans="1:4" x14ac:dyDescent="0.25">
      <c r="A220" s="84">
        <v>46148</v>
      </c>
      <c r="B220" s="88" t="s">
        <v>71</v>
      </c>
      <c r="C220" s="88">
        <v>45.876899999999999</v>
      </c>
    </row>
    <row r="221" spans="1:4" x14ac:dyDescent="0.25">
      <c r="A221" s="84">
        <v>46149</v>
      </c>
      <c r="B221" s="88" t="s">
        <v>72</v>
      </c>
      <c r="C221" s="88">
        <v>48.142000000000003</v>
      </c>
    </row>
    <row r="222" spans="1:4" x14ac:dyDescent="0.25">
      <c r="A222" s="84">
        <v>46149</v>
      </c>
      <c r="B222" s="88" t="s">
        <v>73</v>
      </c>
      <c r="C222" s="88">
        <v>48.018700000000003</v>
      </c>
    </row>
    <row r="223" spans="1:4" x14ac:dyDescent="0.25">
      <c r="A223" s="84">
        <v>46149</v>
      </c>
      <c r="B223" s="88" t="s">
        <v>74</v>
      </c>
      <c r="C223" s="88">
        <v>48.125599999999999</v>
      </c>
    </row>
    <row r="224" spans="1:4" x14ac:dyDescent="0.25">
      <c r="A224" s="84">
        <v>46149</v>
      </c>
      <c r="B224" s="88" t="s">
        <v>75</v>
      </c>
      <c r="C224" s="88">
        <v>50.168300000000002</v>
      </c>
    </row>
    <row r="225" spans="1:4" x14ac:dyDescent="0.25">
      <c r="A225" s="84">
        <v>46149</v>
      </c>
      <c r="B225" s="88" t="s">
        <v>76</v>
      </c>
      <c r="C225" s="88">
        <v>49.904299999999999</v>
      </c>
    </row>
    <row r="226" spans="1:4" x14ac:dyDescent="0.25">
      <c r="A226" s="84">
        <v>46149</v>
      </c>
      <c r="B226" s="88" t="s">
        <v>77</v>
      </c>
      <c r="C226" s="88">
        <v>50.076900000000002</v>
      </c>
    </row>
    <row r="227" spans="1:4" x14ac:dyDescent="0.25">
      <c r="A227" s="84">
        <v>46153</v>
      </c>
      <c r="B227" s="88" t="s">
        <v>72</v>
      </c>
      <c r="C227" s="88">
        <v>48.142099999999999</v>
      </c>
      <c r="D227" s="86"/>
    </row>
    <row r="228" spans="1:4" x14ac:dyDescent="0.25">
      <c r="A228" s="84">
        <v>46153</v>
      </c>
      <c r="B228" s="88" t="s">
        <v>73</v>
      </c>
      <c r="C228" s="88">
        <v>48.018700000000003</v>
      </c>
      <c r="D228" s="86"/>
    </row>
    <row r="229" spans="1:4" x14ac:dyDescent="0.25">
      <c r="A229" s="84">
        <v>46153</v>
      </c>
      <c r="B229" s="88" t="s">
        <v>74</v>
      </c>
      <c r="C229" s="88">
        <v>48.125500000000002</v>
      </c>
      <c r="D229" s="86"/>
    </row>
    <row r="230" spans="1:4" x14ac:dyDescent="0.25">
      <c r="A230" s="84">
        <v>46153</v>
      </c>
      <c r="B230" s="88" t="s">
        <v>75</v>
      </c>
      <c r="C230" s="88">
        <v>50.167700000000004</v>
      </c>
      <c r="D230" s="86"/>
    </row>
    <row r="231" spans="1:4" x14ac:dyDescent="0.25">
      <c r="A231" s="84">
        <v>46153</v>
      </c>
      <c r="B231" s="88" t="s">
        <v>76</v>
      </c>
      <c r="C231" s="88">
        <v>49.903700000000001</v>
      </c>
      <c r="D231" s="86"/>
    </row>
    <row r="232" spans="1:4" x14ac:dyDescent="0.25">
      <c r="A232" s="84">
        <v>46153</v>
      </c>
      <c r="B232" s="88" t="s">
        <v>77</v>
      </c>
      <c r="C232" s="88">
        <v>50.0762</v>
      </c>
      <c r="D232" s="86"/>
    </row>
    <row r="233" spans="1:4" x14ac:dyDescent="0.25">
      <c r="A233" s="84">
        <v>46153</v>
      </c>
      <c r="B233" s="88" t="s">
        <v>69</v>
      </c>
      <c r="C233" s="88">
        <v>45.921700000000001</v>
      </c>
    </row>
    <row r="234" spans="1:4" x14ac:dyDescent="0.25">
      <c r="A234" s="84">
        <v>46153</v>
      </c>
      <c r="B234" s="88" t="s">
        <v>70</v>
      </c>
      <c r="C234" s="88">
        <v>46.015099999999997</v>
      </c>
    </row>
    <row r="235" spans="1:4" x14ac:dyDescent="0.25">
      <c r="A235" s="84">
        <v>46153</v>
      </c>
      <c r="B235" s="88" t="s">
        <v>71</v>
      </c>
      <c r="C235" s="88">
        <v>45.877200000000002</v>
      </c>
    </row>
    <row r="236" spans="1:4" x14ac:dyDescent="0.25">
      <c r="A236" s="84">
        <v>46155</v>
      </c>
      <c r="B236" s="88" t="s">
        <v>79</v>
      </c>
      <c r="C236" s="88">
        <v>55.166800000000002</v>
      </c>
    </row>
    <row r="237" spans="1:4" x14ac:dyDescent="0.25">
      <c r="A237" s="84">
        <v>46155</v>
      </c>
      <c r="B237" s="88" t="s">
        <v>80</v>
      </c>
      <c r="C237" s="88">
        <v>55.050199999999997</v>
      </c>
    </row>
    <row r="238" spans="1:4" x14ac:dyDescent="0.25">
      <c r="A238" s="84">
        <v>46155</v>
      </c>
      <c r="B238" s="88" t="s">
        <v>81</v>
      </c>
      <c r="C238" s="88">
        <v>55.076799999999999</v>
      </c>
    </row>
    <row r="239" spans="1:4" x14ac:dyDescent="0.25">
      <c r="A239" s="84">
        <v>46156</v>
      </c>
      <c r="B239" s="88" t="s">
        <v>79</v>
      </c>
      <c r="C239" s="88">
        <v>55.166400000000003</v>
      </c>
    </row>
    <row r="240" spans="1:4" x14ac:dyDescent="0.25">
      <c r="A240" s="84">
        <v>46156</v>
      </c>
      <c r="B240" s="88" t="s">
        <v>80</v>
      </c>
      <c r="C240" s="88">
        <v>55.049700000000001</v>
      </c>
    </row>
    <row r="241" spans="1:3" x14ac:dyDescent="0.25">
      <c r="A241" s="84">
        <v>46156</v>
      </c>
      <c r="B241" s="88" t="s">
        <v>81</v>
      </c>
      <c r="C241" s="88">
        <v>55.076300000000003</v>
      </c>
    </row>
    <row r="242" spans="1:3" x14ac:dyDescent="0.25">
      <c r="A242" s="84">
        <v>46157</v>
      </c>
      <c r="B242" s="88" t="s">
        <v>72</v>
      </c>
      <c r="C242" s="88">
        <v>48.142300000000006</v>
      </c>
    </row>
    <row r="243" spans="1:3" x14ac:dyDescent="0.25">
      <c r="A243" s="84">
        <v>46157</v>
      </c>
      <c r="B243" s="88" t="s">
        <v>73</v>
      </c>
      <c r="C243" s="88">
        <v>48.018900000000002</v>
      </c>
    </row>
    <row r="244" spans="1:3" x14ac:dyDescent="0.25">
      <c r="A244" s="84">
        <v>46157</v>
      </c>
      <c r="B244" s="88" t="s">
        <v>74</v>
      </c>
      <c r="C244" s="88">
        <v>48.125800000000005</v>
      </c>
    </row>
    <row r="245" spans="1:3" x14ac:dyDescent="0.25">
      <c r="A245" s="84">
        <v>46157</v>
      </c>
      <c r="B245" s="88" t="s">
        <v>75</v>
      </c>
      <c r="C245" s="88">
        <v>50.166699999999999</v>
      </c>
    </row>
    <row r="246" spans="1:3" x14ac:dyDescent="0.25">
      <c r="A246" s="84">
        <v>46157</v>
      </c>
      <c r="B246" s="88" t="s">
        <v>76</v>
      </c>
      <c r="C246" s="88">
        <v>49.902200000000001</v>
      </c>
    </row>
    <row r="247" spans="1:3" x14ac:dyDescent="0.25">
      <c r="A247" s="84">
        <v>46157</v>
      </c>
      <c r="B247" s="88" t="s">
        <v>77</v>
      </c>
      <c r="C247" s="88">
        <v>50.075099999999999</v>
      </c>
    </row>
    <row r="248" spans="1:3" x14ac:dyDescent="0.25">
      <c r="A248" s="84">
        <v>46160</v>
      </c>
      <c r="B248" s="88" t="s">
        <v>72</v>
      </c>
      <c r="C248" s="88">
        <v>48.1419</v>
      </c>
    </row>
    <row r="249" spans="1:3" x14ac:dyDescent="0.25">
      <c r="A249" s="84">
        <v>46160</v>
      </c>
      <c r="B249" s="88" t="s">
        <v>73</v>
      </c>
      <c r="C249" s="88">
        <v>48.018599999999999</v>
      </c>
    </row>
    <row r="250" spans="1:3" x14ac:dyDescent="0.25">
      <c r="A250" s="84">
        <v>46160</v>
      </c>
      <c r="B250" s="88" t="s">
        <v>74</v>
      </c>
      <c r="C250" s="88">
        <v>48.125500000000002</v>
      </c>
    </row>
    <row r="251" spans="1:3" x14ac:dyDescent="0.25">
      <c r="A251" s="84">
        <v>46160</v>
      </c>
      <c r="B251" s="88" t="s">
        <v>75</v>
      </c>
      <c r="C251" s="88">
        <v>50.165700000000001</v>
      </c>
    </row>
    <row r="252" spans="1:3" x14ac:dyDescent="0.25">
      <c r="A252" s="84">
        <v>46160</v>
      </c>
      <c r="B252" s="88" t="s">
        <v>76</v>
      </c>
      <c r="C252" s="88">
        <v>49.901200000000003</v>
      </c>
    </row>
    <row r="253" spans="1:3" x14ac:dyDescent="0.25">
      <c r="A253" s="84">
        <v>46160</v>
      </c>
      <c r="B253" s="88" t="s">
        <v>77</v>
      </c>
      <c r="C253" s="88">
        <v>50.074199999999998</v>
      </c>
    </row>
    <row r="254" spans="1:3" x14ac:dyDescent="0.25">
      <c r="A254" s="84">
        <v>46162</v>
      </c>
      <c r="B254" s="88" t="s">
        <v>69</v>
      </c>
      <c r="C254" s="88">
        <v>45.921900000000001</v>
      </c>
    </row>
    <row r="255" spans="1:3" x14ac:dyDescent="0.25">
      <c r="A255" s="84">
        <v>46162</v>
      </c>
      <c r="B255" s="88" t="s">
        <v>70</v>
      </c>
      <c r="C255" s="88">
        <v>46.0152</v>
      </c>
    </row>
    <row r="256" spans="1:3" x14ac:dyDescent="0.25">
      <c r="A256" s="84">
        <v>46162</v>
      </c>
      <c r="B256" s="88" t="s">
        <v>71</v>
      </c>
      <c r="C256" s="88">
        <v>45.877400000000002</v>
      </c>
    </row>
    <row r="257" spans="1:4" x14ac:dyDescent="0.25">
      <c r="A257" s="84">
        <v>46162</v>
      </c>
      <c r="B257" s="88" t="s">
        <v>72</v>
      </c>
      <c r="C257" s="88">
        <v>48.141500000000001</v>
      </c>
    </row>
    <row r="258" spans="1:4" x14ac:dyDescent="0.25">
      <c r="A258" s="84">
        <v>46162</v>
      </c>
      <c r="B258" s="88" t="s">
        <v>73</v>
      </c>
      <c r="C258" s="88">
        <v>48.0182</v>
      </c>
    </row>
    <row r="259" spans="1:4" x14ac:dyDescent="0.25">
      <c r="A259" s="84">
        <v>46162</v>
      </c>
      <c r="B259" s="88" t="s">
        <v>74</v>
      </c>
      <c r="C259" s="88">
        <v>48.124899999999997</v>
      </c>
    </row>
    <row r="260" spans="1:4" x14ac:dyDescent="0.25">
      <c r="A260" s="84">
        <v>46162</v>
      </c>
      <c r="B260" s="88" t="s">
        <v>75</v>
      </c>
      <c r="C260" s="88">
        <v>50.1631</v>
      </c>
    </row>
    <row r="261" spans="1:4" x14ac:dyDescent="0.25">
      <c r="A261" s="84">
        <v>46162</v>
      </c>
      <c r="B261" s="88" t="s">
        <v>76</v>
      </c>
      <c r="C261" s="88">
        <v>49.898600000000002</v>
      </c>
    </row>
    <row r="262" spans="1:4" x14ac:dyDescent="0.25">
      <c r="A262" s="84">
        <v>46162</v>
      </c>
      <c r="B262" s="88" t="s">
        <v>77</v>
      </c>
      <c r="C262" s="88">
        <v>50.0717</v>
      </c>
    </row>
    <row r="263" spans="1:4" x14ac:dyDescent="0.25">
      <c r="A263" s="84">
        <v>46162</v>
      </c>
      <c r="B263" s="88" t="s">
        <v>79</v>
      </c>
      <c r="C263" s="88">
        <v>55.166800000000002</v>
      </c>
    </row>
    <row r="264" spans="1:4" x14ac:dyDescent="0.25">
      <c r="A264" s="84">
        <v>46162</v>
      </c>
      <c r="B264" s="88" t="s">
        <v>80</v>
      </c>
      <c r="C264" s="88">
        <v>55.050199999999997</v>
      </c>
    </row>
    <row r="265" spans="1:4" x14ac:dyDescent="0.25">
      <c r="A265" s="84">
        <v>46162</v>
      </c>
      <c r="B265" s="88" t="s">
        <v>81</v>
      </c>
      <c r="C265" s="88">
        <v>55.076799999999999</v>
      </c>
    </row>
    <row r="266" spans="1:4" x14ac:dyDescent="0.25">
      <c r="A266" s="84">
        <v>46163</v>
      </c>
      <c r="B266" s="88" t="s">
        <v>72</v>
      </c>
      <c r="C266" s="88">
        <v>48.141399999999997</v>
      </c>
      <c r="D266" s="86"/>
    </row>
    <row r="267" spans="1:4" x14ac:dyDescent="0.25">
      <c r="A267" s="84">
        <v>46163</v>
      </c>
      <c r="B267" s="88" t="s">
        <v>73</v>
      </c>
      <c r="C267" s="88">
        <v>48.018000000000001</v>
      </c>
      <c r="D267" s="86"/>
    </row>
    <row r="268" spans="1:4" x14ac:dyDescent="0.25">
      <c r="A268" s="84">
        <v>46163</v>
      </c>
      <c r="B268" s="88" t="s">
        <v>74</v>
      </c>
      <c r="C268" s="88">
        <v>48.124899999999997</v>
      </c>
      <c r="D268" s="86"/>
    </row>
    <row r="269" spans="1:4" x14ac:dyDescent="0.25">
      <c r="A269" s="84">
        <v>46163</v>
      </c>
      <c r="B269" s="88" t="s">
        <v>75</v>
      </c>
      <c r="C269" s="88">
        <v>50.1633</v>
      </c>
      <c r="D269" s="86"/>
    </row>
    <row r="270" spans="1:4" x14ac:dyDescent="0.25">
      <c r="A270" s="84">
        <v>46163</v>
      </c>
      <c r="B270" s="88" t="s">
        <v>76</v>
      </c>
      <c r="C270" s="88">
        <v>49.898899999999998</v>
      </c>
      <c r="D270" s="86"/>
    </row>
    <row r="271" spans="1:4" x14ac:dyDescent="0.25">
      <c r="A271" s="84">
        <v>46163</v>
      </c>
      <c r="B271" s="88" t="s">
        <v>77</v>
      </c>
      <c r="C271" s="88">
        <v>50.071800000000003</v>
      </c>
      <c r="D271" s="86"/>
    </row>
    <row r="272" spans="1:4" x14ac:dyDescent="0.25">
      <c r="A272" s="84">
        <v>46163</v>
      </c>
      <c r="B272" s="89" t="s">
        <v>79</v>
      </c>
      <c r="C272" s="88">
        <v>55.1676</v>
      </c>
      <c r="D272" s="86"/>
    </row>
    <row r="273" spans="1:4" x14ac:dyDescent="0.25">
      <c r="A273" s="84">
        <v>46163</v>
      </c>
      <c r="B273" s="88" t="s">
        <v>80</v>
      </c>
      <c r="C273" s="88">
        <v>55.050899999999999</v>
      </c>
      <c r="D273" s="86"/>
    </row>
    <row r="274" spans="1:4" x14ac:dyDescent="0.25">
      <c r="A274" s="84">
        <v>46163</v>
      </c>
      <c r="B274" s="88" t="s">
        <v>81</v>
      </c>
      <c r="C274" s="88">
        <v>55.077500000000001</v>
      </c>
      <c r="D274" s="86"/>
    </row>
    <row r="275" spans="1:4" x14ac:dyDescent="0.25">
      <c r="A275" s="84">
        <v>46163</v>
      </c>
      <c r="B275" s="88" t="s">
        <v>82</v>
      </c>
      <c r="C275" s="88">
        <v>54.475900000000003</v>
      </c>
      <c r="D275" s="86"/>
    </row>
    <row r="276" spans="1:4" x14ac:dyDescent="0.25">
      <c r="A276" s="84">
        <v>46163</v>
      </c>
      <c r="B276" s="88" t="s">
        <v>83</v>
      </c>
      <c r="C276" s="88">
        <v>54.560400000000001</v>
      </c>
      <c r="D276" s="86"/>
    </row>
    <row r="277" spans="1:4" x14ac:dyDescent="0.25">
      <c r="A277" s="84">
        <v>46163</v>
      </c>
      <c r="B277" s="88" t="s">
        <v>84</v>
      </c>
      <c r="C277" s="88">
        <v>54.582799999999999</v>
      </c>
      <c r="D277" s="86"/>
    </row>
    <row r="278" spans="1:4" x14ac:dyDescent="0.25">
      <c r="A278" s="84">
        <v>46164</v>
      </c>
      <c r="B278" s="88" t="s">
        <v>75</v>
      </c>
      <c r="C278" s="88">
        <v>50.163400000000003</v>
      </c>
    </row>
    <row r="279" spans="1:4" x14ac:dyDescent="0.25">
      <c r="A279" s="84">
        <v>46164</v>
      </c>
      <c r="B279" s="88" t="s">
        <v>76</v>
      </c>
      <c r="C279" s="88">
        <v>49.898899999999998</v>
      </c>
    </row>
    <row r="280" spans="1:4" x14ac:dyDescent="0.25">
      <c r="A280" s="84">
        <v>46164</v>
      </c>
      <c r="B280" s="88" t="s">
        <v>77</v>
      </c>
      <c r="C280" s="88">
        <v>50.071899999999999</v>
      </c>
    </row>
    <row r="281" spans="1:4" x14ac:dyDescent="0.25">
      <c r="A281" s="84">
        <v>46167</v>
      </c>
      <c r="B281" s="88" t="s">
        <v>75</v>
      </c>
      <c r="C281" s="88">
        <v>50.162999999999997</v>
      </c>
    </row>
    <row r="282" spans="1:4" x14ac:dyDescent="0.25">
      <c r="A282" s="84">
        <v>46167</v>
      </c>
      <c r="B282" s="88" t="s">
        <v>76</v>
      </c>
      <c r="C282" s="88">
        <v>49.898499999999999</v>
      </c>
    </row>
    <row r="283" spans="1:4" x14ac:dyDescent="0.25">
      <c r="A283" s="84">
        <v>46167</v>
      </c>
      <c r="B283" s="88" t="s">
        <v>77</v>
      </c>
      <c r="C283" s="88">
        <v>50.0715</v>
      </c>
    </row>
    <row r="284" spans="1:4" x14ac:dyDescent="0.25">
      <c r="A284" s="84">
        <v>46168</v>
      </c>
      <c r="B284" s="88" t="s">
        <v>72</v>
      </c>
      <c r="C284" s="88">
        <v>48.140999999999998</v>
      </c>
      <c r="D284" s="86"/>
    </row>
    <row r="285" spans="1:4" x14ac:dyDescent="0.25">
      <c r="A285" s="84">
        <v>46168</v>
      </c>
      <c r="B285" s="88" t="s">
        <v>73</v>
      </c>
      <c r="C285" s="88">
        <v>48.017800000000001</v>
      </c>
      <c r="D285" s="86"/>
    </row>
    <row r="286" spans="1:4" x14ac:dyDescent="0.25">
      <c r="A286" s="84">
        <v>46168</v>
      </c>
      <c r="B286" s="88" t="s">
        <v>74</v>
      </c>
      <c r="C286" s="88">
        <v>48.124600000000001</v>
      </c>
      <c r="D286" s="86"/>
    </row>
    <row r="287" spans="1:4" x14ac:dyDescent="0.25">
      <c r="A287" s="84">
        <v>46168</v>
      </c>
      <c r="B287" s="88" t="s">
        <v>75</v>
      </c>
      <c r="C287" s="88">
        <v>50.162999999999997</v>
      </c>
      <c r="D287" s="86"/>
    </row>
    <row r="288" spans="1:4" x14ac:dyDescent="0.25">
      <c r="A288" s="84">
        <v>46168</v>
      </c>
      <c r="B288" s="88" t="s">
        <v>76</v>
      </c>
      <c r="C288" s="88">
        <v>49.898600000000002</v>
      </c>
      <c r="D288" s="86"/>
    </row>
    <row r="289" spans="1:4" x14ac:dyDescent="0.25">
      <c r="A289" s="84">
        <v>46168</v>
      </c>
      <c r="B289" s="88" t="s">
        <v>77</v>
      </c>
      <c r="C289" s="88">
        <v>50.071599999999997</v>
      </c>
      <c r="D289" s="86"/>
    </row>
    <row r="290" spans="1:4" x14ac:dyDescent="0.25">
      <c r="A290" s="84">
        <v>46168</v>
      </c>
      <c r="B290" s="88" t="s">
        <v>79</v>
      </c>
      <c r="C290" s="88">
        <v>55.167099999999998</v>
      </c>
    </row>
    <row r="291" spans="1:4" x14ac:dyDescent="0.25">
      <c r="A291" s="84">
        <v>46168</v>
      </c>
      <c r="B291" s="88" t="s">
        <v>80</v>
      </c>
      <c r="C291" s="88">
        <v>55.050699999999999</v>
      </c>
    </row>
    <row r="292" spans="1:4" x14ac:dyDescent="0.25">
      <c r="A292" s="84">
        <v>46168</v>
      </c>
      <c r="B292" s="88" t="s">
        <v>81</v>
      </c>
      <c r="C292" s="88">
        <v>55.076999999999998</v>
      </c>
    </row>
    <row r="293" spans="1:4" x14ac:dyDescent="0.25">
      <c r="A293" s="84">
        <v>46168</v>
      </c>
      <c r="B293" s="88" t="s">
        <v>82</v>
      </c>
      <c r="C293" s="88">
        <v>54.4756</v>
      </c>
    </row>
    <row r="294" spans="1:4" x14ac:dyDescent="0.25">
      <c r="A294" s="84">
        <v>46168</v>
      </c>
      <c r="B294" s="88" t="s">
        <v>83</v>
      </c>
      <c r="C294" s="88">
        <v>54.560200000000002</v>
      </c>
    </row>
    <row r="295" spans="1:4" x14ac:dyDescent="0.25">
      <c r="A295" s="84">
        <v>46168</v>
      </c>
      <c r="B295" s="88" t="s">
        <v>84</v>
      </c>
      <c r="C295" s="88">
        <v>54.5824</v>
      </c>
    </row>
    <row r="296" spans="1:4" x14ac:dyDescent="0.25">
      <c r="A296" s="84">
        <v>46168</v>
      </c>
      <c r="B296" s="88" t="s">
        <v>87</v>
      </c>
      <c r="C296" s="88">
        <v>50.518000000000001</v>
      </c>
    </row>
    <row r="297" spans="1:4" x14ac:dyDescent="0.25">
      <c r="A297" s="84">
        <v>46168</v>
      </c>
      <c r="B297" s="88" t="s">
        <v>86</v>
      </c>
      <c r="C297" s="88">
        <v>50.472499999999997</v>
      </c>
    </row>
    <row r="298" spans="1:4" x14ac:dyDescent="0.25">
      <c r="A298" s="84">
        <v>46168</v>
      </c>
      <c r="B298" s="88" t="s">
        <v>85</v>
      </c>
      <c r="C298" s="88">
        <v>50.456299999999999</v>
      </c>
    </row>
    <row r="299" spans="1:4" x14ac:dyDescent="0.25">
      <c r="A299" s="84">
        <v>46169</v>
      </c>
      <c r="B299" s="88" t="s">
        <v>69</v>
      </c>
      <c r="C299" s="88">
        <v>45.921799999999998</v>
      </c>
    </row>
    <row r="300" spans="1:4" x14ac:dyDescent="0.25">
      <c r="A300" s="84">
        <v>46169</v>
      </c>
      <c r="B300" s="88" t="s">
        <v>70</v>
      </c>
      <c r="C300" s="88">
        <v>46.0154</v>
      </c>
    </row>
    <row r="301" spans="1:4" x14ac:dyDescent="0.25">
      <c r="A301" s="84">
        <v>46169</v>
      </c>
      <c r="B301" s="88" t="s">
        <v>71</v>
      </c>
      <c r="C301" s="88">
        <v>45.877400000000002</v>
      </c>
    </row>
    <row r="302" spans="1:4" x14ac:dyDescent="0.25">
      <c r="A302" s="84">
        <v>46169</v>
      </c>
      <c r="B302" s="88" t="s">
        <v>79</v>
      </c>
      <c r="C302" s="88">
        <v>55.167099999999998</v>
      </c>
    </row>
    <row r="303" spans="1:4" x14ac:dyDescent="0.25">
      <c r="A303" s="84">
        <v>46169</v>
      </c>
      <c r="B303" s="88" t="s">
        <v>80</v>
      </c>
      <c r="C303" s="88">
        <v>55.050600000000003</v>
      </c>
    </row>
    <row r="304" spans="1:4" x14ac:dyDescent="0.25">
      <c r="A304" s="84">
        <v>46169</v>
      </c>
      <c r="B304" s="88" t="s">
        <v>81</v>
      </c>
      <c r="C304" s="88">
        <v>55.076900000000002</v>
      </c>
    </row>
    <row r="305" spans="1:3" x14ac:dyDescent="0.25">
      <c r="A305" s="84">
        <v>46170</v>
      </c>
      <c r="B305" s="88" t="s">
        <v>79</v>
      </c>
      <c r="C305" s="88">
        <v>55.1676</v>
      </c>
    </row>
    <row r="306" spans="1:3" x14ac:dyDescent="0.25">
      <c r="A306" s="84">
        <v>46170</v>
      </c>
      <c r="B306" s="88" t="s">
        <v>80</v>
      </c>
      <c r="C306" s="88">
        <v>55.051000000000002</v>
      </c>
    </row>
    <row r="307" spans="1:3" x14ac:dyDescent="0.25">
      <c r="A307" s="84">
        <v>46170</v>
      </c>
      <c r="B307" s="88" t="s">
        <v>81</v>
      </c>
      <c r="C307" s="88">
        <v>55.077500000000001</v>
      </c>
    </row>
    <row r="308" spans="1:3" x14ac:dyDescent="0.25">
      <c r="A308" s="84">
        <v>46170</v>
      </c>
      <c r="B308" s="88" t="s">
        <v>82</v>
      </c>
      <c r="C308" s="88">
        <v>54.4758</v>
      </c>
    </row>
    <row r="309" spans="1:3" x14ac:dyDescent="0.25">
      <c r="A309" s="84">
        <v>46170</v>
      </c>
      <c r="B309" s="88" t="s">
        <v>83</v>
      </c>
      <c r="C309" s="88">
        <v>54.560200000000002</v>
      </c>
    </row>
    <row r="310" spans="1:3" x14ac:dyDescent="0.25">
      <c r="A310" s="84">
        <v>46170</v>
      </c>
      <c r="B310" s="88" t="s">
        <v>84</v>
      </c>
      <c r="C310" s="88">
        <v>54.5824</v>
      </c>
    </row>
    <row r="311" spans="1:3" x14ac:dyDescent="0.25">
      <c r="A311" s="84">
        <v>46170</v>
      </c>
      <c r="B311" s="88" t="s">
        <v>72</v>
      </c>
      <c r="C311" s="88">
        <v>48.141599999999997</v>
      </c>
    </row>
    <row r="312" spans="1:3" x14ac:dyDescent="0.25">
      <c r="A312" s="84">
        <v>46170</v>
      </c>
      <c r="B312" s="88" t="s">
        <v>73</v>
      </c>
      <c r="C312" s="88">
        <v>48.0182</v>
      </c>
    </row>
    <row r="313" spans="1:3" x14ac:dyDescent="0.25">
      <c r="A313" s="84">
        <v>46170</v>
      </c>
      <c r="B313" s="88" t="s">
        <v>74</v>
      </c>
      <c r="C313" s="88">
        <v>48.125</v>
      </c>
    </row>
    <row r="314" spans="1:3" x14ac:dyDescent="0.25">
      <c r="A314" s="84">
        <v>46171</v>
      </c>
      <c r="B314" s="88" t="s">
        <v>72</v>
      </c>
      <c r="C314" s="88">
        <v>48.1419</v>
      </c>
    </row>
    <row r="315" spans="1:3" x14ac:dyDescent="0.25">
      <c r="A315" s="84">
        <v>46171</v>
      </c>
      <c r="B315" s="88" t="s">
        <v>73</v>
      </c>
      <c r="C315" s="88">
        <v>48.0184</v>
      </c>
    </row>
    <row r="316" spans="1:3" x14ac:dyDescent="0.25">
      <c r="A316" s="84">
        <v>46171</v>
      </c>
      <c r="B316" s="88" t="s">
        <v>74</v>
      </c>
      <c r="C316" s="88">
        <v>48.125300000000003</v>
      </c>
    </row>
    <row r="317" spans="1:3" x14ac:dyDescent="0.25">
      <c r="A317" s="84">
        <v>46174</v>
      </c>
      <c r="B317" s="88" t="s">
        <v>72</v>
      </c>
      <c r="C317" s="88">
        <v>48.1419</v>
      </c>
    </row>
    <row r="318" spans="1:3" x14ac:dyDescent="0.25">
      <c r="A318" s="84">
        <v>46174</v>
      </c>
      <c r="B318" s="88" t="s">
        <v>73</v>
      </c>
      <c r="C318" s="88">
        <v>48.018500000000003</v>
      </c>
    </row>
    <row r="319" spans="1:3" x14ac:dyDescent="0.25">
      <c r="A319" s="84">
        <v>46174</v>
      </c>
      <c r="B319" s="88" t="s">
        <v>74</v>
      </c>
      <c r="C319" s="88">
        <v>48.1252</v>
      </c>
    </row>
    <row r="320" spans="1:3" x14ac:dyDescent="0.25">
      <c r="A320" s="84">
        <v>46175</v>
      </c>
      <c r="B320" s="88" t="s">
        <v>72</v>
      </c>
      <c r="C320" s="88">
        <v>48.142200000000003</v>
      </c>
    </row>
    <row r="321" spans="1:3" x14ac:dyDescent="0.25">
      <c r="A321" s="84">
        <v>46175</v>
      </c>
      <c r="B321" s="88" t="s">
        <v>73</v>
      </c>
      <c r="C321" s="88">
        <v>48.018700000000003</v>
      </c>
    </row>
    <row r="322" spans="1:3" x14ac:dyDescent="0.25">
      <c r="A322" s="84">
        <v>46175</v>
      </c>
      <c r="B322" s="88" t="s">
        <v>74</v>
      </c>
      <c r="C322" s="88">
        <v>48.125599999999999</v>
      </c>
    </row>
    <row r="323" spans="1:3" x14ac:dyDescent="0.25">
      <c r="A323" s="84">
        <v>46175</v>
      </c>
      <c r="B323" s="88" t="s">
        <v>79</v>
      </c>
      <c r="C323" s="88">
        <v>55.167099999999998</v>
      </c>
    </row>
    <row r="324" spans="1:3" x14ac:dyDescent="0.25">
      <c r="A324" s="84">
        <v>46175</v>
      </c>
      <c r="B324" s="88" t="s">
        <v>80</v>
      </c>
      <c r="C324" s="88">
        <v>55.0505</v>
      </c>
    </row>
    <row r="325" spans="1:3" x14ac:dyDescent="0.25">
      <c r="A325" s="84">
        <v>46175</v>
      </c>
      <c r="B325" s="88" t="s">
        <v>81</v>
      </c>
      <c r="C325" s="88">
        <v>55.076999999999998</v>
      </c>
    </row>
    <row r="326" spans="1:3" x14ac:dyDescent="0.25">
      <c r="A326" s="84">
        <v>46175</v>
      </c>
      <c r="B326" s="88" t="s">
        <v>82</v>
      </c>
      <c r="C326" s="88">
        <v>54.4756</v>
      </c>
    </row>
    <row r="327" spans="1:3" x14ac:dyDescent="0.25">
      <c r="A327" s="84">
        <v>46175</v>
      </c>
      <c r="B327" s="88" t="s">
        <v>83</v>
      </c>
      <c r="C327" s="88">
        <v>54.56</v>
      </c>
    </row>
    <row r="328" spans="1:3" x14ac:dyDescent="0.25">
      <c r="A328" s="84">
        <v>46175</v>
      </c>
      <c r="B328" s="88" t="s">
        <v>84</v>
      </c>
      <c r="C328" s="88">
        <v>54.5822</v>
      </c>
    </row>
    <row r="329" spans="1:3" x14ac:dyDescent="0.25">
      <c r="A329" s="84">
        <v>46176</v>
      </c>
      <c r="B329" s="88" t="s">
        <v>72</v>
      </c>
      <c r="C329" s="88">
        <v>48.142299999999999</v>
      </c>
    </row>
    <row r="330" spans="1:3" x14ac:dyDescent="0.25">
      <c r="A330" s="84">
        <v>46176</v>
      </c>
      <c r="B330" s="88" t="s">
        <v>73</v>
      </c>
      <c r="C330" s="88">
        <v>48.018799999999999</v>
      </c>
    </row>
    <row r="331" spans="1:3" x14ac:dyDescent="0.25">
      <c r="A331" s="84">
        <v>46176</v>
      </c>
      <c r="B331" s="88" t="s">
        <v>74</v>
      </c>
      <c r="C331" s="88">
        <v>48.125700000000002</v>
      </c>
    </row>
    <row r="332" spans="1:3" x14ac:dyDescent="0.25">
      <c r="A332" s="84">
        <v>46176</v>
      </c>
      <c r="B332" s="88" t="s">
        <v>79</v>
      </c>
      <c r="C332" s="88">
        <v>55.167499999999997</v>
      </c>
    </row>
    <row r="333" spans="1:3" x14ac:dyDescent="0.25">
      <c r="A333" s="84">
        <v>46176</v>
      </c>
      <c r="B333" s="88" t="s">
        <v>80</v>
      </c>
      <c r="C333" s="88">
        <v>55.051000000000002</v>
      </c>
    </row>
    <row r="334" spans="1:3" x14ac:dyDescent="0.25">
      <c r="A334" s="84">
        <v>46176</v>
      </c>
      <c r="B334" s="88" t="s">
        <v>81</v>
      </c>
      <c r="C334" s="88">
        <v>55.077300000000001</v>
      </c>
    </row>
    <row r="335" spans="1:3" x14ac:dyDescent="0.25">
      <c r="A335" s="84">
        <v>46176</v>
      </c>
      <c r="B335" s="88" t="s">
        <v>69</v>
      </c>
      <c r="C335" s="88">
        <v>45.921700000000001</v>
      </c>
    </row>
    <row r="336" spans="1:3" x14ac:dyDescent="0.25">
      <c r="A336" s="84">
        <v>46176</v>
      </c>
      <c r="B336" s="88" t="s">
        <v>70</v>
      </c>
      <c r="C336" s="88">
        <v>46.015300000000003</v>
      </c>
    </row>
    <row r="337" spans="1:3" x14ac:dyDescent="0.25">
      <c r="A337" s="84">
        <v>46176</v>
      </c>
      <c r="B337" s="88" t="s">
        <v>71</v>
      </c>
      <c r="C337" s="88">
        <v>45.877299999999998</v>
      </c>
    </row>
    <row r="338" spans="1:3" x14ac:dyDescent="0.25">
      <c r="A338" s="84">
        <v>46177</v>
      </c>
      <c r="B338" s="88" t="s">
        <v>79</v>
      </c>
      <c r="C338" s="88">
        <v>55.166899999999998</v>
      </c>
    </row>
    <row r="339" spans="1:3" x14ac:dyDescent="0.25">
      <c r="A339" s="84">
        <v>46177</v>
      </c>
      <c r="B339" s="88" t="s">
        <v>80</v>
      </c>
      <c r="C339" s="88">
        <v>55.050199999999997</v>
      </c>
    </row>
    <row r="340" spans="1:3" x14ac:dyDescent="0.25">
      <c r="A340" s="84">
        <v>46177</v>
      </c>
      <c r="B340" s="88" t="s">
        <v>81</v>
      </c>
      <c r="C340" s="88">
        <v>55.076799999999999</v>
      </c>
    </row>
    <row r="341" spans="1:3" x14ac:dyDescent="0.25">
      <c r="A341" s="84">
        <v>46177</v>
      </c>
      <c r="B341" s="88" t="s">
        <v>82</v>
      </c>
      <c r="C341" s="88">
        <v>54.475499999999997</v>
      </c>
    </row>
    <row r="342" spans="1:3" x14ac:dyDescent="0.25">
      <c r="A342" s="84">
        <v>46177</v>
      </c>
      <c r="B342" s="88" t="s">
        <v>83</v>
      </c>
      <c r="C342" s="88">
        <v>54.56</v>
      </c>
    </row>
    <row r="343" spans="1:3" x14ac:dyDescent="0.25">
      <c r="A343" s="84">
        <v>46177</v>
      </c>
      <c r="B343" s="88" t="s">
        <v>84</v>
      </c>
      <c r="C343" s="88">
        <v>54.5822</v>
      </c>
    </row>
    <row r="344" spans="1:3" x14ac:dyDescent="0.25">
      <c r="A344" s="84">
        <v>46178</v>
      </c>
      <c r="B344" s="88" t="s">
        <v>72</v>
      </c>
      <c r="C344" s="88">
        <v>48.142099999999999</v>
      </c>
    </row>
    <row r="345" spans="1:3" x14ac:dyDescent="0.25">
      <c r="A345" s="84">
        <v>46178</v>
      </c>
      <c r="B345" s="88" t="s">
        <v>73</v>
      </c>
      <c r="C345" s="88">
        <v>48.018700000000003</v>
      </c>
    </row>
    <row r="346" spans="1:3" x14ac:dyDescent="0.25">
      <c r="A346" s="84">
        <v>46178</v>
      </c>
      <c r="B346" s="88" t="s">
        <v>74</v>
      </c>
      <c r="C346" s="88">
        <v>48.125599999999999</v>
      </c>
    </row>
    <row r="347" spans="1:3" x14ac:dyDescent="0.25">
      <c r="A347" s="84">
        <v>46181</v>
      </c>
      <c r="B347" s="88" t="s">
        <v>72</v>
      </c>
      <c r="C347" s="88">
        <v>48.1419</v>
      </c>
    </row>
    <row r="348" spans="1:3" x14ac:dyDescent="0.25">
      <c r="A348" s="84">
        <v>46181</v>
      </c>
      <c r="B348" s="88" t="s">
        <v>73</v>
      </c>
      <c r="C348" s="88">
        <v>48.0184</v>
      </c>
    </row>
    <row r="349" spans="1:3" x14ac:dyDescent="0.25">
      <c r="A349" s="84">
        <v>46181</v>
      </c>
      <c r="B349" s="88" t="s">
        <v>74</v>
      </c>
      <c r="C349" s="88">
        <v>48.125300000000003</v>
      </c>
    </row>
    <row r="350" spans="1:3" x14ac:dyDescent="0.25">
      <c r="A350" s="84">
        <v>46182</v>
      </c>
      <c r="B350" s="88" t="s">
        <v>72</v>
      </c>
      <c r="C350" s="88">
        <v>48.1419</v>
      </c>
    </row>
    <row r="351" spans="1:3" x14ac:dyDescent="0.25">
      <c r="A351" s="84">
        <v>46182</v>
      </c>
      <c r="B351" s="88" t="s">
        <v>73</v>
      </c>
      <c r="C351" s="88">
        <v>48.0184</v>
      </c>
    </row>
    <row r="352" spans="1:3" x14ac:dyDescent="0.25">
      <c r="A352" s="84">
        <v>46182</v>
      </c>
      <c r="B352" s="88" t="s">
        <v>74</v>
      </c>
      <c r="C352" s="88">
        <v>48.1252</v>
      </c>
    </row>
    <row r="353" spans="1:4" x14ac:dyDescent="0.25">
      <c r="A353" s="84">
        <v>46182</v>
      </c>
      <c r="B353" s="88" t="s">
        <v>75</v>
      </c>
      <c r="C353" s="88">
        <v>50.163499999999999</v>
      </c>
    </row>
    <row r="354" spans="1:4" x14ac:dyDescent="0.25">
      <c r="A354" s="84">
        <v>46182</v>
      </c>
      <c r="B354" s="88" t="s">
        <v>76</v>
      </c>
      <c r="C354" s="88">
        <v>49.899000000000001</v>
      </c>
    </row>
    <row r="355" spans="1:4" x14ac:dyDescent="0.25">
      <c r="A355" s="84">
        <v>46182</v>
      </c>
      <c r="B355" s="88" t="s">
        <v>77</v>
      </c>
      <c r="C355" s="88">
        <v>50.072000000000003</v>
      </c>
    </row>
    <row r="356" spans="1:4" x14ac:dyDescent="0.25">
      <c r="A356" s="84">
        <v>46182</v>
      </c>
      <c r="B356" s="88" t="s">
        <v>79</v>
      </c>
      <c r="C356" s="88">
        <v>55.166899999999998</v>
      </c>
      <c r="D356" s="86"/>
    </row>
    <row r="357" spans="1:4" x14ac:dyDescent="0.25">
      <c r="A357" s="84">
        <v>46182</v>
      </c>
      <c r="B357" s="88" t="s">
        <v>80</v>
      </c>
      <c r="C357" s="88">
        <v>55.0501</v>
      </c>
      <c r="D357" s="86"/>
    </row>
    <row r="358" spans="1:4" x14ac:dyDescent="0.25">
      <c r="A358" s="84">
        <v>46182</v>
      </c>
      <c r="B358" s="88" t="s">
        <v>81</v>
      </c>
      <c r="C358" s="88">
        <v>55.076599999999999</v>
      </c>
      <c r="D358" s="86"/>
    </row>
    <row r="359" spans="1:4" x14ac:dyDescent="0.25">
      <c r="A359" s="84">
        <v>46182</v>
      </c>
      <c r="B359" s="88" t="s">
        <v>82</v>
      </c>
      <c r="C359" s="88">
        <v>54.475099999999998</v>
      </c>
      <c r="D359" s="86"/>
    </row>
    <row r="360" spans="1:4" x14ac:dyDescent="0.25">
      <c r="A360" s="84">
        <v>46182</v>
      </c>
      <c r="B360" s="88" t="s">
        <v>83</v>
      </c>
      <c r="C360" s="88">
        <v>54.5595</v>
      </c>
      <c r="D360" s="86"/>
    </row>
    <row r="361" spans="1:4" x14ac:dyDescent="0.25">
      <c r="A361" s="84">
        <v>46182</v>
      </c>
      <c r="B361" s="88" t="s">
        <v>84</v>
      </c>
      <c r="C361" s="88">
        <v>54.581699999999998</v>
      </c>
      <c r="D361" s="86"/>
    </row>
    <row r="362" spans="1:4" x14ac:dyDescent="0.25">
      <c r="A362" s="84">
        <v>46182</v>
      </c>
      <c r="B362" s="88" t="s">
        <v>87</v>
      </c>
      <c r="C362" s="88">
        <v>50.518300000000004</v>
      </c>
      <c r="D362" s="86"/>
    </row>
    <row r="363" spans="1:4" x14ac:dyDescent="0.25">
      <c r="A363" s="84">
        <v>46182</v>
      </c>
      <c r="B363" s="88" t="s">
        <v>86</v>
      </c>
      <c r="C363" s="88">
        <v>50.472700000000003</v>
      </c>
      <c r="D363" s="86"/>
    </row>
    <row r="364" spans="1:4" x14ac:dyDescent="0.25">
      <c r="A364" s="84">
        <v>46182</v>
      </c>
      <c r="B364" s="88" t="s">
        <v>85</v>
      </c>
      <c r="C364" s="88">
        <v>50.456499999999998</v>
      </c>
      <c r="D364" s="86"/>
    </row>
    <row r="365" spans="1:4" x14ac:dyDescent="0.25">
      <c r="A365" s="84">
        <v>46183</v>
      </c>
      <c r="B365" s="88" t="s">
        <v>79</v>
      </c>
      <c r="C365" s="88">
        <v>55.166800000000002</v>
      </c>
    </row>
    <row r="366" spans="1:4" x14ac:dyDescent="0.25">
      <c r="A366" s="84">
        <v>46183</v>
      </c>
      <c r="B366" s="88" t="s">
        <v>80</v>
      </c>
      <c r="C366" s="88">
        <v>55.0501</v>
      </c>
    </row>
    <row r="367" spans="1:4" x14ac:dyDescent="0.25">
      <c r="A367" s="84">
        <v>46183</v>
      </c>
      <c r="B367" s="88" t="s">
        <v>81</v>
      </c>
      <c r="C367" s="88">
        <v>55.076599999999999</v>
      </c>
    </row>
    <row r="368" spans="1:4" x14ac:dyDescent="0.25">
      <c r="A368" s="84">
        <v>46184</v>
      </c>
      <c r="B368" s="88" t="s">
        <v>72</v>
      </c>
      <c r="C368" s="88">
        <v>48.141199999999998</v>
      </c>
    </row>
    <row r="369" spans="1:3" x14ac:dyDescent="0.25">
      <c r="A369" s="84">
        <v>46184</v>
      </c>
      <c r="B369" s="88" t="s">
        <v>73</v>
      </c>
      <c r="C369" s="88">
        <v>48.017699999999998</v>
      </c>
    </row>
    <row r="370" spans="1:3" x14ac:dyDescent="0.25">
      <c r="A370" s="84">
        <v>46184</v>
      </c>
      <c r="B370" s="88" t="s">
        <v>74</v>
      </c>
      <c r="C370" s="88">
        <v>48.124600000000001</v>
      </c>
    </row>
    <row r="371" spans="1:3" x14ac:dyDescent="0.25">
      <c r="A371" s="84">
        <v>46185</v>
      </c>
      <c r="B371" s="88" t="s">
        <v>69</v>
      </c>
      <c r="C371" s="88">
        <v>45.921599999999998</v>
      </c>
    </row>
    <row r="372" spans="1:3" x14ac:dyDescent="0.25">
      <c r="A372" s="84">
        <v>46185</v>
      </c>
      <c r="B372" s="88" t="s">
        <v>70</v>
      </c>
      <c r="C372" s="88">
        <v>46.015099999999997</v>
      </c>
    </row>
    <row r="373" spans="1:3" x14ac:dyDescent="0.25">
      <c r="A373" s="84">
        <v>46185</v>
      </c>
      <c r="B373" s="88" t="s">
        <v>71</v>
      </c>
      <c r="C373" s="88">
        <v>45.877200000000002</v>
      </c>
    </row>
    <row r="374" spans="1:3" x14ac:dyDescent="0.25">
      <c r="A374" s="84">
        <v>46188</v>
      </c>
      <c r="B374" s="88" t="s">
        <v>72</v>
      </c>
      <c r="C374" s="88">
        <v>48.141199999999998</v>
      </c>
    </row>
    <row r="375" spans="1:3" x14ac:dyDescent="0.25">
      <c r="A375" s="84">
        <v>46188</v>
      </c>
      <c r="B375" s="88" t="s">
        <v>73</v>
      </c>
      <c r="C375" s="88">
        <v>48.017899999999997</v>
      </c>
    </row>
    <row r="376" spans="1:3" x14ac:dyDescent="0.25">
      <c r="A376" s="84">
        <v>46188</v>
      </c>
      <c r="B376" s="88" t="s">
        <v>74</v>
      </c>
      <c r="C376" s="88">
        <v>48.124899999999997</v>
      </c>
    </row>
    <row r="377" spans="1:3" x14ac:dyDescent="0.25">
      <c r="A377" s="84">
        <v>46189</v>
      </c>
      <c r="B377" s="88" t="s">
        <v>82</v>
      </c>
      <c r="C377" s="88">
        <v>54.475099999999998</v>
      </c>
    </row>
    <row r="378" spans="1:3" x14ac:dyDescent="0.25">
      <c r="A378" s="84">
        <v>46189</v>
      </c>
      <c r="B378" s="88" t="s">
        <v>83</v>
      </c>
      <c r="C378" s="88">
        <v>54.559600000000003</v>
      </c>
    </row>
    <row r="379" spans="1:3" x14ac:dyDescent="0.25">
      <c r="A379" s="84">
        <v>46189</v>
      </c>
      <c r="B379" s="88" t="s">
        <v>84</v>
      </c>
      <c r="C379" s="88">
        <v>54.581699999999998</v>
      </c>
    </row>
    <row r="380" spans="1:3" x14ac:dyDescent="0.25">
      <c r="A380" s="84">
        <v>46189</v>
      </c>
      <c r="B380" s="88" t="s">
        <v>87</v>
      </c>
      <c r="C380" s="88">
        <v>50.518599999999999</v>
      </c>
    </row>
    <row r="381" spans="1:3" x14ac:dyDescent="0.25">
      <c r="A381" s="84">
        <v>46189</v>
      </c>
      <c r="B381" s="88" t="s">
        <v>86</v>
      </c>
      <c r="C381" s="88">
        <v>50.473100000000002</v>
      </c>
    </row>
    <row r="382" spans="1:3" x14ac:dyDescent="0.25">
      <c r="A382" s="84">
        <v>46189</v>
      </c>
      <c r="B382" s="88" t="s">
        <v>85</v>
      </c>
      <c r="C382" s="88">
        <v>50.456899999999997</v>
      </c>
    </row>
    <row r="383" spans="1:3" x14ac:dyDescent="0.25">
      <c r="A383" s="84">
        <v>46189</v>
      </c>
      <c r="B383" s="88" t="s">
        <v>72</v>
      </c>
      <c r="C383" s="88">
        <v>48.141599999999997</v>
      </c>
    </row>
    <row r="384" spans="1:3" x14ac:dyDescent="0.25">
      <c r="A384" s="84">
        <v>46189</v>
      </c>
      <c r="B384" s="88" t="s">
        <v>73</v>
      </c>
      <c r="C384" s="88">
        <v>48.018099999999997</v>
      </c>
    </row>
    <row r="385" spans="1:3" x14ac:dyDescent="0.25">
      <c r="A385" s="84">
        <v>46189</v>
      </c>
      <c r="B385" s="88" t="s">
        <v>74</v>
      </c>
      <c r="C385" s="88">
        <v>48.124899999999997</v>
      </c>
    </row>
    <row r="386" spans="1:3" x14ac:dyDescent="0.25">
      <c r="A386" s="84">
        <v>46189</v>
      </c>
      <c r="B386" s="88" t="s">
        <v>75</v>
      </c>
      <c r="C386" s="88">
        <v>50.1631</v>
      </c>
    </row>
    <row r="387" spans="1:3" x14ac:dyDescent="0.25">
      <c r="A387" s="84">
        <v>46189</v>
      </c>
      <c r="B387" s="88" t="s">
        <v>76</v>
      </c>
      <c r="C387" s="88">
        <v>49.898600000000002</v>
      </c>
    </row>
    <row r="388" spans="1:3" x14ac:dyDescent="0.25">
      <c r="A388" s="84">
        <v>46189</v>
      </c>
      <c r="B388" s="88" t="s">
        <v>77</v>
      </c>
      <c r="C388" s="88">
        <v>50.071599999999997</v>
      </c>
    </row>
    <row r="389" spans="1:3" x14ac:dyDescent="0.25">
      <c r="A389" s="84">
        <v>46190</v>
      </c>
      <c r="B389" s="88" t="s">
        <v>72</v>
      </c>
      <c r="C389" s="88">
        <v>48.140999999999998</v>
      </c>
    </row>
    <row r="390" spans="1:3" x14ac:dyDescent="0.25">
      <c r="A390" s="84">
        <v>46190</v>
      </c>
      <c r="B390" s="88" t="s">
        <v>73</v>
      </c>
      <c r="C390" s="88">
        <v>48.017699999999998</v>
      </c>
    </row>
    <row r="391" spans="1:3" x14ac:dyDescent="0.25">
      <c r="A391" s="84">
        <v>46190</v>
      </c>
      <c r="B391" s="88" t="s">
        <v>74</v>
      </c>
      <c r="C391" s="88">
        <v>48.124400000000001</v>
      </c>
    </row>
    <row r="392" spans="1:3" x14ac:dyDescent="0.25">
      <c r="B392" s="90"/>
      <c r="C392" s="91"/>
    </row>
    <row r="393" spans="1:3" x14ac:dyDescent="0.25">
      <c r="B393" s="90"/>
      <c r="C393" s="91"/>
    </row>
    <row r="394" spans="1:3" x14ac:dyDescent="0.25">
      <c r="B394" s="90"/>
      <c r="C394" s="91"/>
    </row>
    <row r="395" spans="1:3" x14ac:dyDescent="0.25">
      <c r="B395" s="90"/>
      <c r="C395" s="91"/>
    </row>
    <row r="396" spans="1:3" x14ac:dyDescent="0.25">
      <c r="B396" s="90"/>
      <c r="C396" s="91"/>
    </row>
    <row r="397" spans="1:3" x14ac:dyDescent="0.25">
      <c r="B397" s="90"/>
      <c r="C397" s="91"/>
    </row>
    <row r="398" spans="1:3" x14ac:dyDescent="0.25">
      <c r="B398" s="90"/>
      <c r="C398" s="91"/>
    </row>
    <row r="399" spans="1:3" x14ac:dyDescent="0.25">
      <c r="B399" s="90"/>
      <c r="C399" s="91"/>
    </row>
    <row r="400" spans="1:3" x14ac:dyDescent="0.25">
      <c r="B400" s="90"/>
      <c r="C400" s="91"/>
    </row>
    <row r="401" spans="2:3" x14ac:dyDescent="0.25">
      <c r="B401" s="90"/>
      <c r="C401" s="91"/>
    </row>
  </sheetData>
  <autoFilter ref="A1:C100" xr:uid="{7A50A2BD-4C26-4EA1-87EC-9323EEC801E4}">
    <sortState xmlns:xlrd2="http://schemas.microsoft.com/office/spreadsheetml/2017/richdata2" ref="A2:C100">
      <sortCondition ref="A1:A100"/>
    </sortState>
  </autoFilter>
  <sortState xmlns:xlrd2="http://schemas.microsoft.com/office/spreadsheetml/2017/richdata2" ref="A2:C402">
    <sortCondition ref="A1:A402"/>
  </sortState>
  <phoneticPr fontId="2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14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8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TZ-112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71" t="s">
        <v>58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42380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72">
        <v>42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42383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 t="s">
        <v>59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2159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2417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60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1">
        <v>42383</v>
      </c>
      <c r="C16" s="25">
        <v>12.891</v>
      </c>
      <c r="D16" s="26">
        <v>8.0239999999999991</v>
      </c>
      <c r="E16" s="26">
        <v>7.8259999999999996</v>
      </c>
      <c r="F16" s="47"/>
      <c r="G16" s="47"/>
      <c r="H16" s="47"/>
      <c r="I16" s="57">
        <v>116.01900000000001</v>
      </c>
      <c r="J16" s="58">
        <v>2421</v>
      </c>
      <c r="K16" s="18">
        <f t="shared" ref="K16" si="0">IF(ISBLANK(J16),"",(J16-$J$8))</f>
        <v>4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42384</v>
      </c>
      <c r="C17" s="74">
        <v>12.753</v>
      </c>
      <c r="D17" s="70">
        <v>8.0269999999999992</v>
      </c>
      <c r="E17" s="70">
        <v>7.76</v>
      </c>
      <c r="F17" s="47"/>
      <c r="G17" s="47"/>
      <c r="H17" s="47"/>
      <c r="I17" s="57">
        <v>116.01600000000001</v>
      </c>
      <c r="J17" s="58">
        <v>2426</v>
      </c>
      <c r="K17" s="18">
        <f t="shared" ref="K17:K18" si="3">IF(ISBLANK(J17),"",(J17-$J$8))</f>
        <v>9</v>
      </c>
      <c r="L17" s="69">
        <f>IF(ISBLANK(C17),"",(C17-C$17)*1000)</f>
        <v>0</v>
      </c>
      <c r="M17" s="69">
        <f>IF(ISBLANK(D17),"",(D17-D$17)*1000)</f>
        <v>0</v>
      </c>
      <c r="N17" s="69">
        <f>IF(ISBLANK(E17),"",(E17-E$17)*1000)</f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-3.0000000000001137</v>
      </c>
      <c r="S17" s="27"/>
      <c r="T17" s="28"/>
      <c r="U17" s="28"/>
      <c r="V17" s="28" t="str">
        <f t="shared" ref="S17:X32" si="4">IF(F17="","",((F17-F16)*1000)/($B17-$B16))</f>
        <v/>
      </c>
      <c r="W17" s="28" t="str">
        <f t="shared" si="4"/>
        <v/>
      </c>
      <c r="X17" s="29" t="str">
        <f t="shared" si="4"/>
        <v/>
      </c>
      <c r="Y17" s="24" t="s">
        <v>61</v>
      </c>
    </row>
    <row r="18" spans="2:25" ht="15" customHeight="1" x14ac:dyDescent="0.2">
      <c r="B18" s="31">
        <v>42387</v>
      </c>
      <c r="C18" s="25">
        <v>12.750999999999999</v>
      </c>
      <c r="D18" s="26">
        <v>8.0259999999999998</v>
      </c>
      <c r="E18" s="26">
        <v>7.7569999999999997</v>
      </c>
      <c r="F18" s="47"/>
      <c r="G18" s="47"/>
      <c r="H18" s="47"/>
      <c r="I18" s="57">
        <v>116.01</v>
      </c>
      <c r="J18" s="58">
        <v>2430</v>
      </c>
      <c r="K18" s="18">
        <f t="shared" si="3"/>
        <v>13</v>
      </c>
      <c r="L18" s="19">
        <f t="shared" ref="L18:L81" si="5">IF(ISBLANK(C18),"",(C18-C$17)*1000)</f>
        <v>-2.0000000000006679</v>
      </c>
      <c r="M18" s="19">
        <f t="shared" ref="M18:M81" si="6">IF(ISBLANK(D18),"",(D18-D$17)*1000)</f>
        <v>-0.99999999999944578</v>
      </c>
      <c r="N18" s="19">
        <f t="shared" ref="N18:N81" si="7">IF(ISBLANK(E18),"",(E18-E$17)*1000)</f>
        <v>-3.0000000000001137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-9.0000000000003411</v>
      </c>
      <c r="S18" s="27">
        <f t="shared" si="4"/>
        <v>-0.66666666666688934</v>
      </c>
      <c r="T18" s="28">
        <f t="shared" si="4"/>
        <v>-0.33333333333314857</v>
      </c>
      <c r="U18" s="28">
        <f t="shared" si="4"/>
        <v>-1.000000000000038</v>
      </c>
      <c r="V18" s="28" t="str">
        <f t="shared" si="4"/>
        <v/>
      </c>
      <c r="W18" s="28" t="str">
        <f t="shared" si="4"/>
        <v/>
      </c>
      <c r="X18" s="29" t="str">
        <f t="shared" si="4"/>
        <v/>
      </c>
      <c r="Y18" s="24"/>
    </row>
    <row r="19" spans="2:25" ht="15" customHeight="1" x14ac:dyDescent="0.2">
      <c r="B19" s="31">
        <v>42388</v>
      </c>
      <c r="C19" s="25">
        <v>12.750999999999999</v>
      </c>
      <c r="D19" s="26">
        <v>8.0250000000000004</v>
      </c>
      <c r="E19" s="26">
        <v>7.7569999999999997</v>
      </c>
      <c r="F19" s="47"/>
      <c r="G19" s="47"/>
      <c r="H19" s="47"/>
      <c r="I19" s="57">
        <v>116.009</v>
      </c>
      <c r="J19" s="58">
        <v>2435</v>
      </c>
      <c r="K19" s="18">
        <f t="shared" ref="K19" si="8">IF(ISBLANK(J19),"",(J19-$J$8))</f>
        <v>18</v>
      </c>
      <c r="L19" s="19">
        <f t="shared" si="5"/>
        <v>-2.0000000000006679</v>
      </c>
      <c r="M19" s="19">
        <f t="shared" si="6"/>
        <v>-1.9999999999988916</v>
      </c>
      <c r="N19" s="19">
        <f t="shared" si="7"/>
        <v>-3.0000000000001137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-10.000000000005116</v>
      </c>
      <c r="S19" s="27">
        <f t="shared" si="4"/>
        <v>0</v>
      </c>
      <c r="T19" s="28">
        <f t="shared" si="4"/>
        <v>-0.99999999999944578</v>
      </c>
      <c r="U19" s="28">
        <f t="shared" si="4"/>
        <v>0</v>
      </c>
      <c r="V19" s="28" t="str">
        <f t="shared" si="4"/>
        <v/>
      </c>
      <c r="W19" s="28" t="str">
        <f t="shared" si="4"/>
        <v/>
      </c>
      <c r="X19" s="29" t="str">
        <f t="shared" si="4"/>
        <v/>
      </c>
      <c r="Y19" s="24"/>
    </row>
    <row r="20" spans="2:25" ht="15" customHeight="1" x14ac:dyDescent="0.2">
      <c r="B20" s="31">
        <v>42389</v>
      </c>
      <c r="C20" s="25">
        <v>12.750999999999999</v>
      </c>
      <c r="D20" s="26">
        <v>8.0259999999999998</v>
      </c>
      <c r="E20" s="26">
        <v>7.7560000000000002</v>
      </c>
      <c r="F20" s="47"/>
      <c r="G20" s="47"/>
      <c r="H20" s="47"/>
      <c r="I20" s="57">
        <v>116.01</v>
      </c>
      <c r="J20" s="58">
        <v>2440</v>
      </c>
      <c r="K20" s="18">
        <f t="shared" ref="K20" si="9">IF(ISBLANK(J20),"",(J20-$J$8))</f>
        <v>23</v>
      </c>
      <c r="L20" s="19">
        <f t="shared" si="5"/>
        <v>-2.0000000000006679</v>
      </c>
      <c r="M20" s="19">
        <f t="shared" si="6"/>
        <v>-0.99999999999944578</v>
      </c>
      <c r="N20" s="19">
        <f t="shared" si="7"/>
        <v>-3.9999999999995595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-9.0000000000003411</v>
      </c>
      <c r="S20" s="27">
        <f t="shared" si="4"/>
        <v>0</v>
      </c>
      <c r="T20" s="28">
        <f t="shared" si="4"/>
        <v>0.99999999999944578</v>
      </c>
      <c r="U20" s="28">
        <f t="shared" si="4"/>
        <v>-0.99999999999944578</v>
      </c>
      <c r="V20" s="28" t="str">
        <f t="shared" si="4"/>
        <v/>
      </c>
      <c r="W20" s="28" t="str">
        <f t="shared" si="4"/>
        <v/>
      </c>
      <c r="X20" s="29" t="str">
        <f t="shared" si="4"/>
        <v/>
      </c>
      <c r="Y20" s="24"/>
    </row>
    <row r="21" spans="2:25" ht="15" customHeight="1" x14ac:dyDescent="0.2">
      <c r="B21" s="31">
        <v>42390</v>
      </c>
      <c r="C21" s="25">
        <v>12.750999999999999</v>
      </c>
      <c r="D21" s="26">
        <v>8.0269999999999992</v>
      </c>
      <c r="E21" s="26">
        <v>7.7569999999999997</v>
      </c>
      <c r="F21" s="47"/>
      <c r="G21" s="47"/>
      <c r="H21" s="47"/>
      <c r="I21" s="57">
        <v>116.01</v>
      </c>
      <c r="J21" s="58">
        <v>2443</v>
      </c>
      <c r="K21" s="18">
        <f t="shared" ref="K21" si="10">IF(ISBLANK(J21),"",(J21-$J$8))</f>
        <v>26</v>
      </c>
      <c r="L21" s="19">
        <f t="shared" si="5"/>
        <v>-2.0000000000006679</v>
      </c>
      <c r="M21" s="19">
        <f t="shared" si="6"/>
        <v>0</v>
      </c>
      <c r="N21" s="19">
        <f t="shared" si="7"/>
        <v>-3.0000000000001137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-9.0000000000003411</v>
      </c>
      <c r="S21" s="27">
        <f t="shared" si="4"/>
        <v>0</v>
      </c>
      <c r="T21" s="28">
        <f t="shared" si="4"/>
        <v>0.99999999999944578</v>
      </c>
      <c r="U21" s="28">
        <f t="shared" si="4"/>
        <v>0.99999999999944578</v>
      </c>
      <c r="V21" s="28" t="str">
        <f t="shared" si="4"/>
        <v/>
      </c>
      <c r="W21" s="28" t="str">
        <f t="shared" si="4"/>
        <v/>
      </c>
      <c r="X21" s="29" t="str">
        <f t="shared" si="4"/>
        <v/>
      </c>
      <c r="Y21" s="24"/>
    </row>
    <row r="22" spans="2:25" ht="15" customHeight="1" x14ac:dyDescent="0.2">
      <c r="B22" s="31">
        <v>42391</v>
      </c>
      <c r="C22" s="25">
        <v>12.749000000000001</v>
      </c>
      <c r="D22" s="26">
        <v>8.0239999999999991</v>
      </c>
      <c r="E22" s="26">
        <v>7.7549999999999999</v>
      </c>
      <c r="F22" s="47"/>
      <c r="G22" s="47"/>
      <c r="H22" s="47"/>
      <c r="I22" s="57">
        <v>116.008</v>
      </c>
      <c r="J22" s="58">
        <v>2447</v>
      </c>
      <c r="K22" s="18">
        <f t="shared" ref="K22" si="11">IF(ISBLANK(J22),"",(J22-$J$8))</f>
        <v>30</v>
      </c>
      <c r="L22" s="19">
        <f t="shared" si="5"/>
        <v>-3.9999999999995595</v>
      </c>
      <c r="M22" s="19">
        <f t="shared" si="6"/>
        <v>-3.0000000000001137</v>
      </c>
      <c r="N22" s="19">
        <f t="shared" si="7"/>
        <v>-4.9999999999998934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-11.000000000009891</v>
      </c>
      <c r="S22" s="27">
        <f t="shared" si="4"/>
        <v>-1.9999999999988916</v>
      </c>
      <c r="T22" s="28">
        <f t="shared" si="4"/>
        <v>-3.0000000000001137</v>
      </c>
      <c r="U22" s="28">
        <f t="shared" si="4"/>
        <v>-1.9999999999997797</v>
      </c>
      <c r="V22" s="28" t="str">
        <f t="shared" si="4"/>
        <v/>
      </c>
      <c r="W22" s="28" t="str">
        <f t="shared" si="4"/>
        <v/>
      </c>
      <c r="X22" s="29" t="str">
        <f t="shared" si="4"/>
        <v/>
      </c>
      <c r="Y22" s="24"/>
    </row>
    <row r="23" spans="2:25" ht="15" customHeight="1" x14ac:dyDescent="0.2">
      <c r="B23" s="31">
        <v>42394</v>
      </c>
      <c r="C23" s="25">
        <v>12.749000000000001</v>
      </c>
      <c r="D23" s="26">
        <v>8.0239999999999991</v>
      </c>
      <c r="E23" s="26">
        <v>7.7539999999999996</v>
      </c>
      <c r="F23" s="47"/>
      <c r="G23" s="47"/>
      <c r="H23" s="47"/>
      <c r="I23" s="57">
        <v>116.009</v>
      </c>
      <c r="J23" s="58">
        <v>2451</v>
      </c>
      <c r="K23" s="18">
        <f t="shared" ref="K23" si="12">IF(ISBLANK(J23),"",(J23-$J$8))</f>
        <v>34</v>
      </c>
      <c r="L23" s="19">
        <f t="shared" si="5"/>
        <v>-3.9999999999995595</v>
      </c>
      <c r="M23" s="19">
        <f t="shared" si="6"/>
        <v>-3.0000000000001137</v>
      </c>
      <c r="N23" s="19">
        <f t="shared" si="7"/>
        <v>-6.0000000000002274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-10.000000000005116</v>
      </c>
      <c r="S23" s="27">
        <f t="shared" si="4"/>
        <v>0</v>
      </c>
      <c r="T23" s="28">
        <f t="shared" si="4"/>
        <v>0</v>
      </c>
      <c r="U23" s="28">
        <f t="shared" si="4"/>
        <v>-0.33333333333344467</v>
      </c>
      <c r="V23" s="28" t="str">
        <f t="shared" si="4"/>
        <v/>
      </c>
      <c r="W23" s="28" t="str">
        <f t="shared" si="4"/>
        <v/>
      </c>
      <c r="X23" s="29" t="str">
        <f t="shared" si="4"/>
        <v/>
      </c>
      <c r="Y23" s="24"/>
    </row>
    <row r="24" spans="2:25" ht="15" customHeight="1" x14ac:dyDescent="0.2">
      <c r="B24" s="31">
        <v>42395</v>
      </c>
      <c r="C24" s="25">
        <v>12.75</v>
      </c>
      <c r="D24" s="26">
        <v>8.0239999999999991</v>
      </c>
      <c r="E24" s="26">
        <v>7.7549999999999999</v>
      </c>
      <c r="F24" s="47"/>
      <c r="G24" s="47"/>
      <c r="H24" s="47"/>
      <c r="I24" s="57">
        <v>116.009</v>
      </c>
      <c r="J24" s="58">
        <v>2455</v>
      </c>
      <c r="K24" s="18">
        <f t="shared" ref="K24" si="13">IF(ISBLANK(J24),"",(J24-$J$8))</f>
        <v>38</v>
      </c>
      <c r="L24" s="19">
        <f t="shared" si="5"/>
        <v>-3.0000000000001137</v>
      </c>
      <c r="M24" s="19">
        <f t="shared" si="6"/>
        <v>-3.0000000000001137</v>
      </c>
      <c r="N24" s="19">
        <f t="shared" si="7"/>
        <v>-4.9999999999998934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-10.000000000005116</v>
      </c>
      <c r="S24" s="27">
        <f t="shared" si="4"/>
        <v>0.99999999999944578</v>
      </c>
      <c r="T24" s="28">
        <f t="shared" si="4"/>
        <v>0</v>
      </c>
      <c r="U24" s="28">
        <f t="shared" si="4"/>
        <v>1.000000000000334</v>
      </c>
      <c r="V24" s="28" t="str">
        <f t="shared" si="4"/>
        <v/>
      </c>
      <c r="W24" s="28" t="str">
        <f t="shared" si="4"/>
        <v/>
      </c>
      <c r="X24" s="29" t="str">
        <f t="shared" si="4"/>
        <v/>
      </c>
      <c r="Y24" s="24"/>
    </row>
    <row r="25" spans="2:25" ht="15" customHeight="1" x14ac:dyDescent="0.2">
      <c r="B25" s="31">
        <v>42396</v>
      </c>
      <c r="C25" s="25">
        <v>12.749000000000001</v>
      </c>
      <c r="D25" s="26">
        <v>8.0250000000000004</v>
      </c>
      <c r="E25" s="26">
        <v>7.7549999999999999</v>
      </c>
      <c r="F25" s="47"/>
      <c r="G25" s="47"/>
      <c r="H25" s="47"/>
      <c r="I25" s="57">
        <v>116.01</v>
      </c>
      <c r="J25" s="58">
        <v>2460</v>
      </c>
      <c r="K25" s="18">
        <f t="shared" ref="K25" si="14">IF(ISBLANK(J25),"",(J25-$J$8))</f>
        <v>43</v>
      </c>
      <c r="L25" s="19">
        <f t="shared" si="5"/>
        <v>-3.9999999999995595</v>
      </c>
      <c r="M25" s="19">
        <f t="shared" si="6"/>
        <v>-1.9999999999988916</v>
      </c>
      <c r="N25" s="19">
        <f t="shared" si="7"/>
        <v>-4.9999999999998934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-9.0000000000003411</v>
      </c>
      <c r="S25" s="27">
        <f t="shared" si="4"/>
        <v>-0.99999999999944578</v>
      </c>
      <c r="T25" s="28">
        <f t="shared" si="4"/>
        <v>1.0000000000012221</v>
      </c>
      <c r="U25" s="28">
        <f t="shared" si="4"/>
        <v>0</v>
      </c>
      <c r="V25" s="28" t="str">
        <f t="shared" si="4"/>
        <v/>
      </c>
      <c r="W25" s="28" t="str">
        <f t="shared" si="4"/>
        <v/>
      </c>
      <c r="X25" s="29" t="str">
        <f t="shared" si="4"/>
        <v/>
      </c>
      <c r="Y25" s="24"/>
    </row>
    <row r="26" spans="2:25" ht="15" customHeight="1" x14ac:dyDescent="0.2">
      <c r="B26" s="31">
        <v>42397</v>
      </c>
      <c r="C26" s="25">
        <v>12.749000000000001</v>
      </c>
      <c r="D26" s="26">
        <v>8.0250000000000004</v>
      </c>
      <c r="E26" s="26">
        <v>7.7549999999999999</v>
      </c>
      <c r="F26" s="47"/>
      <c r="G26" s="47"/>
      <c r="H26" s="47"/>
      <c r="I26" s="57">
        <v>116.01</v>
      </c>
      <c r="J26" s="58">
        <v>2462</v>
      </c>
      <c r="K26" s="18">
        <f t="shared" ref="K26" si="15">IF(ISBLANK(J26),"",(J26-$J$8))</f>
        <v>45</v>
      </c>
      <c r="L26" s="19">
        <f t="shared" si="5"/>
        <v>-3.9999999999995595</v>
      </c>
      <c r="M26" s="19">
        <f t="shared" si="6"/>
        <v>-1.9999999999988916</v>
      </c>
      <c r="N26" s="19">
        <f t="shared" si="7"/>
        <v>-4.9999999999998934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-9.0000000000003411</v>
      </c>
      <c r="S26" s="27">
        <f t="shared" si="4"/>
        <v>0</v>
      </c>
      <c r="T26" s="28">
        <f t="shared" si="4"/>
        <v>0</v>
      </c>
      <c r="U26" s="28">
        <f t="shared" si="4"/>
        <v>0</v>
      </c>
      <c r="V26" s="28" t="str">
        <f t="shared" si="4"/>
        <v/>
      </c>
      <c r="W26" s="28" t="str">
        <f t="shared" si="4"/>
        <v/>
      </c>
      <c r="X26" s="29" t="str">
        <f t="shared" si="4"/>
        <v/>
      </c>
      <c r="Y26" s="24"/>
    </row>
    <row r="27" spans="2:25" ht="15" customHeight="1" x14ac:dyDescent="0.2">
      <c r="B27" s="31">
        <v>42398</v>
      </c>
      <c r="C27" s="25">
        <v>12.749000000000001</v>
      </c>
      <c r="D27" s="26">
        <v>8.0259999999999998</v>
      </c>
      <c r="E27" s="26">
        <v>7.7560000000000002</v>
      </c>
      <c r="F27" s="47"/>
      <c r="G27" s="47"/>
      <c r="H27" s="47"/>
      <c r="I27" s="57">
        <v>116.01</v>
      </c>
      <c r="J27" s="32">
        <v>2466</v>
      </c>
      <c r="K27" s="18">
        <f t="shared" ref="K27" si="16">IF(ISBLANK(J27),"",(J27-$J$8))</f>
        <v>49</v>
      </c>
      <c r="L27" s="19">
        <f t="shared" si="5"/>
        <v>-3.9999999999995595</v>
      </c>
      <c r="M27" s="19">
        <f t="shared" si="6"/>
        <v>-0.99999999999944578</v>
      </c>
      <c r="N27" s="19">
        <f t="shared" si="7"/>
        <v>-3.9999999999995595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-9.0000000000003411</v>
      </c>
      <c r="S27" s="27">
        <f t="shared" si="4"/>
        <v>0</v>
      </c>
      <c r="T27" s="28">
        <f t="shared" si="4"/>
        <v>0.99999999999944578</v>
      </c>
      <c r="U27" s="28">
        <f t="shared" si="4"/>
        <v>1.000000000000334</v>
      </c>
      <c r="V27" s="28" t="str">
        <f t="shared" si="4"/>
        <v/>
      </c>
      <c r="W27" s="28" t="str">
        <f t="shared" si="4"/>
        <v/>
      </c>
      <c r="X27" s="29" t="str">
        <f t="shared" si="4"/>
        <v/>
      </c>
      <c r="Y27" s="24"/>
    </row>
    <row r="28" spans="2:25" ht="15" customHeight="1" x14ac:dyDescent="0.2">
      <c r="B28" s="31">
        <v>42401</v>
      </c>
      <c r="C28" s="25">
        <v>12.749000000000001</v>
      </c>
      <c r="D28" s="26">
        <v>8.0250000000000004</v>
      </c>
      <c r="E28" s="26">
        <v>7.7569999999999997</v>
      </c>
      <c r="F28" s="47"/>
      <c r="G28" s="47"/>
      <c r="H28" s="47"/>
      <c r="I28" s="57">
        <v>116.01</v>
      </c>
      <c r="J28" s="58">
        <v>2471</v>
      </c>
      <c r="K28" s="18">
        <f t="shared" ref="K28" si="17">IF(ISBLANK(J28),"",(J28-$J$8))</f>
        <v>54</v>
      </c>
      <c r="L28" s="19">
        <f t="shared" si="5"/>
        <v>-3.9999999999995595</v>
      </c>
      <c r="M28" s="19">
        <f t="shared" si="6"/>
        <v>-1.9999999999988916</v>
      </c>
      <c r="N28" s="19">
        <f t="shared" si="7"/>
        <v>-3.0000000000001137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-9.0000000000003411</v>
      </c>
      <c r="S28" s="27">
        <f t="shared" si="4"/>
        <v>0</v>
      </c>
      <c r="T28" s="28">
        <f t="shared" si="4"/>
        <v>-0.33333333333314857</v>
      </c>
      <c r="U28" s="28">
        <f t="shared" si="4"/>
        <v>0.33333333333314857</v>
      </c>
      <c r="V28" s="28" t="str">
        <f t="shared" si="4"/>
        <v/>
      </c>
      <c r="W28" s="28" t="str">
        <f t="shared" si="4"/>
        <v/>
      </c>
      <c r="X28" s="29" t="str">
        <f t="shared" si="4"/>
        <v/>
      </c>
      <c r="Y28" s="24"/>
    </row>
    <row r="29" spans="2:25" ht="15" customHeight="1" x14ac:dyDescent="0.2">
      <c r="B29" s="31">
        <v>42402</v>
      </c>
      <c r="C29" s="25">
        <v>12.75</v>
      </c>
      <c r="D29" s="26">
        <v>8.0259999999999998</v>
      </c>
      <c r="E29" s="26">
        <v>7.7560000000000002</v>
      </c>
      <c r="F29" s="47"/>
      <c r="G29" s="47"/>
      <c r="H29" s="47"/>
      <c r="I29" s="57">
        <v>116.008</v>
      </c>
      <c r="J29" s="58">
        <v>2474</v>
      </c>
      <c r="K29" s="18">
        <f t="shared" ref="K29:K30" si="18">IF(ISBLANK(J29),"",(J29-$J$8))</f>
        <v>57</v>
      </c>
      <c r="L29" s="19">
        <f t="shared" si="5"/>
        <v>-3.0000000000001137</v>
      </c>
      <c r="M29" s="19">
        <f t="shared" si="6"/>
        <v>-0.99999999999944578</v>
      </c>
      <c r="N29" s="19">
        <f t="shared" si="7"/>
        <v>-3.9999999999995595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-11.000000000009891</v>
      </c>
      <c r="S29" s="27">
        <f t="shared" si="4"/>
        <v>0.99999999999944578</v>
      </c>
      <c r="T29" s="28">
        <f t="shared" si="4"/>
        <v>0.99999999999944578</v>
      </c>
      <c r="U29" s="28">
        <f t="shared" si="4"/>
        <v>-0.99999999999944578</v>
      </c>
      <c r="V29" s="28" t="str">
        <f t="shared" si="4"/>
        <v/>
      </c>
      <c r="W29" s="28" t="str">
        <f t="shared" si="4"/>
        <v/>
      </c>
      <c r="X29" s="29" t="str">
        <f t="shared" si="4"/>
        <v/>
      </c>
      <c r="Y29" s="24"/>
    </row>
    <row r="30" spans="2:25" ht="15" customHeight="1" x14ac:dyDescent="0.2">
      <c r="B30" s="31">
        <v>42409</v>
      </c>
      <c r="C30" s="25">
        <v>12.749000000000001</v>
      </c>
      <c r="D30" s="26">
        <v>8.0239999999999991</v>
      </c>
      <c r="E30" s="26">
        <v>7.7539999999999996</v>
      </c>
      <c r="F30" s="47"/>
      <c r="G30" s="47"/>
      <c r="H30" s="47"/>
      <c r="I30" s="57">
        <v>116.00700000000001</v>
      </c>
      <c r="J30" s="58">
        <v>2496</v>
      </c>
      <c r="K30" s="18">
        <f t="shared" si="18"/>
        <v>79</v>
      </c>
      <c r="L30" s="19">
        <f t="shared" si="5"/>
        <v>-3.9999999999995595</v>
      </c>
      <c r="M30" s="19">
        <f t="shared" si="6"/>
        <v>-3.0000000000001137</v>
      </c>
      <c r="N30" s="19">
        <f t="shared" si="7"/>
        <v>-6.0000000000002274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-12.000000000000455</v>
      </c>
      <c r="S30" s="27">
        <f t="shared" si="4"/>
        <v>-0.14285714285706369</v>
      </c>
      <c r="T30" s="28">
        <f t="shared" si="4"/>
        <v>-0.28571428571438112</v>
      </c>
      <c r="U30" s="28">
        <f t="shared" si="4"/>
        <v>-0.28571428571438112</v>
      </c>
      <c r="V30" s="28" t="str">
        <f t="shared" si="4"/>
        <v/>
      </c>
      <c r="W30" s="28" t="str">
        <f t="shared" si="4"/>
        <v/>
      </c>
      <c r="X30" s="29" t="str">
        <f t="shared" si="4"/>
        <v/>
      </c>
      <c r="Y30" s="24"/>
    </row>
    <row r="31" spans="2:25" ht="15" customHeight="1" x14ac:dyDescent="0.2">
      <c r="B31" s="31">
        <v>42416</v>
      </c>
      <c r="C31" s="25">
        <v>12.75</v>
      </c>
      <c r="D31" s="26">
        <v>8.0229999999999997</v>
      </c>
      <c r="E31" s="26">
        <v>7.7560000000000002</v>
      </c>
      <c r="F31" s="47"/>
      <c r="G31" s="47"/>
      <c r="H31" s="47"/>
      <c r="I31" s="57">
        <v>116.00700000000001</v>
      </c>
      <c r="J31" s="58">
        <v>2519</v>
      </c>
      <c r="K31" s="18">
        <f t="shared" ref="K31:K33" si="19">IF(ISBLANK(J31),"",(J31-$J$8))</f>
        <v>102</v>
      </c>
      <c r="L31" s="19">
        <f t="shared" si="5"/>
        <v>-3.0000000000001137</v>
      </c>
      <c r="M31" s="19">
        <f t="shared" si="6"/>
        <v>-3.9999999999995595</v>
      </c>
      <c r="N31" s="19">
        <f t="shared" si="7"/>
        <v>-3.9999999999995595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-12.000000000000455</v>
      </c>
      <c r="S31" s="27">
        <f t="shared" si="4"/>
        <v>0.14285714285706369</v>
      </c>
      <c r="T31" s="28">
        <f t="shared" si="4"/>
        <v>-0.14285714285706369</v>
      </c>
      <c r="U31" s="28">
        <f t="shared" si="4"/>
        <v>0.28571428571438112</v>
      </c>
      <c r="V31" s="28" t="str">
        <f t="shared" si="4"/>
        <v/>
      </c>
      <c r="W31" s="28" t="str">
        <f t="shared" si="4"/>
        <v/>
      </c>
      <c r="X31" s="29" t="str">
        <f t="shared" si="4"/>
        <v/>
      </c>
      <c r="Y31" s="24"/>
    </row>
    <row r="32" spans="2:25" ht="15" customHeight="1" x14ac:dyDescent="0.2">
      <c r="B32" s="31">
        <v>42430</v>
      </c>
      <c r="C32" s="25">
        <v>12.749000000000001</v>
      </c>
      <c r="D32" s="26">
        <v>8.0229999999999997</v>
      </c>
      <c r="E32" s="26">
        <v>7.7549999999999999</v>
      </c>
      <c r="F32" s="47"/>
      <c r="G32" s="47"/>
      <c r="H32" s="47"/>
      <c r="I32" s="57">
        <v>116.00700000000001</v>
      </c>
      <c r="J32" s="58">
        <v>2540.5</v>
      </c>
      <c r="K32" s="18">
        <f t="shared" si="19"/>
        <v>123.5</v>
      </c>
      <c r="L32" s="19">
        <f t="shared" si="5"/>
        <v>-3.9999999999995595</v>
      </c>
      <c r="M32" s="19">
        <f t="shared" si="6"/>
        <v>-3.9999999999995595</v>
      </c>
      <c r="N32" s="19">
        <f t="shared" si="7"/>
        <v>-4.9999999999998934</v>
      </c>
      <c r="O32" s="19" t="str">
        <f t="shared" ref="O32:R67" si="20">IF(ISBLANK(F32),"",(F32-F$16)*1000)</f>
        <v/>
      </c>
      <c r="P32" s="19" t="str">
        <f t="shared" si="20"/>
        <v/>
      </c>
      <c r="Q32" s="19" t="str">
        <f t="shared" si="20"/>
        <v/>
      </c>
      <c r="R32" s="19">
        <f t="shared" si="20"/>
        <v>-12.000000000000455</v>
      </c>
      <c r="S32" s="27">
        <f t="shared" si="4"/>
        <v>-7.1428571428531845E-2</v>
      </c>
      <c r="T32" s="28">
        <f t="shared" si="4"/>
        <v>0</v>
      </c>
      <c r="U32" s="28">
        <f t="shared" si="4"/>
        <v>-7.1428571428595281E-2</v>
      </c>
      <c r="V32" s="28" t="str">
        <f t="shared" si="4"/>
        <v/>
      </c>
      <c r="W32" s="28" t="str">
        <f t="shared" si="4"/>
        <v/>
      </c>
      <c r="X32" s="29" t="str">
        <f t="shared" si="4"/>
        <v/>
      </c>
      <c r="Y32" s="24"/>
    </row>
    <row r="33" spans="2:25" ht="15" customHeight="1" x14ac:dyDescent="0.2">
      <c r="B33" s="31">
        <v>42502</v>
      </c>
      <c r="C33" s="73">
        <v>12.749000000000001</v>
      </c>
      <c r="D33" s="71">
        <v>8.0229999999999997</v>
      </c>
      <c r="E33" s="71">
        <v>7.7549999999999999</v>
      </c>
      <c r="F33" s="47"/>
      <c r="G33" s="47"/>
      <c r="H33" s="47"/>
      <c r="I33" s="57">
        <v>116.004</v>
      </c>
      <c r="J33" s="58">
        <v>2429</v>
      </c>
      <c r="K33" s="18">
        <f t="shared" si="19"/>
        <v>12</v>
      </c>
      <c r="L33" s="19">
        <f t="shared" si="5"/>
        <v>-3.9999999999995595</v>
      </c>
      <c r="M33" s="19">
        <f t="shared" si="6"/>
        <v>-3.9999999999995595</v>
      </c>
      <c r="N33" s="19">
        <f t="shared" si="7"/>
        <v>-4.9999999999998934</v>
      </c>
      <c r="O33" s="19" t="str">
        <f t="shared" si="20"/>
        <v/>
      </c>
      <c r="P33" s="19" t="str">
        <f t="shared" si="20"/>
        <v/>
      </c>
      <c r="Q33" s="19" t="str">
        <f t="shared" si="20"/>
        <v/>
      </c>
      <c r="R33" s="19">
        <f t="shared" si="20"/>
        <v>-15.000000000000568</v>
      </c>
      <c r="S33" s="27">
        <f t="shared" ref="S33:X48" si="21">IF(C33="","",((C33-C32)*1000)/($B33-$B32))</f>
        <v>0</v>
      </c>
      <c r="T33" s="28">
        <f t="shared" si="21"/>
        <v>0</v>
      </c>
      <c r="U33" s="28">
        <f t="shared" si="21"/>
        <v>0</v>
      </c>
      <c r="V33" s="28" t="str">
        <f t="shared" si="21"/>
        <v/>
      </c>
      <c r="W33" s="28" t="str">
        <f t="shared" si="21"/>
        <v/>
      </c>
      <c r="X33" s="29" t="str">
        <f t="shared" si="21"/>
        <v/>
      </c>
      <c r="Y33" s="24"/>
    </row>
    <row r="34" spans="2:25" ht="15" customHeight="1" x14ac:dyDescent="0.2">
      <c r="B34" s="31">
        <v>42503</v>
      </c>
      <c r="C34" s="73">
        <v>12.749000000000001</v>
      </c>
      <c r="D34" s="71">
        <v>8.0229999999999997</v>
      </c>
      <c r="E34" s="26">
        <v>7.7530000000000001</v>
      </c>
      <c r="F34" s="47">
        <v>12.86</v>
      </c>
      <c r="G34" s="47">
        <v>10.553000000000001</v>
      </c>
      <c r="H34" s="47">
        <v>10.352</v>
      </c>
      <c r="I34" s="57">
        <v>115.997</v>
      </c>
      <c r="J34" s="58">
        <v>2439</v>
      </c>
      <c r="K34" s="18">
        <f t="shared" ref="K34:K35" si="22">IF(ISBLANK(J34),"",(J34-$J$8))</f>
        <v>22</v>
      </c>
      <c r="L34" s="19">
        <f t="shared" si="5"/>
        <v>-3.9999999999995595</v>
      </c>
      <c r="M34" s="19">
        <f t="shared" si="6"/>
        <v>-3.9999999999995595</v>
      </c>
      <c r="N34" s="19">
        <f t="shared" si="7"/>
        <v>-6.9999999999996732</v>
      </c>
      <c r="O34" s="19">
        <f>IF(ISBLANK(F34),"",((F34-F$34)*1000)+L$34)</f>
        <v>-3.9999999999995595</v>
      </c>
      <c r="P34" s="19">
        <f>IF(ISBLANK(G34),"",((G34-G$34)*1000)+M$34)</f>
        <v>-3.9999999999995595</v>
      </c>
      <c r="Q34" s="19">
        <f>IF(ISBLANK(H34),"",((H34-H$34)*1000)+N$34)</f>
        <v>-6.9999999999996732</v>
      </c>
      <c r="R34" s="19">
        <f t="shared" si="20"/>
        <v>-22.000000000005571</v>
      </c>
      <c r="S34" s="27">
        <f t="shared" si="21"/>
        <v>0</v>
      </c>
      <c r="T34" s="28">
        <f t="shared" si="21"/>
        <v>0</v>
      </c>
      <c r="U34" s="28">
        <f t="shared" si="21"/>
        <v>-1.9999999999997797</v>
      </c>
      <c r="V34" s="28"/>
      <c r="W34" s="28"/>
      <c r="X34" s="29"/>
      <c r="Y34" s="24"/>
    </row>
    <row r="35" spans="2:25" ht="15" customHeight="1" x14ac:dyDescent="0.2">
      <c r="B35" s="31">
        <v>42506</v>
      </c>
      <c r="C35" s="25">
        <v>12.728</v>
      </c>
      <c r="D35" s="26">
        <v>8.0169999999999995</v>
      </c>
      <c r="E35" s="26">
        <v>7.75</v>
      </c>
      <c r="F35" s="47">
        <v>12.858000000000001</v>
      </c>
      <c r="G35" s="47">
        <v>10.551</v>
      </c>
      <c r="H35" s="47">
        <v>10.351000000000001</v>
      </c>
      <c r="I35" s="57">
        <v>115.997</v>
      </c>
      <c r="J35" s="58">
        <v>2450</v>
      </c>
      <c r="K35" s="18">
        <f t="shared" si="22"/>
        <v>33</v>
      </c>
      <c r="L35" s="19">
        <f t="shared" si="5"/>
        <v>-25.000000000000355</v>
      </c>
      <c r="M35" s="19">
        <f t="shared" si="6"/>
        <v>-9.9999999999997868</v>
      </c>
      <c r="N35" s="19">
        <f t="shared" si="7"/>
        <v>-9.9999999999997868</v>
      </c>
      <c r="O35" s="19">
        <f t="shared" ref="O35:O98" si="23">IF(ISBLANK(F35),"",((F35-F$34)*1000)+L$34)</f>
        <v>-5.999999999998451</v>
      </c>
      <c r="P35" s="19">
        <f t="shared" ref="P35:P98" si="24">IF(ISBLANK(G35),"",((G35-G$34)*1000)+M$34)</f>
        <v>-6.0000000000002274</v>
      </c>
      <c r="Q35" s="19">
        <f t="shared" ref="Q35:Q98" si="25">IF(ISBLANK(H35),"",((H35-H$34)*1000)+N$34)</f>
        <v>-7.9999999999991189</v>
      </c>
      <c r="R35" s="19">
        <f t="shared" si="20"/>
        <v>-22.000000000005571</v>
      </c>
      <c r="S35" s="27">
        <f t="shared" si="21"/>
        <v>-7.0000000000002656</v>
      </c>
      <c r="T35" s="28">
        <f t="shared" si="21"/>
        <v>-2.0000000000000759</v>
      </c>
      <c r="U35" s="28">
        <f t="shared" si="21"/>
        <v>-1.000000000000038</v>
      </c>
      <c r="V35" s="28">
        <f t="shared" si="21"/>
        <v>-0.66666666666629715</v>
      </c>
      <c r="W35" s="28">
        <f t="shared" si="21"/>
        <v>-0.66666666666688934</v>
      </c>
      <c r="X35" s="29">
        <f t="shared" si="21"/>
        <v>-0.33333333333314857</v>
      </c>
      <c r="Y35" s="24"/>
    </row>
    <row r="36" spans="2:25" ht="15" customHeight="1" x14ac:dyDescent="0.2">
      <c r="B36" s="31">
        <v>42507</v>
      </c>
      <c r="C36" s="25">
        <v>12.728999999999999</v>
      </c>
      <c r="D36" s="26">
        <v>8.0169999999999995</v>
      </c>
      <c r="E36" s="26">
        <v>7.75</v>
      </c>
      <c r="F36" s="47">
        <v>12.859</v>
      </c>
      <c r="G36" s="47">
        <v>10.551</v>
      </c>
      <c r="H36" s="47">
        <v>10.351000000000001</v>
      </c>
      <c r="I36" s="57">
        <v>115.999</v>
      </c>
      <c r="J36" s="58">
        <v>2459</v>
      </c>
      <c r="K36" s="18">
        <f t="shared" ref="K36" si="26">IF(ISBLANK(J36),"",(J36-$J$8))</f>
        <v>42</v>
      </c>
      <c r="L36" s="19">
        <f t="shared" si="5"/>
        <v>-24.000000000000909</v>
      </c>
      <c r="M36" s="19">
        <f t="shared" si="6"/>
        <v>-9.9999999999997868</v>
      </c>
      <c r="N36" s="19">
        <f t="shared" si="7"/>
        <v>-9.9999999999997868</v>
      </c>
      <c r="O36" s="19">
        <f t="shared" si="23"/>
        <v>-4.9999999999990052</v>
      </c>
      <c r="P36" s="19">
        <f t="shared" si="24"/>
        <v>-6.0000000000002274</v>
      </c>
      <c r="Q36" s="19">
        <f t="shared" si="25"/>
        <v>-7.9999999999991189</v>
      </c>
      <c r="R36" s="19">
        <f t="shared" si="20"/>
        <v>-20.000000000010232</v>
      </c>
      <c r="S36" s="27">
        <f t="shared" si="21"/>
        <v>0.99999999999944578</v>
      </c>
      <c r="T36" s="28">
        <f t="shared" si="21"/>
        <v>0</v>
      </c>
      <c r="U36" s="28">
        <f t="shared" si="21"/>
        <v>0</v>
      </c>
      <c r="V36" s="28">
        <f t="shared" si="21"/>
        <v>0.99999999999944578</v>
      </c>
      <c r="W36" s="28">
        <f t="shared" si="21"/>
        <v>0</v>
      </c>
      <c r="X36" s="29">
        <f t="shared" si="21"/>
        <v>0</v>
      </c>
      <c r="Y36" s="24"/>
    </row>
    <row r="37" spans="2:25" ht="15" customHeight="1" x14ac:dyDescent="0.2">
      <c r="B37" s="31">
        <v>42508</v>
      </c>
      <c r="C37" s="25">
        <v>12.728</v>
      </c>
      <c r="D37" s="26">
        <v>8.016</v>
      </c>
      <c r="E37" s="26">
        <v>7.7519999999999998</v>
      </c>
      <c r="F37" s="47">
        <v>12.859</v>
      </c>
      <c r="G37" s="47">
        <v>10.552</v>
      </c>
      <c r="H37" s="47">
        <v>10.351000000000001</v>
      </c>
      <c r="I37" s="57">
        <v>116</v>
      </c>
      <c r="J37" s="58">
        <v>2467</v>
      </c>
      <c r="K37" s="18">
        <f t="shared" ref="K37" si="27">IF(ISBLANK(J37),"",(J37-$J$8))</f>
        <v>50</v>
      </c>
      <c r="L37" s="19">
        <f t="shared" si="5"/>
        <v>-25.000000000000355</v>
      </c>
      <c r="M37" s="19">
        <f t="shared" si="6"/>
        <v>-10.999999999999233</v>
      </c>
      <c r="N37" s="19">
        <f t="shared" si="7"/>
        <v>-8.0000000000000071</v>
      </c>
      <c r="O37" s="19">
        <f t="shared" si="23"/>
        <v>-4.9999999999990052</v>
      </c>
      <c r="P37" s="19">
        <f t="shared" si="24"/>
        <v>-5.0000000000007816</v>
      </c>
      <c r="Q37" s="19">
        <f t="shared" si="25"/>
        <v>-7.9999999999991189</v>
      </c>
      <c r="R37" s="19">
        <f t="shared" si="20"/>
        <v>-19.000000000005457</v>
      </c>
      <c r="S37" s="27">
        <f t="shared" si="21"/>
        <v>-0.99999999999944578</v>
      </c>
      <c r="T37" s="28">
        <f t="shared" si="21"/>
        <v>-0.99999999999944578</v>
      </c>
      <c r="U37" s="28">
        <f t="shared" si="21"/>
        <v>1.9999999999997797</v>
      </c>
      <c r="V37" s="28">
        <f t="shared" si="21"/>
        <v>0</v>
      </c>
      <c r="W37" s="28">
        <f t="shared" si="21"/>
        <v>0.99999999999944578</v>
      </c>
      <c r="X37" s="29">
        <f t="shared" si="21"/>
        <v>0</v>
      </c>
      <c r="Y37" s="24"/>
    </row>
    <row r="38" spans="2:25" ht="15" customHeight="1" x14ac:dyDescent="0.2">
      <c r="B38" s="31">
        <v>42509</v>
      </c>
      <c r="C38" s="25">
        <v>12.728</v>
      </c>
      <c r="D38" s="26">
        <v>8.016</v>
      </c>
      <c r="E38" s="26">
        <v>7.7519999999999998</v>
      </c>
      <c r="F38" s="47">
        <v>12.859</v>
      </c>
      <c r="G38" s="47">
        <v>10.552</v>
      </c>
      <c r="H38" s="47">
        <v>10.351000000000001</v>
      </c>
      <c r="I38" s="57">
        <v>116</v>
      </c>
      <c r="J38" s="58">
        <v>2479</v>
      </c>
      <c r="K38" s="18">
        <f t="shared" ref="K38:K42" si="28">IF(ISBLANK(J38),"",(J38-$J$8))</f>
        <v>62</v>
      </c>
      <c r="L38" s="19">
        <f t="shared" si="5"/>
        <v>-25.000000000000355</v>
      </c>
      <c r="M38" s="19">
        <f t="shared" si="6"/>
        <v>-10.999999999999233</v>
      </c>
      <c r="N38" s="19">
        <f t="shared" si="7"/>
        <v>-8.0000000000000071</v>
      </c>
      <c r="O38" s="19">
        <f t="shared" si="23"/>
        <v>-4.9999999999990052</v>
      </c>
      <c r="P38" s="19">
        <f t="shared" si="24"/>
        <v>-5.0000000000007816</v>
      </c>
      <c r="Q38" s="19">
        <f t="shared" si="25"/>
        <v>-7.9999999999991189</v>
      </c>
      <c r="R38" s="19">
        <f t="shared" si="20"/>
        <v>-19.000000000005457</v>
      </c>
      <c r="S38" s="27">
        <f t="shared" si="21"/>
        <v>0</v>
      </c>
      <c r="T38" s="28">
        <f t="shared" si="21"/>
        <v>0</v>
      </c>
      <c r="U38" s="28">
        <f t="shared" si="21"/>
        <v>0</v>
      </c>
      <c r="V38" s="28">
        <f t="shared" si="21"/>
        <v>0</v>
      </c>
      <c r="W38" s="28">
        <f t="shared" si="21"/>
        <v>0</v>
      </c>
      <c r="X38" s="29">
        <f t="shared" si="21"/>
        <v>0</v>
      </c>
      <c r="Y38" s="24"/>
    </row>
    <row r="39" spans="2:25" ht="15" customHeight="1" x14ac:dyDescent="0.2">
      <c r="B39" s="31">
        <v>42510</v>
      </c>
      <c r="C39" s="25">
        <v>12.728</v>
      </c>
      <c r="D39" s="26">
        <v>8.016</v>
      </c>
      <c r="E39" s="26">
        <v>7.7519999999999998</v>
      </c>
      <c r="F39" s="47">
        <v>12.859</v>
      </c>
      <c r="G39" s="47">
        <v>10.551</v>
      </c>
      <c r="H39" s="47">
        <v>10.351000000000001</v>
      </c>
      <c r="I39" s="57">
        <v>116</v>
      </c>
      <c r="J39" s="58">
        <v>2490</v>
      </c>
      <c r="K39" s="18">
        <f t="shared" si="28"/>
        <v>73</v>
      </c>
      <c r="L39" s="19">
        <f t="shared" si="5"/>
        <v>-25.000000000000355</v>
      </c>
      <c r="M39" s="19">
        <f t="shared" si="6"/>
        <v>-10.999999999999233</v>
      </c>
      <c r="N39" s="19">
        <f t="shared" si="7"/>
        <v>-8.0000000000000071</v>
      </c>
      <c r="O39" s="19">
        <f t="shared" si="23"/>
        <v>-4.9999999999990052</v>
      </c>
      <c r="P39" s="19">
        <f t="shared" si="24"/>
        <v>-6.0000000000002274</v>
      </c>
      <c r="Q39" s="19">
        <f t="shared" si="25"/>
        <v>-7.9999999999991189</v>
      </c>
      <c r="R39" s="19">
        <f t="shared" si="20"/>
        <v>-19.000000000005457</v>
      </c>
      <c r="S39" s="27">
        <f t="shared" si="21"/>
        <v>0</v>
      </c>
      <c r="T39" s="28">
        <f t="shared" si="21"/>
        <v>0</v>
      </c>
      <c r="U39" s="28">
        <f t="shared" si="21"/>
        <v>0</v>
      </c>
      <c r="V39" s="28">
        <f t="shared" si="21"/>
        <v>0</v>
      </c>
      <c r="W39" s="28">
        <f t="shared" si="21"/>
        <v>-0.99999999999944578</v>
      </c>
      <c r="X39" s="29">
        <f t="shared" si="21"/>
        <v>0</v>
      </c>
      <c r="Y39" s="24"/>
    </row>
    <row r="40" spans="2:25" ht="15" customHeight="1" x14ac:dyDescent="0.2">
      <c r="B40" s="31">
        <v>42513</v>
      </c>
      <c r="C40" s="25">
        <v>12.728</v>
      </c>
      <c r="D40" s="26">
        <v>8.016</v>
      </c>
      <c r="E40" s="26">
        <v>7.7519999999999998</v>
      </c>
      <c r="F40" s="47">
        <v>12.858000000000001</v>
      </c>
      <c r="G40" s="47">
        <v>10.551</v>
      </c>
      <c r="H40" s="47">
        <v>10.35</v>
      </c>
      <c r="I40" s="57">
        <v>116</v>
      </c>
      <c r="J40" s="58">
        <v>2500</v>
      </c>
      <c r="K40" s="18">
        <f t="shared" si="28"/>
        <v>83</v>
      </c>
      <c r="L40" s="19">
        <f t="shared" si="5"/>
        <v>-25.000000000000355</v>
      </c>
      <c r="M40" s="19">
        <f t="shared" si="6"/>
        <v>-10.999999999999233</v>
      </c>
      <c r="N40" s="19">
        <f t="shared" si="7"/>
        <v>-8.0000000000000071</v>
      </c>
      <c r="O40" s="19">
        <f t="shared" si="23"/>
        <v>-5.999999999998451</v>
      </c>
      <c r="P40" s="19">
        <f t="shared" si="24"/>
        <v>-6.0000000000002274</v>
      </c>
      <c r="Q40" s="19">
        <f t="shared" si="25"/>
        <v>-9.0000000000003411</v>
      </c>
      <c r="R40" s="19">
        <f t="shared" si="20"/>
        <v>-19.000000000005457</v>
      </c>
      <c r="S40" s="27">
        <f t="shared" si="21"/>
        <v>0</v>
      </c>
      <c r="T40" s="28">
        <f t="shared" si="21"/>
        <v>0</v>
      </c>
      <c r="U40" s="28">
        <f t="shared" si="21"/>
        <v>0</v>
      </c>
      <c r="V40" s="28">
        <f t="shared" si="21"/>
        <v>-0.33333333333314857</v>
      </c>
      <c r="W40" s="28">
        <f t="shared" si="21"/>
        <v>0</v>
      </c>
      <c r="X40" s="29">
        <f t="shared" si="21"/>
        <v>-0.33333333333374071</v>
      </c>
      <c r="Y40" s="24"/>
    </row>
    <row r="41" spans="2:25" ht="15" customHeight="1" x14ac:dyDescent="0.2">
      <c r="B41" s="31">
        <v>42514</v>
      </c>
      <c r="C41" s="25">
        <v>12.728</v>
      </c>
      <c r="D41" s="26">
        <v>8.016</v>
      </c>
      <c r="E41" s="26">
        <v>7.7519999999999998</v>
      </c>
      <c r="F41" s="47">
        <v>12.858000000000001</v>
      </c>
      <c r="G41" s="47">
        <v>10.551</v>
      </c>
      <c r="H41" s="47">
        <v>10.349</v>
      </c>
      <c r="I41" s="57">
        <v>116</v>
      </c>
      <c r="J41" s="58">
        <v>2515</v>
      </c>
      <c r="K41" s="18">
        <f t="shared" si="28"/>
        <v>98</v>
      </c>
      <c r="L41" s="19">
        <f t="shared" si="5"/>
        <v>-25.000000000000355</v>
      </c>
      <c r="M41" s="19">
        <f t="shared" si="6"/>
        <v>-10.999999999999233</v>
      </c>
      <c r="N41" s="19">
        <f t="shared" si="7"/>
        <v>-8.0000000000000071</v>
      </c>
      <c r="O41" s="19">
        <f t="shared" si="23"/>
        <v>-5.999999999998451</v>
      </c>
      <c r="P41" s="19">
        <f t="shared" si="24"/>
        <v>-6.0000000000002274</v>
      </c>
      <c r="Q41" s="19">
        <f t="shared" si="25"/>
        <v>-9.9999999999997868</v>
      </c>
      <c r="R41" s="19">
        <f t="shared" si="20"/>
        <v>-19.000000000005457</v>
      </c>
      <c r="S41" s="27">
        <f t="shared" si="21"/>
        <v>0</v>
      </c>
      <c r="T41" s="28">
        <f t="shared" si="21"/>
        <v>0</v>
      </c>
      <c r="U41" s="28">
        <f t="shared" si="21"/>
        <v>0</v>
      </c>
      <c r="V41" s="28">
        <f t="shared" si="21"/>
        <v>0</v>
      </c>
      <c r="W41" s="28">
        <f t="shared" si="21"/>
        <v>0</v>
      </c>
      <c r="X41" s="29">
        <f t="shared" si="21"/>
        <v>-0.99999999999944578</v>
      </c>
      <c r="Y41" s="24"/>
    </row>
    <row r="42" spans="2:25" ht="15" customHeight="1" x14ac:dyDescent="0.2">
      <c r="B42" s="31">
        <v>42515</v>
      </c>
      <c r="C42" s="25">
        <v>12.728999999999999</v>
      </c>
      <c r="D42" s="26">
        <v>8.016</v>
      </c>
      <c r="E42" s="26">
        <v>7.7519999999999998</v>
      </c>
      <c r="F42" s="47">
        <v>12.856999999999999</v>
      </c>
      <c r="G42" s="47">
        <v>10.548999999999999</v>
      </c>
      <c r="H42" s="47">
        <v>10.35</v>
      </c>
      <c r="I42" s="57">
        <v>115.999</v>
      </c>
      <c r="J42" s="58">
        <v>2524</v>
      </c>
      <c r="K42" s="18">
        <f t="shared" si="28"/>
        <v>107</v>
      </c>
      <c r="L42" s="19">
        <f t="shared" si="5"/>
        <v>-24.000000000000909</v>
      </c>
      <c r="M42" s="19">
        <f t="shared" si="6"/>
        <v>-10.999999999999233</v>
      </c>
      <c r="N42" s="19">
        <f t="shared" si="7"/>
        <v>-8.0000000000000071</v>
      </c>
      <c r="O42" s="19">
        <f t="shared" si="23"/>
        <v>-6.9999999999996732</v>
      </c>
      <c r="P42" s="19">
        <f t="shared" si="24"/>
        <v>-8.0000000000008953</v>
      </c>
      <c r="Q42" s="19">
        <f t="shared" si="25"/>
        <v>-9.0000000000003411</v>
      </c>
      <c r="R42" s="19">
        <f t="shared" si="20"/>
        <v>-20.000000000010232</v>
      </c>
      <c r="S42" s="27">
        <f t="shared" si="21"/>
        <v>0.99999999999944578</v>
      </c>
      <c r="T42" s="28">
        <f t="shared" si="21"/>
        <v>0</v>
      </c>
      <c r="U42" s="28">
        <f t="shared" si="21"/>
        <v>0</v>
      </c>
      <c r="V42" s="28">
        <f t="shared" si="21"/>
        <v>-1.0000000000012221</v>
      </c>
      <c r="W42" s="28">
        <f t="shared" si="21"/>
        <v>-2.0000000000006679</v>
      </c>
      <c r="X42" s="29">
        <f t="shared" si="21"/>
        <v>0.99999999999944578</v>
      </c>
      <c r="Y42" s="24"/>
    </row>
    <row r="43" spans="2:25" ht="15" customHeight="1" x14ac:dyDescent="0.2">
      <c r="B43" s="31">
        <v>42516</v>
      </c>
      <c r="C43" s="25">
        <v>12.728</v>
      </c>
      <c r="D43" s="26">
        <v>8.016</v>
      </c>
      <c r="E43" s="26">
        <v>7.75</v>
      </c>
      <c r="F43" s="47">
        <v>12.858000000000001</v>
      </c>
      <c r="G43" s="47">
        <v>10.55</v>
      </c>
      <c r="H43" s="47">
        <v>10.35</v>
      </c>
      <c r="I43" s="57">
        <v>115.999</v>
      </c>
      <c r="J43" s="58">
        <v>2524</v>
      </c>
      <c r="K43" s="18">
        <f t="shared" ref="K43:K45" si="29">IF(ISBLANK(J43),"",(J43-$J$8))</f>
        <v>107</v>
      </c>
      <c r="L43" s="19">
        <f t="shared" si="5"/>
        <v>-25.000000000000355</v>
      </c>
      <c r="M43" s="19">
        <f t="shared" si="6"/>
        <v>-10.999999999999233</v>
      </c>
      <c r="N43" s="19">
        <f t="shared" si="7"/>
        <v>-9.9999999999997868</v>
      </c>
      <c r="O43" s="19">
        <f t="shared" si="23"/>
        <v>-5.999999999998451</v>
      </c>
      <c r="P43" s="19">
        <f t="shared" si="24"/>
        <v>-6.9999999999996732</v>
      </c>
      <c r="Q43" s="19">
        <f t="shared" si="25"/>
        <v>-9.0000000000003411</v>
      </c>
      <c r="R43" s="19">
        <f t="shared" si="20"/>
        <v>-20.000000000010232</v>
      </c>
      <c r="S43" s="27">
        <f t="shared" si="21"/>
        <v>-0.99999999999944578</v>
      </c>
      <c r="T43" s="28">
        <f t="shared" si="21"/>
        <v>0</v>
      </c>
      <c r="U43" s="28">
        <f t="shared" si="21"/>
        <v>-1.9999999999997797</v>
      </c>
      <c r="V43" s="28">
        <f t="shared" si="21"/>
        <v>1.0000000000012221</v>
      </c>
      <c r="W43" s="28">
        <f t="shared" si="21"/>
        <v>1.0000000000012221</v>
      </c>
      <c r="X43" s="29">
        <f t="shared" si="21"/>
        <v>0</v>
      </c>
      <c r="Y43" s="24"/>
    </row>
    <row r="44" spans="2:25" ht="15" customHeight="1" x14ac:dyDescent="0.2">
      <c r="B44" s="31">
        <v>42529</v>
      </c>
      <c r="C44" s="25">
        <v>12.727</v>
      </c>
      <c r="D44" s="26">
        <v>8.016</v>
      </c>
      <c r="E44" s="26">
        <v>7.75</v>
      </c>
      <c r="F44" s="47">
        <v>12.858000000000001</v>
      </c>
      <c r="G44" s="47">
        <v>10.55</v>
      </c>
      <c r="H44" s="47">
        <v>10.35</v>
      </c>
      <c r="I44" s="57">
        <v>116</v>
      </c>
      <c r="J44" s="58">
        <v>2603</v>
      </c>
      <c r="K44" s="18">
        <f t="shared" si="29"/>
        <v>186</v>
      </c>
      <c r="L44" s="19">
        <f t="shared" si="5"/>
        <v>-25.999999999999801</v>
      </c>
      <c r="M44" s="19">
        <f t="shared" si="6"/>
        <v>-10.999999999999233</v>
      </c>
      <c r="N44" s="19">
        <f t="shared" si="7"/>
        <v>-9.9999999999997868</v>
      </c>
      <c r="O44" s="19">
        <f t="shared" si="23"/>
        <v>-5.999999999998451</v>
      </c>
      <c r="P44" s="19">
        <f t="shared" si="24"/>
        <v>-6.9999999999996732</v>
      </c>
      <c r="Q44" s="19">
        <f t="shared" si="25"/>
        <v>-9.0000000000003411</v>
      </c>
      <c r="R44" s="19">
        <f t="shared" si="20"/>
        <v>-19.000000000005457</v>
      </c>
      <c r="S44" s="27">
        <f t="shared" si="21"/>
        <v>-7.6923076923034295E-2</v>
      </c>
      <c r="T44" s="28">
        <f t="shared" si="21"/>
        <v>0</v>
      </c>
      <c r="U44" s="28">
        <f t="shared" si="21"/>
        <v>0</v>
      </c>
      <c r="V44" s="28">
        <f t="shared" si="21"/>
        <v>0</v>
      </c>
      <c r="W44" s="28">
        <f t="shared" si="21"/>
        <v>0</v>
      </c>
      <c r="X44" s="29">
        <f t="shared" si="21"/>
        <v>0</v>
      </c>
      <c r="Y44" s="24"/>
    </row>
    <row r="45" spans="2:25" ht="15" customHeight="1" x14ac:dyDescent="0.2">
      <c r="B45" s="31">
        <v>42558</v>
      </c>
      <c r="C45" s="25">
        <v>12.727</v>
      </c>
      <c r="D45" s="26">
        <v>8.016</v>
      </c>
      <c r="E45" s="26">
        <v>7.75</v>
      </c>
      <c r="F45" s="47">
        <v>12.858000000000001</v>
      </c>
      <c r="G45" s="47">
        <v>10.55</v>
      </c>
      <c r="H45" s="47">
        <v>10.35</v>
      </c>
      <c r="I45" s="57">
        <v>116</v>
      </c>
      <c r="J45" s="58">
        <v>2689</v>
      </c>
      <c r="K45" s="18">
        <f t="shared" si="29"/>
        <v>272</v>
      </c>
      <c r="L45" s="19">
        <f t="shared" si="5"/>
        <v>-25.999999999999801</v>
      </c>
      <c r="M45" s="19">
        <f t="shared" si="6"/>
        <v>-10.999999999999233</v>
      </c>
      <c r="N45" s="19">
        <f t="shared" si="7"/>
        <v>-9.9999999999997868</v>
      </c>
      <c r="O45" s="19">
        <f t="shared" si="23"/>
        <v>-5.999999999998451</v>
      </c>
      <c r="P45" s="19">
        <f t="shared" si="24"/>
        <v>-6.9999999999996732</v>
      </c>
      <c r="Q45" s="19">
        <f t="shared" si="25"/>
        <v>-9.0000000000003411</v>
      </c>
      <c r="R45" s="19">
        <f t="shared" si="20"/>
        <v>-19.000000000005457</v>
      </c>
      <c r="S45" s="27">
        <f t="shared" si="21"/>
        <v>0</v>
      </c>
      <c r="T45" s="28">
        <f t="shared" si="21"/>
        <v>0</v>
      </c>
      <c r="U45" s="28">
        <f t="shared" si="21"/>
        <v>0</v>
      </c>
      <c r="V45" s="28">
        <f t="shared" si="21"/>
        <v>0</v>
      </c>
      <c r="W45" s="28">
        <f t="shared" si="21"/>
        <v>0</v>
      </c>
      <c r="X45" s="29">
        <f t="shared" si="21"/>
        <v>0</v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5"/>
        <v/>
      </c>
      <c r="M46" s="19" t="str">
        <f t="shared" si="6"/>
        <v/>
      </c>
      <c r="N46" s="19" t="str">
        <f t="shared" si="7"/>
        <v/>
      </c>
      <c r="O46" s="19" t="str">
        <f t="shared" si="23"/>
        <v/>
      </c>
      <c r="P46" s="19" t="str">
        <f t="shared" si="24"/>
        <v/>
      </c>
      <c r="Q46" s="19" t="str">
        <f t="shared" si="25"/>
        <v/>
      </c>
      <c r="R46" s="19" t="str">
        <f t="shared" si="20"/>
        <v/>
      </c>
      <c r="S46" s="27" t="str">
        <f t="shared" si="21"/>
        <v/>
      </c>
      <c r="T46" s="28" t="str">
        <f t="shared" si="21"/>
        <v/>
      </c>
      <c r="U46" s="28" t="str">
        <f t="shared" si="21"/>
        <v/>
      </c>
      <c r="V46" s="28" t="str">
        <f t="shared" si="21"/>
        <v/>
      </c>
      <c r="W46" s="28" t="str">
        <f t="shared" si="21"/>
        <v/>
      </c>
      <c r="X46" s="29" t="str">
        <f t="shared" si="21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5"/>
        <v/>
      </c>
      <c r="M47" s="19" t="str">
        <f t="shared" si="6"/>
        <v/>
      </c>
      <c r="N47" s="19" t="str">
        <f t="shared" si="7"/>
        <v/>
      </c>
      <c r="O47" s="19" t="str">
        <f t="shared" si="23"/>
        <v/>
      </c>
      <c r="P47" s="19" t="str">
        <f t="shared" si="24"/>
        <v/>
      </c>
      <c r="Q47" s="19" t="str">
        <f t="shared" si="25"/>
        <v/>
      </c>
      <c r="R47" s="19" t="str">
        <f t="shared" si="20"/>
        <v/>
      </c>
      <c r="S47" s="27" t="str">
        <f t="shared" si="21"/>
        <v/>
      </c>
      <c r="T47" s="28" t="str">
        <f t="shared" si="21"/>
        <v/>
      </c>
      <c r="U47" s="28" t="str">
        <f t="shared" si="21"/>
        <v/>
      </c>
      <c r="V47" s="28" t="str">
        <f t="shared" si="21"/>
        <v/>
      </c>
      <c r="W47" s="28" t="str">
        <f t="shared" si="21"/>
        <v/>
      </c>
      <c r="X47" s="29" t="str">
        <f t="shared" si="21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5"/>
        <v/>
      </c>
      <c r="M48" s="19" t="str">
        <f t="shared" si="6"/>
        <v/>
      </c>
      <c r="N48" s="19" t="str">
        <f t="shared" si="7"/>
        <v/>
      </c>
      <c r="O48" s="19" t="str">
        <f t="shared" si="23"/>
        <v/>
      </c>
      <c r="P48" s="19" t="str">
        <f t="shared" si="24"/>
        <v/>
      </c>
      <c r="Q48" s="19" t="str">
        <f t="shared" si="25"/>
        <v/>
      </c>
      <c r="R48" s="19" t="str">
        <f t="shared" si="20"/>
        <v/>
      </c>
      <c r="S48" s="27" t="str">
        <f t="shared" si="21"/>
        <v/>
      </c>
      <c r="T48" s="28" t="str">
        <f t="shared" si="21"/>
        <v/>
      </c>
      <c r="U48" s="28" t="str">
        <f t="shared" si="21"/>
        <v/>
      </c>
      <c r="V48" s="28" t="str">
        <f t="shared" si="21"/>
        <v/>
      </c>
      <c r="W48" s="28" t="str">
        <f t="shared" si="21"/>
        <v/>
      </c>
      <c r="X48" s="29" t="str">
        <f t="shared" si="21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5"/>
        <v/>
      </c>
      <c r="M49" s="19" t="str">
        <f t="shared" si="6"/>
        <v/>
      </c>
      <c r="N49" s="19" t="str">
        <f t="shared" si="7"/>
        <v/>
      </c>
      <c r="O49" s="19" t="str">
        <f t="shared" si="23"/>
        <v/>
      </c>
      <c r="P49" s="19" t="str">
        <f t="shared" si="24"/>
        <v/>
      </c>
      <c r="Q49" s="19" t="str">
        <f t="shared" si="25"/>
        <v/>
      </c>
      <c r="R49" s="19" t="str">
        <f t="shared" si="20"/>
        <v/>
      </c>
      <c r="S49" s="27" t="str">
        <f t="shared" ref="S49:X64" si="30">IF(C49="","",((C49-C48)*1000)/($B49-$B48))</f>
        <v/>
      </c>
      <c r="T49" s="28" t="str">
        <f t="shared" si="30"/>
        <v/>
      </c>
      <c r="U49" s="28" t="str">
        <f t="shared" si="30"/>
        <v/>
      </c>
      <c r="V49" s="28" t="str">
        <f t="shared" si="30"/>
        <v/>
      </c>
      <c r="W49" s="28" t="str">
        <f t="shared" si="30"/>
        <v/>
      </c>
      <c r="X49" s="29" t="str">
        <f t="shared" si="30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5"/>
        <v/>
      </c>
      <c r="M50" s="19" t="str">
        <f t="shared" si="6"/>
        <v/>
      </c>
      <c r="N50" s="19" t="str">
        <f t="shared" si="7"/>
        <v/>
      </c>
      <c r="O50" s="19" t="str">
        <f t="shared" si="23"/>
        <v/>
      </c>
      <c r="P50" s="19" t="str">
        <f t="shared" si="24"/>
        <v/>
      </c>
      <c r="Q50" s="19" t="str">
        <f t="shared" si="25"/>
        <v/>
      </c>
      <c r="R50" s="19" t="str">
        <f t="shared" si="20"/>
        <v/>
      </c>
      <c r="S50" s="27" t="str">
        <f t="shared" si="30"/>
        <v/>
      </c>
      <c r="T50" s="28" t="str">
        <f t="shared" si="30"/>
        <v/>
      </c>
      <c r="U50" s="28" t="str">
        <f t="shared" si="30"/>
        <v/>
      </c>
      <c r="V50" s="28" t="str">
        <f t="shared" si="30"/>
        <v/>
      </c>
      <c r="W50" s="28" t="str">
        <f t="shared" si="30"/>
        <v/>
      </c>
      <c r="X50" s="29" t="str">
        <f t="shared" si="30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5"/>
        <v/>
      </c>
      <c r="M51" s="19" t="str">
        <f t="shared" si="6"/>
        <v/>
      </c>
      <c r="N51" s="19" t="str">
        <f t="shared" si="7"/>
        <v/>
      </c>
      <c r="O51" s="19" t="str">
        <f t="shared" si="23"/>
        <v/>
      </c>
      <c r="P51" s="19" t="str">
        <f t="shared" si="24"/>
        <v/>
      </c>
      <c r="Q51" s="19" t="str">
        <f t="shared" si="25"/>
        <v/>
      </c>
      <c r="R51" s="19" t="str">
        <f t="shared" si="20"/>
        <v/>
      </c>
      <c r="S51" s="27" t="str">
        <f t="shared" si="30"/>
        <v/>
      </c>
      <c r="T51" s="28" t="str">
        <f t="shared" si="30"/>
        <v/>
      </c>
      <c r="U51" s="28" t="str">
        <f t="shared" si="30"/>
        <v/>
      </c>
      <c r="V51" s="28" t="str">
        <f t="shared" si="30"/>
        <v/>
      </c>
      <c r="W51" s="28" t="str">
        <f t="shared" si="30"/>
        <v/>
      </c>
      <c r="X51" s="29" t="str">
        <f t="shared" si="30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5"/>
        <v/>
      </c>
      <c r="M52" s="19" t="str">
        <f t="shared" si="6"/>
        <v/>
      </c>
      <c r="N52" s="19" t="str">
        <f t="shared" si="7"/>
        <v/>
      </c>
      <c r="O52" s="19" t="str">
        <f t="shared" si="23"/>
        <v/>
      </c>
      <c r="P52" s="19" t="str">
        <f t="shared" si="24"/>
        <v/>
      </c>
      <c r="Q52" s="19" t="str">
        <f t="shared" si="25"/>
        <v/>
      </c>
      <c r="R52" s="19" t="str">
        <f t="shared" si="20"/>
        <v/>
      </c>
      <c r="S52" s="27" t="str">
        <f t="shared" si="30"/>
        <v/>
      </c>
      <c r="T52" s="28" t="str">
        <f t="shared" si="30"/>
        <v/>
      </c>
      <c r="U52" s="28" t="str">
        <f t="shared" si="30"/>
        <v/>
      </c>
      <c r="V52" s="28" t="str">
        <f t="shared" si="30"/>
        <v/>
      </c>
      <c r="W52" s="28" t="str">
        <f t="shared" si="30"/>
        <v/>
      </c>
      <c r="X52" s="29" t="str">
        <f t="shared" si="30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5"/>
        <v/>
      </c>
      <c r="M53" s="19" t="str">
        <f t="shared" si="6"/>
        <v/>
      </c>
      <c r="N53" s="19" t="str">
        <f t="shared" si="7"/>
        <v/>
      </c>
      <c r="O53" s="19" t="str">
        <f t="shared" si="23"/>
        <v/>
      </c>
      <c r="P53" s="19" t="str">
        <f t="shared" si="24"/>
        <v/>
      </c>
      <c r="Q53" s="19" t="str">
        <f t="shared" si="25"/>
        <v/>
      </c>
      <c r="R53" s="19" t="str">
        <f t="shared" si="20"/>
        <v/>
      </c>
      <c r="S53" s="27" t="str">
        <f t="shared" si="30"/>
        <v/>
      </c>
      <c r="T53" s="28" t="str">
        <f t="shared" si="30"/>
        <v/>
      </c>
      <c r="U53" s="28" t="str">
        <f t="shared" si="30"/>
        <v/>
      </c>
      <c r="V53" s="28" t="str">
        <f t="shared" si="30"/>
        <v/>
      </c>
      <c r="W53" s="28" t="str">
        <f t="shared" si="30"/>
        <v/>
      </c>
      <c r="X53" s="29" t="str">
        <f t="shared" si="30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5"/>
        <v/>
      </c>
      <c r="M54" s="19" t="str">
        <f t="shared" si="6"/>
        <v/>
      </c>
      <c r="N54" s="19" t="str">
        <f t="shared" si="7"/>
        <v/>
      </c>
      <c r="O54" s="19" t="str">
        <f t="shared" si="23"/>
        <v/>
      </c>
      <c r="P54" s="19" t="str">
        <f t="shared" si="24"/>
        <v/>
      </c>
      <c r="Q54" s="19" t="str">
        <f t="shared" si="25"/>
        <v/>
      </c>
      <c r="R54" s="19" t="str">
        <f t="shared" si="20"/>
        <v/>
      </c>
      <c r="S54" s="27" t="str">
        <f t="shared" si="30"/>
        <v/>
      </c>
      <c r="T54" s="28" t="str">
        <f t="shared" si="30"/>
        <v/>
      </c>
      <c r="U54" s="28" t="str">
        <f t="shared" si="30"/>
        <v/>
      </c>
      <c r="V54" s="28" t="str">
        <f t="shared" si="30"/>
        <v/>
      </c>
      <c r="W54" s="28" t="str">
        <f t="shared" si="30"/>
        <v/>
      </c>
      <c r="X54" s="29" t="str">
        <f t="shared" si="30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5"/>
        <v/>
      </c>
      <c r="M55" s="19" t="str">
        <f t="shared" si="6"/>
        <v/>
      </c>
      <c r="N55" s="19" t="str">
        <f t="shared" si="7"/>
        <v/>
      </c>
      <c r="O55" s="19" t="str">
        <f t="shared" si="23"/>
        <v/>
      </c>
      <c r="P55" s="19" t="str">
        <f t="shared" si="24"/>
        <v/>
      </c>
      <c r="Q55" s="19" t="str">
        <f t="shared" si="25"/>
        <v/>
      </c>
      <c r="R55" s="19" t="str">
        <f t="shared" si="20"/>
        <v/>
      </c>
      <c r="S55" s="27" t="str">
        <f t="shared" si="30"/>
        <v/>
      </c>
      <c r="T55" s="28" t="str">
        <f t="shared" si="30"/>
        <v/>
      </c>
      <c r="U55" s="28" t="str">
        <f t="shared" si="30"/>
        <v/>
      </c>
      <c r="V55" s="28" t="str">
        <f t="shared" si="30"/>
        <v/>
      </c>
      <c r="W55" s="28" t="str">
        <f t="shared" si="30"/>
        <v/>
      </c>
      <c r="X55" s="29" t="str">
        <f t="shared" si="30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5"/>
        <v/>
      </c>
      <c r="M56" s="19" t="str">
        <f t="shared" si="6"/>
        <v/>
      </c>
      <c r="N56" s="19" t="str">
        <f t="shared" si="7"/>
        <v/>
      </c>
      <c r="O56" s="19" t="str">
        <f t="shared" si="23"/>
        <v/>
      </c>
      <c r="P56" s="19" t="str">
        <f t="shared" si="24"/>
        <v/>
      </c>
      <c r="Q56" s="19" t="str">
        <f t="shared" si="25"/>
        <v/>
      </c>
      <c r="R56" s="19" t="str">
        <f t="shared" si="20"/>
        <v/>
      </c>
      <c r="S56" s="27" t="str">
        <f t="shared" si="30"/>
        <v/>
      </c>
      <c r="T56" s="28" t="str">
        <f t="shared" si="30"/>
        <v/>
      </c>
      <c r="U56" s="28" t="str">
        <f t="shared" si="30"/>
        <v/>
      </c>
      <c r="V56" s="28" t="str">
        <f t="shared" si="30"/>
        <v/>
      </c>
      <c r="W56" s="28" t="str">
        <f t="shared" si="30"/>
        <v/>
      </c>
      <c r="X56" s="29" t="str">
        <f t="shared" si="30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5"/>
        <v/>
      </c>
      <c r="M57" s="19" t="str">
        <f t="shared" si="6"/>
        <v/>
      </c>
      <c r="N57" s="19" t="str">
        <f t="shared" si="7"/>
        <v/>
      </c>
      <c r="O57" s="19" t="str">
        <f t="shared" si="23"/>
        <v/>
      </c>
      <c r="P57" s="19" t="str">
        <f t="shared" si="24"/>
        <v/>
      </c>
      <c r="Q57" s="19" t="str">
        <f t="shared" si="25"/>
        <v/>
      </c>
      <c r="R57" s="19" t="str">
        <f t="shared" si="20"/>
        <v/>
      </c>
      <c r="S57" s="27" t="str">
        <f t="shared" si="30"/>
        <v/>
      </c>
      <c r="T57" s="28" t="str">
        <f t="shared" si="30"/>
        <v/>
      </c>
      <c r="U57" s="28" t="str">
        <f t="shared" si="30"/>
        <v/>
      </c>
      <c r="V57" s="28" t="str">
        <f t="shared" si="30"/>
        <v/>
      </c>
      <c r="W57" s="28" t="str">
        <f t="shared" si="30"/>
        <v/>
      </c>
      <c r="X57" s="29" t="str">
        <f t="shared" si="30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5"/>
        <v/>
      </c>
      <c r="M58" s="19" t="str">
        <f t="shared" si="6"/>
        <v/>
      </c>
      <c r="N58" s="19" t="str">
        <f t="shared" si="7"/>
        <v/>
      </c>
      <c r="O58" s="19" t="str">
        <f t="shared" si="23"/>
        <v/>
      </c>
      <c r="P58" s="19" t="str">
        <f t="shared" si="24"/>
        <v/>
      </c>
      <c r="Q58" s="19" t="str">
        <f t="shared" si="25"/>
        <v/>
      </c>
      <c r="R58" s="19" t="str">
        <f t="shared" si="20"/>
        <v/>
      </c>
      <c r="S58" s="27" t="str">
        <f t="shared" si="30"/>
        <v/>
      </c>
      <c r="T58" s="28" t="str">
        <f t="shared" si="30"/>
        <v/>
      </c>
      <c r="U58" s="28" t="str">
        <f t="shared" si="30"/>
        <v/>
      </c>
      <c r="V58" s="28" t="str">
        <f t="shared" si="30"/>
        <v/>
      </c>
      <c r="W58" s="28" t="str">
        <f t="shared" si="30"/>
        <v/>
      </c>
      <c r="X58" s="29" t="str">
        <f t="shared" si="30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5"/>
        <v/>
      </c>
      <c r="M59" s="19" t="str">
        <f t="shared" si="6"/>
        <v/>
      </c>
      <c r="N59" s="19" t="str">
        <f t="shared" si="7"/>
        <v/>
      </c>
      <c r="O59" s="19" t="str">
        <f t="shared" si="23"/>
        <v/>
      </c>
      <c r="P59" s="19" t="str">
        <f t="shared" si="24"/>
        <v/>
      </c>
      <c r="Q59" s="19" t="str">
        <f t="shared" si="25"/>
        <v/>
      </c>
      <c r="R59" s="19" t="str">
        <f t="shared" si="20"/>
        <v/>
      </c>
      <c r="S59" s="27" t="str">
        <f t="shared" si="30"/>
        <v/>
      </c>
      <c r="T59" s="28" t="str">
        <f t="shared" si="30"/>
        <v/>
      </c>
      <c r="U59" s="28" t="str">
        <f t="shared" si="30"/>
        <v/>
      </c>
      <c r="V59" s="28" t="str">
        <f t="shared" si="30"/>
        <v/>
      </c>
      <c r="W59" s="28" t="str">
        <f t="shared" si="30"/>
        <v/>
      </c>
      <c r="X59" s="29" t="str">
        <f t="shared" si="30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5"/>
        <v/>
      </c>
      <c r="M60" s="19" t="str">
        <f t="shared" si="6"/>
        <v/>
      </c>
      <c r="N60" s="19" t="str">
        <f t="shared" si="7"/>
        <v/>
      </c>
      <c r="O60" s="19" t="str">
        <f t="shared" si="23"/>
        <v/>
      </c>
      <c r="P60" s="19" t="str">
        <f t="shared" si="24"/>
        <v/>
      </c>
      <c r="Q60" s="19" t="str">
        <f t="shared" si="25"/>
        <v/>
      </c>
      <c r="R60" s="19" t="str">
        <f t="shared" si="20"/>
        <v/>
      </c>
      <c r="S60" s="27" t="str">
        <f t="shared" si="30"/>
        <v/>
      </c>
      <c r="T60" s="28" t="str">
        <f t="shared" si="30"/>
        <v/>
      </c>
      <c r="U60" s="28" t="str">
        <f t="shared" si="30"/>
        <v/>
      </c>
      <c r="V60" s="28" t="str">
        <f t="shared" si="30"/>
        <v/>
      </c>
      <c r="W60" s="28" t="str">
        <f t="shared" si="30"/>
        <v/>
      </c>
      <c r="X60" s="29" t="str">
        <f t="shared" si="30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5"/>
        <v/>
      </c>
      <c r="M61" s="19" t="str">
        <f t="shared" si="6"/>
        <v/>
      </c>
      <c r="N61" s="19" t="str">
        <f t="shared" si="7"/>
        <v/>
      </c>
      <c r="O61" s="19" t="str">
        <f t="shared" si="23"/>
        <v/>
      </c>
      <c r="P61" s="19" t="str">
        <f t="shared" si="24"/>
        <v/>
      </c>
      <c r="Q61" s="19" t="str">
        <f t="shared" si="25"/>
        <v/>
      </c>
      <c r="R61" s="19" t="str">
        <f t="shared" si="20"/>
        <v/>
      </c>
      <c r="S61" s="27" t="str">
        <f t="shared" si="30"/>
        <v/>
      </c>
      <c r="T61" s="28" t="str">
        <f t="shared" si="30"/>
        <v/>
      </c>
      <c r="U61" s="28" t="str">
        <f t="shared" si="30"/>
        <v/>
      </c>
      <c r="V61" s="28" t="str">
        <f t="shared" si="30"/>
        <v/>
      </c>
      <c r="W61" s="28" t="str">
        <f t="shared" si="30"/>
        <v/>
      </c>
      <c r="X61" s="29" t="str">
        <f t="shared" si="30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5"/>
        <v/>
      </c>
      <c r="M62" s="19" t="str">
        <f t="shared" si="6"/>
        <v/>
      </c>
      <c r="N62" s="19" t="str">
        <f t="shared" si="7"/>
        <v/>
      </c>
      <c r="O62" s="19" t="str">
        <f t="shared" si="23"/>
        <v/>
      </c>
      <c r="P62" s="19" t="str">
        <f t="shared" si="24"/>
        <v/>
      </c>
      <c r="Q62" s="19" t="str">
        <f t="shared" si="25"/>
        <v/>
      </c>
      <c r="R62" s="19" t="str">
        <f t="shared" si="20"/>
        <v/>
      </c>
      <c r="S62" s="27" t="str">
        <f t="shared" si="30"/>
        <v/>
      </c>
      <c r="T62" s="28" t="str">
        <f t="shared" si="30"/>
        <v/>
      </c>
      <c r="U62" s="28" t="str">
        <f t="shared" si="30"/>
        <v/>
      </c>
      <c r="V62" s="28" t="str">
        <f t="shared" si="30"/>
        <v/>
      </c>
      <c r="W62" s="28" t="str">
        <f t="shared" si="30"/>
        <v/>
      </c>
      <c r="X62" s="29" t="str">
        <f t="shared" si="30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5"/>
        <v/>
      </c>
      <c r="M63" s="19" t="str">
        <f t="shared" si="6"/>
        <v/>
      </c>
      <c r="N63" s="19" t="str">
        <f t="shared" si="7"/>
        <v/>
      </c>
      <c r="O63" s="19" t="str">
        <f t="shared" si="23"/>
        <v/>
      </c>
      <c r="P63" s="19" t="str">
        <f t="shared" si="24"/>
        <v/>
      </c>
      <c r="Q63" s="19" t="str">
        <f t="shared" si="25"/>
        <v/>
      </c>
      <c r="R63" s="19" t="str">
        <f t="shared" si="20"/>
        <v/>
      </c>
      <c r="S63" s="27" t="str">
        <f t="shared" si="30"/>
        <v/>
      </c>
      <c r="T63" s="28" t="str">
        <f t="shared" si="30"/>
        <v/>
      </c>
      <c r="U63" s="28" t="str">
        <f t="shared" si="30"/>
        <v/>
      </c>
      <c r="V63" s="28" t="str">
        <f t="shared" si="30"/>
        <v/>
      </c>
      <c r="W63" s="28" t="str">
        <f t="shared" si="30"/>
        <v/>
      </c>
      <c r="X63" s="29" t="str">
        <f t="shared" si="30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5"/>
        <v/>
      </c>
      <c r="M64" s="19" t="str">
        <f t="shared" si="6"/>
        <v/>
      </c>
      <c r="N64" s="19" t="str">
        <f t="shared" si="7"/>
        <v/>
      </c>
      <c r="O64" s="19" t="str">
        <f t="shared" si="23"/>
        <v/>
      </c>
      <c r="P64" s="19" t="str">
        <f t="shared" si="24"/>
        <v/>
      </c>
      <c r="Q64" s="19" t="str">
        <f t="shared" si="25"/>
        <v/>
      </c>
      <c r="R64" s="19" t="str">
        <f t="shared" si="20"/>
        <v/>
      </c>
      <c r="S64" s="27" t="str">
        <f t="shared" si="30"/>
        <v/>
      </c>
      <c r="T64" s="28" t="str">
        <f t="shared" si="30"/>
        <v/>
      </c>
      <c r="U64" s="28" t="str">
        <f t="shared" si="30"/>
        <v/>
      </c>
      <c r="V64" s="28" t="str">
        <f t="shared" si="30"/>
        <v/>
      </c>
      <c r="W64" s="28" t="str">
        <f t="shared" si="30"/>
        <v/>
      </c>
      <c r="X64" s="29" t="str">
        <f t="shared" si="30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5"/>
        <v/>
      </c>
      <c r="M65" s="19" t="str">
        <f t="shared" si="6"/>
        <v/>
      </c>
      <c r="N65" s="19" t="str">
        <f t="shared" si="7"/>
        <v/>
      </c>
      <c r="O65" s="19" t="str">
        <f t="shared" si="23"/>
        <v/>
      </c>
      <c r="P65" s="19" t="str">
        <f t="shared" si="24"/>
        <v/>
      </c>
      <c r="Q65" s="19" t="str">
        <f t="shared" si="25"/>
        <v/>
      </c>
      <c r="R65" s="19" t="str">
        <f t="shared" si="20"/>
        <v/>
      </c>
      <c r="S65" s="27" t="str">
        <f t="shared" ref="S65:X80" si="31">IF(C65="","",((C65-C64)*1000)/($B65-$B64))</f>
        <v/>
      </c>
      <c r="T65" s="28" t="str">
        <f t="shared" si="31"/>
        <v/>
      </c>
      <c r="U65" s="28" t="str">
        <f t="shared" si="31"/>
        <v/>
      </c>
      <c r="V65" s="28" t="str">
        <f t="shared" si="31"/>
        <v/>
      </c>
      <c r="W65" s="28" t="str">
        <f t="shared" si="31"/>
        <v/>
      </c>
      <c r="X65" s="29" t="str">
        <f t="shared" si="31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5"/>
        <v/>
      </c>
      <c r="M66" s="19" t="str">
        <f t="shared" si="6"/>
        <v/>
      </c>
      <c r="N66" s="19" t="str">
        <f t="shared" si="7"/>
        <v/>
      </c>
      <c r="O66" s="19" t="str">
        <f t="shared" si="23"/>
        <v/>
      </c>
      <c r="P66" s="19" t="str">
        <f t="shared" si="24"/>
        <v/>
      </c>
      <c r="Q66" s="19" t="str">
        <f t="shared" si="25"/>
        <v/>
      </c>
      <c r="R66" s="19" t="str">
        <f t="shared" si="20"/>
        <v/>
      </c>
      <c r="S66" s="27" t="str">
        <f t="shared" si="31"/>
        <v/>
      </c>
      <c r="T66" s="28" t="str">
        <f t="shared" si="31"/>
        <v/>
      </c>
      <c r="U66" s="28" t="str">
        <f t="shared" si="31"/>
        <v/>
      </c>
      <c r="V66" s="28" t="str">
        <f t="shared" si="31"/>
        <v/>
      </c>
      <c r="W66" s="28" t="str">
        <f t="shared" si="31"/>
        <v/>
      </c>
      <c r="X66" s="29" t="str">
        <f t="shared" si="31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5"/>
        <v/>
      </c>
      <c r="M67" s="19" t="str">
        <f t="shared" si="6"/>
        <v/>
      </c>
      <c r="N67" s="19" t="str">
        <f t="shared" si="7"/>
        <v/>
      </c>
      <c r="O67" s="19" t="str">
        <f t="shared" si="23"/>
        <v/>
      </c>
      <c r="P67" s="19" t="str">
        <f t="shared" si="24"/>
        <v/>
      </c>
      <c r="Q67" s="19" t="str">
        <f t="shared" si="25"/>
        <v/>
      </c>
      <c r="R67" s="19" t="str">
        <f t="shared" si="20"/>
        <v/>
      </c>
      <c r="S67" s="27" t="str">
        <f t="shared" si="31"/>
        <v/>
      </c>
      <c r="T67" s="28" t="str">
        <f t="shared" si="31"/>
        <v/>
      </c>
      <c r="U67" s="28" t="str">
        <f t="shared" si="31"/>
        <v/>
      </c>
      <c r="V67" s="28" t="str">
        <f t="shared" si="31"/>
        <v/>
      </c>
      <c r="W67" s="28" t="str">
        <f t="shared" si="31"/>
        <v/>
      </c>
      <c r="X67" s="29" t="str">
        <f t="shared" si="31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5"/>
        <v/>
      </c>
      <c r="M68" s="19" t="str">
        <f t="shared" si="6"/>
        <v/>
      </c>
      <c r="N68" s="19" t="str">
        <f t="shared" si="7"/>
        <v/>
      </c>
      <c r="O68" s="19" t="str">
        <f t="shared" si="23"/>
        <v/>
      </c>
      <c r="P68" s="19" t="str">
        <f t="shared" si="24"/>
        <v/>
      </c>
      <c r="Q68" s="19" t="str">
        <f t="shared" si="25"/>
        <v/>
      </c>
      <c r="R68" s="19" t="str">
        <f t="shared" ref="R68:R130" si="32">IF(ISBLANK(I68),"",(I68-I$16)*1000)</f>
        <v/>
      </c>
      <c r="S68" s="27" t="str">
        <f t="shared" si="31"/>
        <v/>
      </c>
      <c r="T68" s="28" t="str">
        <f t="shared" si="31"/>
        <v/>
      </c>
      <c r="U68" s="28" t="str">
        <f t="shared" si="31"/>
        <v/>
      </c>
      <c r="V68" s="28" t="str">
        <f t="shared" si="31"/>
        <v/>
      </c>
      <c r="W68" s="28" t="str">
        <f t="shared" si="31"/>
        <v/>
      </c>
      <c r="X68" s="29" t="str">
        <f t="shared" si="31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5"/>
        <v/>
      </c>
      <c r="M69" s="19" t="str">
        <f t="shared" si="6"/>
        <v/>
      </c>
      <c r="N69" s="19" t="str">
        <f t="shared" si="7"/>
        <v/>
      </c>
      <c r="O69" s="19" t="str">
        <f t="shared" si="23"/>
        <v/>
      </c>
      <c r="P69" s="19" t="str">
        <f t="shared" si="24"/>
        <v/>
      </c>
      <c r="Q69" s="19" t="str">
        <f t="shared" si="25"/>
        <v/>
      </c>
      <c r="R69" s="19" t="str">
        <f t="shared" si="32"/>
        <v/>
      </c>
      <c r="S69" s="27" t="str">
        <f t="shared" si="31"/>
        <v/>
      </c>
      <c r="T69" s="28" t="str">
        <f t="shared" si="31"/>
        <v/>
      </c>
      <c r="U69" s="28" t="str">
        <f t="shared" si="31"/>
        <v/>
      </c>
      <c r="V69" s="28" t="str">
        <f t="shared" si="31"/>
        <v/>
      </c>
      <c r="W69" s="28" t="str">
        <f t="shared" si="31"/>
        <v/>
      </c>
      <c r="X69" s="29" t="str">
        <f t="shared" si="31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5"/>
        <v/>
      </c>
      <c r="M70" s="19" t="str">
        <f t="shared" si="6"/>
        <v/>
      </c>
      <c r="N70" s="19" t="str">
        <f t="shared" si="7"/>
        <v/>
      </c>
      <c r="O70" s="19" t="str">
        <f t="shared" si="23"/>
        <v/>
      </c>
      <c r="P70" s="19" t="str">
        <f t="shared" si="24"/>
        <v/>
      </c>
      <c r="Q70" s="19" t="str">
        <f t="shared" si="25"/>
        <v/>
      </c>
      <c r="R70" s="19" t="str">
        <f t="shared" si="32"/>
        <v/>
      </c>
      <c r="S70" s="27" t="str">
        <f t="shared" si="31"/>
        <v/>
      </c>
      <c r="T70" s="28" t="str">
        <f t="shared" si="31"/>
        <v/>
      </c>
      <c r="U70" s="28" t="str">
        <f t="shared" si="31"/>
        <v/>
      </c>
      <c r="V70" s="28" t="str">
        <f t="shared" si="31"/>
        <v/>
      </c>
      <c r="W70" s="28" t="str">
        <f t="shared" si="31"/>
        <v/>
      </c>
      <c r="X70" s="29" t="str">
        <f t="shared" si="31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5"/>
        <v/>
      </c>
      <c r="M71" s="19" t="str">
        <f t="shared" si="6"/>
        <v/>
      </c>
      <c r="N71" s="19" t="str">
        <f t="shared" si="7"/>
        <v/>
      </c>
      <c r="O71" s="19" t="str">
        <f t="shared" si="23"/>
        <v/>
      </c>
      <c r="P71" s="19" t="str">
        <f t="shared" si="24"/>
        <v/>
      </c>
      <c r="Q71" s="19" t="str">
        <f t="shared" si="25"/>
        <v/>
      </c>
      <c r="R71" s="19" t="str">
        <f t="shared" si="32"/>
        <v/>
      </c>
      <c r="S71" s="27" t="str">
        <f t="shared" si="31"/>
        <v/>
      </c>
      <c r="T71" s="28" t="str">
        <f t="shared" si="31"/>
        <v/>
      </c>
      <c r="U71" s="28" t="str">
        <f t="shared" si="31"/>
        <v/>
      </c>
      <c r="V71" s="28" t="str">
        <f t="shared" si="31"/>
        <v/>
      </c>
      <c r="W71" s="28" t="str">
        <f t="shared" si="31"/>
        <v/>
      </c>
      <c r="X71" s="29" t="str">
        <f t="shared" si="31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5"/>
        <v/>
      </c>
      <c r="M72" s="19" t="str">
        <f t="shared" si="6"/>
        <v/>
      </c>
      <c r="N72" s="19" t="str">
        <f t="shared" si="7"/>
        <v/>
      </c>
      <c r="O72" s="19" t="str">
        <f t="shared" si="23"/>
        <v/>
      </c>
      <c r="P72" s="19" t="str">
        <f t="shared" si="24"/>
        <v/>
      </c>
      <c r="Q72" s="19" t="str">
        <f t="shared" si="25"/>
        <v/>
      </c>
      <c r="R72" s="19" t="str">
        <f t="shared" si="32"/>
        <v/>
      </c>
      <c r="S72" s="27" t="str">
        <f t="shared" si="31"/>
        <v/>
      </c>
      <c r="T72" s="28" t="str">
        <f t="shared" si="31"/>
        <v/>
      </c>
      <c r="U72" s="28" t="str">
        <f t="shared" si="31"/>
        <v/>
      </c>
      <c r="V72" s="28" t="str">
        <f t="shared" si="31"/>
        <v/>
      </c>
      <c r="W72" s="28" t="str">
        <f t="shared" si="31"/>
        <v/>
      </c>
      <c r="X72" s="29" t="str">
        <f t="shared" si="31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5"/>
        <v/>
      </c>
      <c r="M73" s="19" t="str">
        <f t="shared" si="6"/>
        <v/>
      </c>
      <c r="N73" s="19" t="str">
        <f t="shared" si="7"/>
        <v/>
      </c>
      <c r="O73" s="19" t="str">
        <f t="shared" si="23"/>
        <v/>
      </c>
      <c r="P73" s="19" t="str">
        <f t="shared" si="24"/>
        <v/>
      </c>
      <c r="Q73" s="19" t="str">
        <f t="shared" si="25"/>
        <v/>
      </c>
      <c r="R73" s="19" t="str">
        <f t="shared" si="32"/>
        <v/>
      </c>
      <c r="S73" s="27" t="str">
        <f t="shared" si="31"/>
        <v/>
      </c>
      <c r="T73" s="28" t="str">
        <f t="shared" si="31"/>
        <v/>
      </c>
      <c r="U73" s="28" t="str">
        <f t="shared" si="31"/>
        <v/>
      </c>
      <c r="V73" s="28" t="str">
        <f t="shared" si="31"/>
        <v/>
      </c>
      <c r="W73" s="28" t="str">
        <f t="shared" si="31"/>
        <v/>
      </c>
      <c r="X73" s="29" t="str">
        <f t="shared" si="31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5"/>
        <v/>
      </c>
      <c r="M74" s="19" t="str">
        <f t="shared" si="6"/>
        <v/>
      </c>
      <c r="N74" s="19" t="str">
        <f t="shared" si="7"/>
        <v/>
      </c>
      <c r="O74" s="19" t="str">
        <f t="shared" si="23"/>
        <v/>
      </c>
      <c r="P74" s="19" t="str">
        <f t="shared" si="24"/>
        <v/>
      </c>
      <c r="Q74" s="19" t="str">
        <f t="shared" si="25"/>
        <v/>
      </c>
      <c r="R74" s="19" t="str">
        <f t="shared" si="32"/>
        <v/>
      </c>
      <c r="S74" s="27" t="str">
        <f t="shared" si="31"/>
        <v/>
      </c>
      <c r="T74" s="28" t="str">
        <f t="shared" si="31"/>
        <v/>
      </c>
      <c r="U74" s="28" t="str">
        <f t="shared" si="31"/>
        <v/>
      </c>
      <c r="V74" s="28" t="str">
        <f t="shared" si="31"/>
        <v/>
      </c>
      <c r="W74" s="28" t="str">
        <f t="shared" si="31"/>
        <v/>
      </c>
      <c r="X74" s="29" t="str">
        <f t="shared" si="31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5"/>
        <v/>
      </c>
      <c r="M75" s="19" t="str">
        <f t="shared" si="6"/>
        <v/>
      </c>
      <c r="N75" s="19" t="str">
        <f t="shared" si="7"/>
        <v/>
      </c>
      <c r="O75" s="19" t="str">
        <f t="shared" si="23"/>
        <v/>
      </c>
      <c r="P75" s="19" t="str">
        <f t="shared" si="24"/>
        <v/>
      </c>
      <c r="Q75" s="19" t="str">
        <f t="shared" si="25"/>
        <v/>
      </c>
      <c r="R75" s="19" t="str">
        <f t="shared" si="32"/>
        <v/>
      </c>
      <c r="S75" s="27" t="str">
        <f t="shared" si="31"/>
        <v/>
      </c>
      <c r="T75" s="28" t="str">
        <f t="shared" si="31"/>
        <v/>
      </c>
      <c r="U75" s="28" t="str">
        <f t="shared" si="31"/>
        <v/>
      </c>
      <c r="V75" s="28" t="str">
        <f t="shared" si="31"/>
        <v/>
      </c>
      <c r="W75" s="28" t="str">
        <f t="shared" si="31"/>
        <v/>
      </c>
      <c r="X75" s="29" t="str">
        <f t="shared" si="31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5"/>
        <v/>
      </c>
      <c r="M76" s="19" t="str">
        <f t="shared" si="6"/>
        <v/>
      </c>
      <c r="N76" s="19" t="str">
        <f t="shared" si="7"/>
        <v/>
      </c>
      <c r="O76" s="19" t="str">
        <f t="shared" si="23"/>
        <v/>
      </c>
      <c r="P76" s="19" t="str">
        <f t="shared" si="24"/>
        <v/>
      </c>
      <c r="Q76" s="19" t="str">
        <f t="shared" si="25"/>
        <v/>
      </c>
      <c r="R76" s="19" t="str">
        <f t="shared" si="32"/>
        <v/>
      </c>
      <c r="S76" s="27" t="str">
        <f t="shared" si="31"/>
        <v/>
      </c>
      <c r="T76" s="28" t="str">
        <f t="shared" si="31"/>
        <v/>
      </c>
      <c r="U76" s="28" t="str">
        <f t="shared" si="31"/>
        <v/>
      </c>
      <c r="V76" s="28" t="str">
        <f t="shared" si="31"/>
        <v/>
      </c>
      <c r="W76" s="28" t="str">
        <f t="shared" si="31"/>
        <v/>
      </c>
      <c r="X76" s="29" t="str">
        <f t="shared" si="31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5"/>
        <v/>
      </c>
      <c r="M77" s="19" t="str">
        <f t="shared" si="6"/>
        <v/>
      </c>
      <c r="N77" s="19" t="str">
        <f t="shared" si="7"/>
        <v/>
      </c>
      <c r="O77" s="19" t="str">
        <f t="shared" si="23"/>
        <v/>
      </c>
      <c r="P77" s="19" t="str">
        <f t="shared" si="24"/>
        <v/>
      </c>
      <c r="Q77" s="19" t="str">
        <f t="shared" si="25"/>
        <v/>
      </c>
      <c r="R77" s="19" t="str">
        <f t="shared" si="32"/>
        <v/>
      </c>
      <c r="S77" s="27" t="str">
        <f t="shared" si="31"/>
        <v/>
      </c>
      <c r="T77" s="28" t="str">
        <f t="shared" si="31"/>
        <v/>
      </c>
      <c r="U77" s="28" t="str">
        <f t="shared" si="31"/>
        <v/>
      </c>
      <c r="V77" s="28" t="str">
        <f t="shared" si="31"/>
        <v/>
      </c>
      <c r="W77" s="28" t="str">
        <f t="shared" si="31"/>
        <v/>
      </c>
      <c r="X77" s="29" t="str">
        <f t="shared" si="31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5"/>
        <v/>
      </c>
      <c r="M78" s="19" t="str">
        <f t="shared" si="6"/>
        <v/>
      </c>
      <c r="N78" s="19" t="str">
        <f t="shared" si="7"/>
        <v/>
      </c>
      <c r="O78" s="19" t="str">
        <f t="shared" si="23"/>
        <v/>
      </c>
      <c r="P78" s="19" t="str">
        <f t="shared" si="24"/>
        <v/>
      </c>
      <c r="Q78" s="19" t="str">
        <f t="shared" si="25"/>
        <v/>
      </c>
      <c r="R78" s="19" t="str">
        <f t="shared" si="32"/>
        <v/>
      </c>
      <c r="S78" s="27" t="str">
        <f t="shared" si="31"/>
        <v/>
      </c>
      <c r="T78" s="28" t="str">
        <f t="shared" si="31"/>
        <v/>
      </c>
      <c r="U78" s="28" t="str">
        <f t="shared" si="31"/>
        <v/>
      </c>
      <c r="V78" s="28" t="str">
        <f t="shared" si="31"/>
        <v/>
      </c>
      <c r="W78" s="28" t="str">
        <f t="shared" si="31"/>
        <v/>
      </c>
      <c r="X78" s="29" t="str">
        <f t="shared" si="31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5"/>
        <v/>
      </c>
      <c r="M79" s="19" t="str">
        <f t="shared" si="6"/>
        <v/>
      </c>
      <c r="N79" s="19" t="str">
        <f t="shared" si="7"/>
        <v/>
      </c>
      <c r="O79" s="19" t="str">
        <f t="shared" si="23"/>
        <v/>
      </c>
      <c r="P79" s="19" t="str">
        <f t="shared" si="24"/>
        <v/>
      </c>
      <c r="Q79" s="19" t="str">
        <f t="shared" si="25"/>
        <v/>
      </c>
      <c r="R79" s="19" t="str">
        <f t="shared" si="32"/>
        <v/>
      </c>
      <c r="S79" s="27" t="str">
        <f t="shared" si="31"/>
        <v/>
      </c>
      <c r="T79" s="28" t="str">
        <f t="shared" si="31"/>
        <v/>
      </c>
      <c r="U79" s="28" t="str">
        <f t="shared" si="31"/>
        <v/>
      </c>
      <c r="V79" s="28" t="str">
        <f t="shared" si="31"/>
        <v/>
      </c>
      <c r="W79" s="28" t="str">
        <f t="shared" si="31"/>
        <v/>
      </c>
      <c r="X79" s="29" t="str">
        <f t="shared" si="31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5"/>
        <v/>
      </c>
      <c r="M80" s="19" t="str">
        <f t="shared" si="6"/>
        <v/>
      </c>
      <c r="N80" s="19" t="str">
        <f t="shared" si="7"/>
        <v/>
      </c>
      <c r="O80" s="19" t="str">
        <f t="shared" si="23"/>
        <v/>
      </c>
      <c r="P80" s="19" t="str">
        <f t="shared" si="24"/>
        <v/>
      </c>
      <c r="Q80" s="19" t="str">
        <f t="shared" si="25"/>
        <v/>
      </c>
      <c r="R80" s="19" t="str">
        <f t="shared" si="32"/>
        <v/>
      </c>
      <c r="S80" s="27" t="str">
        <f t="shared" si="31"/>
        <v/>
      </c>
      <c r="T80" s="28" t="str">
        <f t="shared" si="31"/>
        <v/>
      </c>
      <c r="U80" s="28" t="str">
        <f t="shared" si="31"/>
        <v/>
      </c>
      <c r="V80" s="28" t="str">
        <f t="shared" si="31"/>
        <v/>
      </c>
      <c r="W80" s="28" t="str">
        <f t="shared" si="31"/>
        <v/>
      </c>
      <c r="X80" s="29" t="str">
        <f t="shared" si="31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5"/>
        <v/>
      </c>
      <c r="M81" s="19" t="str">
        <f t="shared" si="6"/>
        <v/>
      </c>
      <c r="N81" s="19" t="str">
        <f t="shared" si="7"/>
        <v/>
      </c>
      <c r="O81" s="19" t="str">
        <f t="shared" si="23"/>
        <v/>
      </c>
      <c r="P81" s="19" t="str">
        <f t="shared" si="24"/>
        <v/>
      </c>
      <c r="Q81" s="19" t="str">
        <f t="shared" si="25"/>
        <v/>
      </c>
      <c r="R81" s="19" t="str">
        <f t="shared" si="32"/>
        <v/>
      </c>
      <c r="S81" s="27" t="str">
        <f t="shared" ref="S81:X96" si="33">IF(C81="","",((C81-C80)*1000)/($B81-$B80))</f>
        <v/>
      </c>
      <c r="T81" s="28" t="str">
        <f t="shared" si="33"/>
        <v/>
      </c>
      <c r="U81" s="28" t="str">
        <f t="shared" si="33"/>
        <v/>
      </c>
      <c r="V81" s="28" t="str">
        <f t="shared" si="33"/>
        <v/>
      </c>
      <c r="W81" s="28" t="str">
        <f t="shared" si="33"/>
        <v/>
      </c>
      <c r="X81" s="29" t="str">
        <f t="shared" si="3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ref="L82:L145" si="34">IF(ISBLANK(C82),"",(C82-C$17)*1000)</f>
        <v/>
      </c>
      <c r="M82" s="19" t="str">
        <f t="shared" ref="M82:M145" si="35">IF(ISBLANK(D82),"",(D82-D$17)*1000)</f>
        <v/>
      </c>
      <c r="N82" s="19" t="str">
        <f t="shared" ref="N82:N145" si="36">IF(ISBLANK(E82),"",(E82-E$17)*1000)</f>
        <v/>
      </c>
      <c r="O82" s="19" t="str">
        <f t="shared" si="23"/>
        <v/>
      </c>
      <c r="P82" s="19" t="str">
        <f t="shared" si="24"/>
        <v/>
      </c>
      <c r="Q82" s="19" t="str">
        <f t="shared" si="25"/>
        <v/>
      </c>
      <c r="R82" s="19" t="str">
        <f t="shared" si="32"/>
        <v/>
      </c>
      <c r="S82" s="27" t="str">
        <f t="shared" si="33"/>
        <v/>
      </c>
      <c r="T82" s="28" t="str">
        <f t="shared" si="33"/>
        <v/>
      </c>
      <c r="U82" s="28" t="str">
        <f t="shared" si="33"/>
        <v/>
      </c>
      <c r="V82" s="28" t="str">
        <f t="shared" si="33"/>
        <v/>
      </c>
      <c r="W82" s="28" t="str">
        <f t="shared" si="33"/>
        <v/>
      </c>
      <c r="X82" s="29" t="str">
        <f t="shared" si="3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4"/>
        <v/>
      </c>
      <c r="M83" s="19" t="str">
        <f t="shared" si="35"/>
        <v/>
      </c>
      <c r="N83" s="19" t="str">
        <f t="shared" si="36"/>
        <v/>
      </c>
      <c r="O83" s="19" t="str">
        <f t="shared" si="23"/>
        <v/>
      </c>
      <c r="P83" s="19" t="str">
        <f t="shared" si="24"/>
        <v/>
      </c>
      <c r="Q83" s="19" t="str">
        <f t="shared" si="25"/>
        <v/>
      </c>
      <c r="R83" s="19" t="str">
        <f t="shared" si="32"/>
        <v/>
      </c>
      <c r="S83" s="27" t="str">
        <f t="shared" si="33"/>
        <v/>
      </c>
      <c r="T83" s="28" t="str">
        <f t="shared" si="33"/>
        <v/>
      </c>
      <c r="U83" s="28" t="str">
        <f t="shared" si="33"/>
        <v/>
      </c>
      <c r="V83" s="28" t="str">
        <f t="shared" si="33"/>
        <v/>
      </c>
      <c r="W83" s="28" t="str">
        <f t="shared" si="33"/>
        <v/>
      </c>
      <c r="X83" s="29" t="str">
        <f t="shared" si="3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4"/>
        <v/>
      </c>
      <c r="M84" s="19" t="str">
        <f t="shared" si="35"/>
        <v/>
      </c>
      <c r="N84" s="19" t="str">
        <f t="shared" si="36"/>
        <v/>
      </c>
      <c r="O84" s="19" t="str">
        <f t="shared" si="23"/>
        <v/>
      </c>
      <c r="P84" s="19" t="str">
        <f t="shared" si="24"/>
        <v/>
      </c>
      <c r="Q84" s="19" t="str">
        <f t="shared" si="25"/>
        <v/>
      </c>
      <c r="R84" s="19" t="str">
        <f t="shared" si="32"/>
        <v/>
      </c>
      <c r="S84" s="27" t="str">
        <f t="shared" si="33"/>
        <v/>
      </c>
      <c r="T84" s="28" t="str">
        <f t="shared" si="33"/>
        <v/>
      </c>
      <c r="U84" s="28" t="str">
        <f t="shared" si="33"/>
        <v/>
      </c>
      <c r="V84" s="28" t="str">
        <f t="shared" si="33"/>
        <v/>
      </c>
      <c r="W84" s="28" t="str">
        <f t="shared" si="33"/>
        <v/>
      </c>
      <c r="X84" s="29" t="str">
        <f t="shared" si="3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4"/>
        <v/>
      </c>
      <c r="M85" s="19" t="str">
        <f t="shared" si="35"/>
        <v/>
      </c>
      <c r="N85" s="19" t="str">
        <f t="shared" si="36"/>
        <v/>
      </c>
      <c r="O85" s="19" t="str">
        <f t="shared" si="23"/>
        <v/>
      </c>
      <c r="P85" s="19" t="str">
        <f t="shared" si="24"/>
        <v/>
      </c>
      <c r="Q85" s="19" t="str">
        <f t="shared" si="25"/>
        <v/>
      </c>
      <c r="R85" s="19" t="str">
        <f t="shared" si="32"/>
        <v/>
      </c>
      <c r="S85" s="27" t="str">
        <f t="shared" si="33"/>
        <v/>
      </c>
      <c r="T85" s="28" t="str">
        <f t="shared" si="33"/>
        <v/>
      </c>
      <c r="U85" s="28" t="str">
        <f t="shared" si="33"/>
        <v/>
      </c>
      <c r="V85" s="28" t="str">
        <f t="shared" si="33"/>
        <v/>
      </c>
      <c r="W85" s="28" t="str">
        <f t="shared" si="33"/>
        <v/>
      </c>
      <c r="X85" s="29" t="str">
        <f t="shared" si="3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4"/>
        <v/>
      </c>
      <c r="M86" s="19" t="str">
        <f t="shared" si="35"/>
        <v/>
      </c>
      <c r="N86" s="19" t="str">
        <f t="shared" si="36"/>
        <v/>
      </c>
      <c r="O86" s="19" t="str">
        <f t="shared" si="23"/>
        <v/>
      </c>
      <c r="P86" s="19" t="str">
        <f t="shared" si="24"/>
        <v/>
      </c>
      <c r="Q86" s="19" t="str">
        <f t="shared" si="25"/>
        <v/>
      </c>
      <c r="R86" s="19" t="str">
        <f t="shared" si="32"/>
        <v/>
      </c>
      <c r="S86" s="27" t="str">
        <f t="shared" si="33"/>
        <v/>
      </c>
      <c r="T86" s="28" t="str">
        <f t="shared" si="33"/>
        <v/>
      </c>
      <c r="U86" s="28" t="str">
        <f t="shared" si="33"/>
        <v/>
      </c>
      <c r="V86" s="28" t="str">
        <f t="shared" si="33"/>
        <v/>
      </c>
      <c r="W86" s="28" t="str">
        <f t="shared" si="33"/>
        <v/>
      </c>
      <c r="X86" s="29" t="str">
        <f t="shared" si="3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4"/>
        <v/>
      </c>
      <c r="M87" s="19" t="str">
        <f t="shared" si="35"/>
        <v/>
      </c>
      <c r="N87" s="19" t="str">
        <f t="shared" si="36"/>
        <v/>
      </c>
      <c r="O87" s="19" t="str">
        <f t="shared" si="23"/>
        <v/>
      </c>
      <c r="P87" s="19" t="str">
        <f t="shared" si="24"/>
        <v/>
      </c>
      <c r="Q87" s="19" t="str">
        <f t="shared" si="25"/>
        <v/>
      </c>
      <c r="R87" s="19" t="str">
        <f t="shared" si="32"/>
        <v/>
      </c>
      <c r="S87" s="27" t="str">
        <f t="shared" si="33"/>
        <v/>
      </c>
      <c r="T87" s="28" t="str">
        <f t="shared" si="33"/>
        <v/>
      </c>
      <c r="U87" s="28" t="str">
        <f t="shared" si="33"/>
        <v/>
      </c>
      <c r="V87" s="28" t="str">
        <f t="shared" si="33"/>
        <v/>
      </c>
      <c r="W87" s="28" t="str">
        <f t="shared" si="33"/>
        <v/>
      </c>
      <c r="X87" s="29" t="str">
        <f t="shared" si="3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4"/>
        <v/>
      </c>
      <c r="M88" s="19" t="str">
        <f t="shared" si="35"/>
        <v/>
      </c>
      <c r="N88" s="19" t="str">
        <f t="shared" si="36"/>
        <v/>
      </c>
      <c r="O88" s="19" t="str">
        <f t="shared" si="23"/>
        <v/>
      </c>
      <c r="P88" s="19" t="str">
        <f t="shared" si="24"/>
        <v/>
      </c>
      <c r="Q88" s="19" t="str">
        <f t="shared" si="25"/>
        <v/>
      </c>
      <c r="R88" s="19" t="str">
        <f t="shared" si="32"/>
        <v/>
      </c>
      <c r="S88" s="27" t="str">
        <f t="shared" si="33"/>
        <v/>
      </c>
      <c r="T88" s="28" t="str">
        <f t="shared" si="33"/>
        <v/>
      </c>
      <c r="U88" s="28" t="str">
        <f t="shared" si="33"/>
        <v/>
      </c>
      <c r="V88" s="28" t="str">
        <f t="shared" si="33"/>
        <v/>
      </c>
      <c r="W88" s="28" t="str">
        <f t="shared" si="33"/>
        <v/>
      </c>
      <c r="X88" s="29" t="str">
        <f t="shared" si="3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4"/>
        <v/>
      </c>
      <c r="M89" s="19" t="str">
        <f t="shared" si="35"/>
        <v/>
      </c>
      <c r="N89" s="19" t="str">
        <f t="shared" si="36"/>
        <v/>
      </c>
      <c r="O89" s="19" t="str">
        <f t="shared" si="23"/>
        <v/>
      </c>
      <c r="P89" s="19" t="str">
        <f t="shared" si="24"/>
        <v/>
      </c>
      <c r="Q89" s="19" t="str">
        <f t="shared" si="25"/>
        <v/>
      </c>
      <c r="R89" s="19" t="str">
        <f t="shared" si="32"/>
        <v/>
      </c>
      <c r="S89" s="27" t="str">
        <f t="shared" si="33"/>
        <v/>
      </c>
      <c r="T89" s="28" t="str">
        <f t="shared" si="33"/>
        <v/>
      </c>
      <c r="U89" s="28" t="str">
        <f t="shared" si="33"/>
        <v/>
      </c>
      <c r="V89" s="28" t="str">
        <f t="shared" si="33"/>
        <v/>
      </c>
      <c r="W89" s="28" t="str">
        <f t="shared" si="33"/>
        <v/>
      </c>
      <c r="X89" s="29" t="str">
        <f t="shared" si="3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4"/>
        <v/>
      </c>
      <c r="M90" s="19" t="str">
        <f t="shared" si="35"/>
        <v/>
      </c>
      <c r="N90" s="19" t="str">
        <f t="shared" si="36"/>
        <v/>
      </c>
      <c r="O90" s="19" t="str">
        <f t="shared" si="23"/>
        <v/>
      </c>
      <c r="P90" s="19" t="str">
        <f t="shared" si="24"/>
        <v/>
      </c>
      <c r="Q90" s="19" t="str">
        <f t="shared" si="25"/>
        <v/>
      </c>
      <c r="R90" s="19" t="str">
        <f t="shared" si="32"/>
        <v/>
      </c>
      <c r="S90" s="27" t="str">
        <f t="shared" si="33"/>
        <v/>
      </c>
      <c r="T90" s="28" t="str">
        <f t="shared" si="33"/>
        <v/>
      </c>
      <c r="U90" s="28" t="str">
        <f t="shared" si="33"/>
        <v/>
      </c>
      <c r="V90" s="28" t="str">
        <f t="shared" si="33"/>
        <v/>
      </c>
      <c r="W90" s="28" t="str">
        <f t="shared" si="33"/>
        <v/>
      </c>
      <c r="X90" s="29" t="str">
        <f t="shared" si="3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4"/>
        <v/>
      </c>
      <c r="M91" s="19" t="str">
        <f t="shared" si="35"/>
        <v/>
      </c>
      <c r="N91" s="19" t="str">
        <f t="shared" si="36"/>
        <v/>
      </c>
      <c r="O91" s="19" t="str">
        <f t="shared" si="23"/>
        <v/>
      </c>
      <c r="P91" s="19" t="str">
        <f t="shared" si="24"/>
        <v/>
      </c>
      <c r="Q91" s="19" t="str">
        <f t="shared" si="25"/>
        <v/>
      </c>
      <c r="R91" s="19" t="str">
        <f t="shared" si="32"/>
        <v/>
      </c>
      <c r="S91" s="27" t="str">
        <f t="shared" si="33"/>
        <v/>
      </c>
      <c r="T91" s="28" t="str">
        <f t="shared" si="33"/>
        <v/>
      </c>
      <c r="U91" s="28" t="str">
        <f t="shared" si="33"/>
        <v/>
      </c>
      <c r="V91" s="28" t="str">
        <f t="shared" si="33"/>
        <v/>
      </c>
      <c r="W91" s="28" t="str">
        <f t="shared" si="33"/>
        <v/>
      </c>
      <c r="X91" s="29" t="str">
        <f t="shared" si="3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4"/>
        <v/>
      </c>
      <c r="M92" s="19" t="str">
        <f t="shared" si="35"/>
        <v/>
      </c>
      <c r="N92" s="19" t="str">
        <f t="shared" si="36"/>
        <v/>
      </c>
      <c r="O92" s="19" t="str">
        <f t="shared" si="23"/>
        <v/>
      </c>
      <c r="P92" s="19" t="str">
        <f t="shared" si="24"/>
        <v/>
      </c>
      <c r="Q92" s="19" t="str">
        <f t="shared" si="25"/>
        <v/>
      </c>
      <c r="R92" s="19" t="str">
        <f t="shared" si="32"/>
        <v/>
      </c>
      <c r="S92" s="27" t="str">
        <f t="shared" si="33"/>
        <v/>
      </c>
      <c r="T92" s="28" t="str">
        <f t="shared" si="33"/>
        <v/>
      </c>
      <c r="U92" s="28" t="str">
        <f t="shared" si="33"/>
        <v/>
      </c>
      <c r="V92" s="28" t="str">
        <f t="shared" si="33"/>
        <v/>
      </c>
      <c r="W92" s="28" t="str">
        <f t="shared" si="33"/>
        <v/>
      </c>
      <c r="X92" s="29" t="str">
        <f t="shared" si="3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4"/>
        <v/>
      </c>
      <c r="M93" s="19" t="str">
        <f t="shared" si="35"/>
        <v/>
      </c>
      <c r="N93" s="19" t="str">
        <f t="shared" si="36"/>
        <v/>
      </c>
      <c r="O93" s="19" t="str">
        <f t="shared" si="23"/>
        <v/>
      </c>
      <c r="P93" s="19" t="str">
        <f t="shared" si="24"/>
        <v/>
      </c>
      <c r="Q93" s="19" t="str">
        <f t="shared" si="25"/>
        <v/>
      </c>
      <c r="R93" s="19" t="str">
        <f t="shared" si="32"/>
        <v/>
      </c>
      <c r="S93" s="27" t="str">
        <f t="shared" si="33"/>
        <v/>
      </c>
      <c r="T93" s="28" t="str">
        <f t="shared" si="33"/>
        <v/>
      </c>
      <c r="U93" s="28" t="str">
        <f t="shared" si="33"/>
        <v/>
      </c>
      <c r="V93" s="28" t="str">
        <f t="shared" si="33"/>
        <v/>
      </c>
      <c r="W93" s="28" t="str">
        <f t="shared" si="33"/>
        <v/>
      </c>
      <c r="X93" s="29" t="str">
        <f t="shared" si="3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4"/>
        <v/>
      </c>
      <c r="M94" s="19" t="str">
        <f t="shared" si="35"/>
        <v/>
      </c>
      <c r="N94" s="19" t="str">
        <f t="shared" si="36"/>
        <v/>
      </c>
      <c r="O94" s="19" t="str">
        <f t="shared" si="23"/>
        <v/>
      </c>
      <c r="P94" s="19" t="str">
        <f t="shared" si="24"/>
        <v/>
      </c>
      <c r="Q94" s="19" t="str">
        <f t="shared" si="25"/>
        <v/>
      </c>
      <c r="R94" s="19" t="str">
        <f t="shared" si="32"/>
        <v/>
      </c>
      <c r="S94" s="27" t="str">
        <f t="shared" si="33"/>
        <v/>
      </c>
      <c r="T94" s="28" t="str">
        <f t="shared" si="33"/>
        <v/>
      </c>
      <c r="U94" s="28" t="str">
        <f t="shared" si="33"/>
        <v/>
      </c>
      <c r="V94" s="28" t="str">
        <f t="shared" si="33"/>
        <v/>
      </c>
      <c r="W94" s="28" t="str">
        <f t="shared" si="33"/>
        <v/>
      </c>
      <c r="X94" s="29" t="str">
        <f t="shared" si="3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4"/>
        <v/>
      </c>
      <c r="M95" s="19" t="str">
        <f t="shared" si="35"/>
        <v/>
      </c>
      <c r="N95" s="19" t="str">
        <f t="shared" si="36"/>
        <v/>
      </c>
      <c r="O95" s="19" t="str">
        <f t="shared" si="23"/>
        <v/>
      </c>
      <c r="P95" s="19" t="str">
        <f t="shared" si="24"/>
        <v/>
      </c>
      <c r="Q95" s="19" t="str">
        <f t="shared" si="25"/>
        <v/>
      </c>
      <c r="R95" s="19" t="str">
        <f t="shared" si="32"/>
        <v/>
      </c>
      <c r="S95" s="27" t="str">
        <f t="shared" si="33"/>
        <v/>
      </c>
      <c r="T95" s="28" t="str">
        <f t="shared" si="33"/>
        <v/>
      </c>
      <c r="U95" s="28" t="str">
        <f t="shared" si="33"/>
        <v/>
      </c>
      <c r="V95" s="28" t="str">
        <f t="shared" si="33"/>
        <v/>
      </c>
      <c r="W95" s="28" t="str">
        <f t="shared" si="33"/>
        <v/>
      </c>
      <c r="X95" s="29" t="str">
        <f t="shared" si="3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4"/>
        <v/>
      </c>
      <c r="M96" s="19" t="str">
        <f t="shared" si="35"/>
        <v/>
      </c>
      <c r="N96" s="19" t="str">
        <f t="shared" si="36"/>
        <v/>
      </c>
      <c r="O96" s="19" t="str">
        <f t="shared" si="23"/>
        <v/>
      </c>
      <c r="P96" s="19" t="str">
        <f t="shared" si="24"/>
        <v/>
      </c>
      <c r="Q96" s="19" t="str">
        <f t="shared" si="25"/>
        <v/>
      </c>
      <c r="R96" s="19" t="str">
        <f t="shared" si="32"/>
        <v/>
      </c>
      <c r="S96" s="27" t="str">
        <f t="shared" si="33"/>
        <v/>
      </c>
      <c r="T96" s="28" t="str">
        <f t="shared" si="33"/>
        <v/>
      </c>
      <c r="U96" s="28" t="str">
        <f t="shared" si="33"/>
        <v/>
      </c>
      <c r="V96" s="28" t="str">
        <f t="shared" si="33"/>
        <v/>
      </c>
      <c r="W96" s="28" t="str">
        <f t="shared" si="33"/>
        <v/>
      </c>
      <c r="X96" s="29" t="str">
        <f t="shared" si="3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4"/>
        <v/>
      </c>
      <c r="M97" s="19" t="str">
        <f t="shared" si="35"/>
        <v/>
      </c>
      <c r="N97" s="19" t="str">
        <f t="shared" si="36"/>
        <v/>
      </c>
      <c r="O97" s="19" t="str">
        <f t="shared" si="23"/>
        <v/>
      </c>
      <c r="P97" s="19" t="str">
        <f t="shared" si="24"/>
        <v/>
      </c>
      <c r="Q97" s="19" t="str">
        <f t="shared" si="25"/>
        <v/>
      </c>
      <c r="R97" s="19" t="str">
        <f t="shared" si="32"/>
        <v/>
      </c>
      <c r="S97" s="27" t="str">
        <f t="shared" ref="S97:X112" si="37">IF(C97="","",((C97-C96)*1000)/($B97-$B96))</f>
        <v/>
      </c>
      <c r="T97" s="28" t="str">
        <f t="shared" si="37"/>
        <v/>
      </c>
      <c r="U97" s="28" t="str">
        <f t="shared" si="37"/>
        <v/>
      </c>
      <c r="V97" s="28" t="str">
        <f t="shared" si="37"/>
        <v/>
      </c>
      <c r="W97" s="28" t="str">
        <f t="shared" si="37"/>
        <v/>
      </c>
      <c r="X97" s="29" t="str">
        <f t="shared" si="37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4"/>
        <v/>
      </c>
      <c r="M98" s="19" t="str">
        <f t="shared" si="35"/>
        <v/>
      </c>
      <c r="N98" s="19" t="str">
        <f t="shared" si="36"/>
        <v/>
      </c>
      <c r="O98" s="19" t="str">
        <f t="shared" si="23"/>
        <v/>
      </c>
      <c r="P98" s="19" t="str">
        <f t="shared" si="24"/>
        <v/>
      </c>
      <c r="Q98" s="19" t="str">
        <f t="shared" si="25"/>
        <v/>
      </c>
      <c r="R98" s="19" t="str">
        <f t="shared" si="32"/>
        <v/>
      </c>
      <c r="S98" s="27" t="str">
        <f t="shared" si="37"/>
        <v/>
      </c>
      <c r="T98" s="28" t="str">
        <f t="shared" si="37"/>
        <v/>
      </c>
      <c r="U98" s="28" t="str">
        <f t="shared" si="37"/>
        <v/>
      </c>
      <c r="V98" s="28" t="str">
        <f t="shared" si="37"/>
        <v/>
      </c>
      <c r="W98" s="28" t="str">
        <f t="shared" si="37"/>
        <v/>
      </c>
      <c r="X98" s="29" t="str">
        <f t="shared" si="37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4"/>
        <v/>
      </c>
      <c r="M99" s="19" t="str">
        <f t="shared" si="35"/>
        <v/>
      </c>
      <c r="N99" s="19" t="str">
        <f t="shared" si="36"/>
        <v/>
      </c>
      <c r="O99" s="19" t="str">
        <f t="shared" ref="O99:O153" si="38">IF(ISBLANK(F99),"",((F99-F$34)*1000)+L$34)</f>
        <v/>
      </c>
      <c r="P99" s="19" t="str">
        <f t="shared" ref="P99:P153" si="39">IF(ISBLANK(G99),"",((G99-G$34)*1000)+M$34)</f>
        <v/>
      </c>
      <c r="Q99" s="19" t="str">
        <f t="shared" ref="Q99:Q153" si="40">IF(ISBLANK(H99),"",((H99-H$34)*1000)+N$34)</f>
        <v/>
      </c>
      <c r="R99" s="19" t="str">
        <f t="shared" si="32"/>
        <v/>
      </c>
      <c r="S99" s="27" t="str">
        <f t="shared" si="37"/>
        <v/>
      </c>
      <c r="T99" s="28" t="str">
        <f t="shared" si="37"/>
        <v/>
      </c>
      <c r="U99" s="28" t="str">
        <f t="shared" si="37"/>
        <v/>
      </c>
      <c r="V99" s="28" t="str">
        <f t="shared" si="37"/>
        <v/>
      </c>
      <c r="W99" s="28" t="str">
        <f t="shared" si="37"/>
        <v/>
      </c>
      <c r="X99" s="29" t="str">
        <f t="shared" si="37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4"/>
        <v/>
      </c>
      <c r="M100" s="19" t="str">
        <f t="shared" si="35"/>
        <v/>
      </c>
      <c r="N100" s="19" t="str">
        <f t="shared" si="36"/>
        <v/>
      </c>
      <c r="O100" s="19" t="str">
        <f t="shared" si="38"/>
        <v/>
      </c>
      <c r="P100" s="19" t="str">
        <f t="shared" si="39"/>
        <v/>
      </c>
      <c r="Q100" s="19" t="str">
        <f t="shared" si="40"/>
        <v/>
      </c>
      <c r="R100" s="19" t="str">
        <f t="shared" si="32"/>
        <v/>
      </c>
      <c r="S100" s="27" t="str">
        <f t="shared" si="37"/>
        <v/>
      </c>
      <c r="T100" s="28" t="str">
        <f t="shared" si="37"/>
        <v/>
      </c>
      <c r="U100" s="28" t="str">
        <f t="shared" si="37"/>
        <v/>
      </c>
      <c r="V100" s="28" t="str">
        <f t="shared" si="37"/>
        <v/>
      </c>
      <c r="W100" s="28" t="str">
        <f t="shared" si="37"/>
        <v/>
      </c>
      <c r="X100" s="29" t="str">
        <f t="shared" si="37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4"/>
        <v/>
      </c>
      <c r="M101" s="19" t="str">
        <f t="shared" si="35"/>
        <v/>
      </c>
      <c r="N101" s="19" t="str">
        <f t="shared" si="36"/>
        <v/>
      </c>
      <c r="O101" s="19" t="str">
        <f t="shared" si="38"/>
        <v/>
      </c>
      <c r="P101" s="19" t="str">
        <f t="shared" si="39"/>
        <v/>
      </c>
      <c r="Q101" s="19" t="str">
        <f t="shared" si="40"/>
        <v/>
      </c>
      <c r="R101" s="19" t="str">
        <f t="shared" si="32"/>
        <v/>
      </c>
      <c r="S101" s="27" t="str">
        <f t="shared" si="37"/>
        <v/>
      </c>
      <c r="T101" s="28" t="str">
        <f t="shared" si="37"/>
        <v/>
      </c>
      <c r="U101" s="28" t="str">
        <f t="shared" si="37"/>
        <v/>
      </c>
      <c r="V101" s="28" t="str">
        <f t="shared" si="37"/>
        <v/>
      </c>
      <c r="W101" s="28" t="str">
        <f t="shared" si="37"/>
        <v/>
      </c>
      <c r="X101" s="29" t="str">
        <f t="shared" si="37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4"/>
        <v/>
      </c>
      <c r="M102" s="19" t="str">
        <f t="shared" si="35"/>
        <v/>
      </c>
      <c r="N102" s="19" t="str">
        <f t="shared" si="36"/>
        <v/>
      </c>
      <c r="O102" s="19" t="str">
        <f t="shared" si="38"/>
        <v/>
      </c>
      <c r="P102" s="19" t="str">
        <f t="shared" si="39"/>
        <v/>
      </c>
      <c r="Q102" s="19" t="str">
        <f t="shared" si="40"/>
        <v/>
      </c>
      <c r="R102" s="19" t="str">
        <f t="shared" si="32"/>
        <v/>
      </c>
      <c r="S102" s="27" t="str">
        <f t="shared" si="37"/>
        <v/>
      </c>
      <c r="T102" s="28" t="str">
        <f t="shared" si="37"/>
        <v/>
      </c>
      <c r="U102" s="28" t="str">
        <f t="shared" si="37"/>
        <v/>
      </c>
      <c r="V102" s="28" t="str">
        <f t="shared" si="37"/>
        <v/>
      </c>
      <c r="W102" s="28" t="str">
        <f t="shared" si="37"/>
        <v/>
      </c>
      <c r="X102" s="29" t="str">
        <f t="shared" si="37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4"/>
        <v/>
      </c>
      <c r="M103" s="19" t="str">
        <f t="shared" si="35"/>
        <v/>
      </c>
      <c r="N103" s="19" t="str">
        <f t="shared" si="36"/>
        <v/>
      </c>
      <c r="O103" s="19" t="str">
        <f t="shared" si="38"/>
        <v/>
      </c>
      <c r="P103" s="19" t="str">
        <f t="shared" si="39"/>
        <v/>
      </c>
      <c r="Q103" s="19" t="str">
        <f t="shared" si="40"/>
        <v/>
      </c>
      <c r="R103" s="19" t="str">
        <f t="shared" si="32"/>
        <v/>
      </c>
      <c r="S103" s="27" t="str">
        <f t="shared" si="37"/>
        <v/>
      </c>
      <c r="T103" s="28" t="str">
        <f t="shared" si="37"/>
        <v/>
      </c>
      <c r="U103" s="28" t="str">
        <f t="shared" si="37"/>
        <v/>
      </c>
      <c r="V103" s="28" t="str">
        <f t="shared" si="37"/>
        <v/>
      </c>
      <c r="W103" s="28" t="str">
        <f t="shared" si="37"/>
        <v/>
      </c>
      <c r="X103" s="29" t="str">
        <f t="shared" si="37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34"/>
        <v/>
      </c>
      <c r="M104" s="19" t="str">
        <f t="shared" si="35"/>
        <v/>
      </c>
      <c r="N104" s="19" t="str">
        <f t="shared" si="36"/>
        <v/>
      </c>
      <c r="O104" s="19" t="str">
        <f t="shared" si="38"/>
        <v/>
      </c>
      <c r="P104" s="19" t="str">
        <f t="shared" si="39"/>
        <v/>
      </c>
      <c r="Q104" s="19" t="str">
        <f t="shared" si="40"/>
        <v/>
      </c>
      <c r="R104" s="19" t="str">
        <f t="shared" si="32"/>
        <v/>
      </c>
      <c r="S104" s="27" t="str">
        <f t="shared" si="37"/>
        <v/>
      </c>
      <c r="T104" s="28" t="str">
        <f t="shared" si="37"/>
        <v/>
      </c>
      <c r="U104" s="28" t="str">
        <f t="shared" si="37"/>
        <v/>
      </c>
      <c r="V104" s="28" t="str">
        <f t="shared" si="37"/>
        <v/>
      </c>
      <c r="W104" s="28" t="str">
        <f t="shared" si="37"/>
        <v/>
      </c>
      <c r="X104" s="29" t="str">
        <f t="shared" si="37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34"/>
        <v/>
      </c>
      <c r="M105" s="19" t="str">
        <f t="shared" si="35"/>
        <v/>
      </c>
      <c r="N105" s="19" t="str">
        <f t="shared" si="36"/>
        <v/>
      </c>
      <c r="O105" s="19" t="str">
        <f t="shared" si="38"/>
        <v/>
      </c>
      <c r="P105" s="19" t="str">
        <f t="shared" si="39"/>
        <v/>
      </c>
      <c r="Q105" s="19" t="str">
        <f t="shared" si="40"/>
        <v/>
      </c>
      <c r="R105" s="19" t="str">
        <f t="shared" si="32"/>
        <v/>
      </c>
      <c r="S105" s="27" t="str">
        <f t="shared" si="37"/>
        <v/>
      </c>
      <c r="T105" s="28" t="str">
        <f t="shared" si="37"/>
        <v/>
      </c>
      <c r="U105" s="28" t="str">
        <f t="shared" si="37"/>
        <v/>
      </c>
      <c r="V105" s="28" t="str">
        <f t="shared" si="37"/>
        <v/>
      </c>
      <c r="W105" s="28" t="str">
        <f t="shared" si="37"/>
        <v/>
      </c>
      <c r="X105" s="29" t="str">
        <f t="shared" si="37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34"/>
        <v/>
      </c>
      <c r="M106" s="19" t="str">
        <f t="shared" si="35"/>
        <v/>
      </c>
      <c r="N106" s="19" t="str">
        <f t="shared" si="36"/>
        <v/>
      </c>
      <c r="O106" s="19" t="str">
        <f t="shared" si="38"/>
        <v/>
      </c>
      <c r="P106" s="19" t="str">
        <f t="shared" si="39"/>
        <v/>
      </c>
      <c r="Q106" s="19" t="str">
        <f t="shared" si="40"/>
        <v/>
      </c>
      <c r="R106" s="19" t="str">
        <f t="shared" si="32"/>
        <v/>
      </c>
      <c r="S106" s="27" t="str">
        <f t="shared" si="37"/>
        <v/>
      </c>
      <c r="T106" s="28" t="str">
        <f t="shared" si="37"/>
        <v/>
      </c>
      <c r="U106" s="28" t="str">
        <f t="shared" si="37"/>
        <v/>
      </c>
      <c r="V106" s="28" t="str">
        <f t="shared" si="37"/>
        <v/>
      </c>
      <c r="W106" s="28" t="str">
        <f t="shared" si="37"/>
        <v/>
      </c>
      <c r="X106" s="29" t="str">
        <f t="shared" si="37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34"/>
        <v/>
      </c>
      <c r="M107" s="19" t="str">
        <f t="shared" si="35"/>
        <v/>
      </c>
      <c r="N107" s="19" t="str">
        <f t="shared" si="36"/>
        <v/>
      </c>
      <c r="O107" s="19" t="str">
        <f t="shared" si="38"/>
        <v/>
      </c>
      <c r="P107" s="19" t="str">
        <f t="shared" si="39"/>
        <v/>
      </c>
      <c r="Q107" s="19" t="str">
        <f t="shared" si="40"/>
        <v/>
      </c>
      <c r="R107" s="19" t="str">
        <f t="shared" si="32"/>
        <v/>
      </c>
      <c r="S107" s="27" t="str">
        <f t="shared" si="37"/>
        <v/>
      </c>
      <c r="T107" s="28" t="str">
        <f t="shared" si="37"/>
        <v/>
      </c>
      <c r="U107" s="28" t="str">
        <f t="shared" si="37"/>
        <v/>
      </c>
      <c r="V107" s="28" t="str">
        <f t="shared" si="37"/>
        <v/>
      </c>
      <c r="W107" s="28" t="str">
        <f t="shared" si="37"/>
        <v/>
      </c>
      <c r="X107" s="29" t="str">
        <f t="shared" si="37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34"/>
        <v/>
      </c>
      <c r="M108" s="19" t="str">
        <f t="shared" si="35"/>
        <v/>
      </c>
      <c r="N108" s="19" t="str">
        <f t="shared" si="36"/>
        <v/>
      </c>
      <c r="O108" s="19" t="str">
        <f t="shared" si="38"/>
        <v/>
      </c>
      <c r="P108" s="19" t="str">
        <f t="shared" si="39"/>
        <v/>
      </c>
      <c r="Q108" s="19" t="str">
        <f t="shared" si="40"/>
        <v/>
      </c>
      <c r="R108" s="19" t="str">
        <f t="shared" si="32"/>
        <v/>
      </c>
      <c r="S108" s="27" t="str">
        <f t="shared" si="37"/>
        <v/>
      </c>
      <c r="T108" s="28" t="str">
        <f t="shared" si="37"/>
        <v/>
      </c>
      <c r="U108" s="28" t="str">
        <f t="shared" si="37"/>
        <v/>
      </c>
      <c r="V108" s="28" t="str">
        <f t="shared" si="37"/>
        <v/>
      </c>
      <c r="W108" s="28" t="str">
        <f t="shared" si="37"/>
        <v/>
      </c>
      <c r="X108" s="29" t="str">
        <f t="shared" si="37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34"/>
        <v/>
      </c>
      <c r="M109" s="19" t="str">
        <f t="shared" si="35"/>
        <v/>
      </c>
      <c r="N109" s="19" t="str">
        <f t="shared" si="36"/>
        <v/>
      </c>
      <c r="O109" s="19" t="str">
        <f t="shared" si="38"/>
        <v/>
      </c>
      <c r="P109" s="19" t="str">
        <f t="shared" si="39"/>
        <v/>
      </c>
      <c r="Q109" s="19" t="str">
        <f t="shared" si="40"/>
        <v/>
      </c>
      <c r="R109" s="19" t="str">
        <f t="shared" si="32"/>
        <v/>
      </c>
      <c r="S109" s="27" t="str">
        <f t="shared" si="37"/>
        <v/>
      </c>
      <c r="T109" s="28" t="str">
        <f t="shared" si="37"/>
        <v/>
      </c>
      <c r="U109" s="28" t="str">
        <f t="shared" si="37"/>
        <v/>
      </c>
      <c r="V109" s="28" t="str">
        <f t="shared" si="37"/>
        <v/>
      </c>
      <c r="W109" s="28" t="str">
        <f t="shared" si="37"/>
        <v/>
      </c>
      <c r="X109" s="29" t="str">
        <f t="shared" si="37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34"/>
        <v/>
      </c>
      <c r="M110" s="19" t="str">
        <f t="shared" si="35"/>
        <v/>
      </c>
      <c r="N110" s="19" t="str">
        <f t="shared" si="36"/>
        <v/>
      </c>
      <c r="O110" s="19" t="str">
        <f t="shared" si="38"/>
        <v/>
      </c>
      <c r="P110" s="19" t="str">
        <f t="shared" si="39"/>
        <v/>
      </c>
      <c r="Q110" s="19" t="str">
        <f t="shared" si="40"/>
        <v/>
      </c>
      <c r="R110" s="19" t="str">
        <f t="shared" si="32"/>
        <v/>
      </c>
      <c r="S110" s="27" t="str">
        <f t="shared" si="37"/>
        <v/>
      </c>
      <c r="T110" s="28" t="str">
        <f t="shared" si="37"/>
        <v/>
      </c>
      <c r="U110" s="28" t="str">
        <f t="shared" si="37"/>
        <v/>
      </c>
      <c r="V110" s="28" t="str">
        <f t="shared" si="37"/>
        <v/>
      </c>
      <c r="W110" s="28" t="str">
        <f t="shared" si="37"/>
        <v/>
      </c>
      <c r="X110" s="29" t="str">
        <f t="shared" si="37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34"/>
        <v/>
      </c>
      <c r="M111" s="19" t="str">
        <f t="shared" si="35"/>
        <v/>
      </c>
      <c r="N111" s="19" t="str">
        <f t="shared" si="36"/>
        <v/>
      </c>
      <c r="O111" s="19" t="str">
        <f t="shared" si="38"/>
        <v/>
      </c>
      <c r="P111" s="19" t="str">
        <f t="shared" si="39"/>
        <v/>
      </c>
      <c r="Q111" s="19" t="str">
        <f t="shared" si="40"/>
        <v/>
      </c>
      <c r="R111" s="19" t="str">
        <f t="shared" si="32"/>
        <v/>
      </c>
      <c r="S111" s="27" t="str">
        <f t="shared" si="37"/>
        <v/>
      </c>
      <c r="T111" s="28" t="str">
        <f t="shared" si="37"/>
        <v/>
      </c>
      <c r="U111" s="28" t="str">
        <f t="shared" si="37"/>
        <v/>
      </c>
      <c r="V111" s="28" t="str">
        <f t="shared" si="37"/>
        <v/>
      </c>
      <c r="W111" s="28" t="str">
        <f t="shared" si="37"/>
        <v/>
      </c>
      <c r="X111" s="29" t="str">
        <f t="shared" si="37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34"/>
        <v/>
      </c>
      <c r="M112" s="19" t="str">
        <f t="shared" si="35"/>
        <v/>
      </c>
      <c r="N112" s="19" t="str">
        <f t="shared" si="36"/>
        <v/>
      </c>
      <c r="O112" s="19" t="str">
        <f t="shared" si="38"/>
        <v/>
      </c>
      <c r="P112" s="19" t="str">
        <f t="shared" si="39"/>
        <v/>
      </c>
      <c r="Q112" s="19" t="str">
        <f t="shared" si="40"/>
        <v/>
      </c>
      <c r="R112" s="19" t="str">
        <f t="shared" si="32"/>
        <v/>
      </c>
      <c r="S112" s="27" t="str">
        <f t="shared" si="37"/>
        <v/>
      </c>
      <c r="T112" s="28" t="str">
        <f t="shared" si="37"/>
        <v/>
      </c>
      <c r="U112" s="28" t="str">
        <f t="shared" si="37"/>
        <v/>
      </c>
      <c r="V112" s="28" t="str">
        <f t="shared" si="37"/>
        <v/>
      </c>
      <c r="W112" s="28" t="str">
        <f t="shared" si="37"/>
        <v/>
      </c>
      <c r="X112" s="29" t="str">
        <f t="shared" si="37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34"/>
        <v/>
      </c>
      <c r="M113" s="19" t="str">
        <f t="shared" si="35"/>
        <v/>
      </c>
      <c r="N113" s="19" t="str">
        <f t="shared" si="36"/>
        <v/>
      </c>
      <c r="O113" s="19" t="str">
        <f t="shared" si="38"/>
        <v/>
      </c>
      <c r="P113" s="19" t="str">
        <f t="shared" si="39"/>
        <v/>
      </c>
      <c r="Q113" s="19" t="str">
        <f t="shared" si="40"/>
        <v/>
      </c>
      <c r="R113" s="19" t="str">
        <f t="shared" si="32"/>
        <v/>
      </c>
      <c r="S113" s="27" t="str">
        <f t="shared" ref="S113:X128" si="41">IF(C113="","",((C113-C112)*1000)/($B113-$B112))</f>
        <v/>
      </c>
      <c r="T113" s="28" t="str">
        <f t="shared" si="41"/>
        <v/>
      </c>
      <c r="U113" s="28" t="str">
        <f t="shared" si="41"/>
        <v/>
      </c>
      <c r="V113" s="28" t="str">
        <f t="shared" si="41"/>
        <v/>
      </c>
      <c r="W113" s="28" t="str">
        <f t="shared" si="41"/>
        <v/>
      </c>
      <c r="X113" s="29" t="str">
        <f t="shared" si="41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34"/>
        <v/>
      </c>
      <c r="M114" s="19" t="str">
        <f t="shared" si="35"/>
        <v/>
      </c>
      <c r="N114" s="19" t="str">
        <f t="shared" si="36"/>
        <v/>
      </c>
      <c r="O114" s="19" t="str">
        <f t="shared" si="38"/>
        <v/>
      </c>
      <c r="P114" s="19" t="str">
        <f t="shared" si="39"/>
        <v/>
      </c>
      <c r="Q114" s="19" t="str">
        <f t="shared" si="40"/>
        <v/>
      </c>
      <c r="R114" s="19" t="str">
        <f t="shared" si="32"/>
        <v/>
      </c>
      <c r="S114" s="27" t="str">
        <f t="shared" si="41"/>
        <v/>
      </c>
      <c r="T114" s="28" t="str">
        <f t="shared" si="41"/>
        <v/>
      </c>
      <c r="U114" s="28" t="str">
        <f t="shared" si="41"/>
        <v/>
      </c>
      <c r="V114" s="28" t="str">
        <f t="shared" si="41"/>
        <v/>
      </c>
      <c r="W114" s="28" t="str">
        <f t="shared" si="41"/>
        <v/>
      </c>
      <c r="X114" s="29" t="str">
        <f t="shared" si="41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34"/>
        <v/>
      </c>
      <c r="M115" s="19" t="str">
        <f t="shared" si="35"/>
        <v/>
      </c>
      <c r="N115" s="19" t="str">
        <f t="shared" si="36"/>
        <v/>
      </c>
      <c r="O115" s="19" t="str">
        <f t="shared" si="38"/>
        <v/>
      </c>
      <c r="P115" s="19" t="str">
        <f t="shared" si="39"/>
        <v/>
      </c>
      <c r="Q115" s="19" t="str">
        <f t="shared" si="40"/>
        <v/>
      </c>
      <c r="R115" s="19" t="str">
        <f t="shared" si="32"/>
        <v/>
      </c>
      <c r="S115" s="27" t="str">
        <f t="shared" si="41"/>
        <v/>
      </c>
      <c r="T115" s="28" t="str">
        <f t="shared" si="41"/>
        <v/>
      </c>
      <c r="U115" s="28" t="str">
        <f t="shared" si="41"/>
        <v/>
      </c>
      <c r="V115" s="28" t="str">
        <f t="shared" si="41"/>
        <v/>
      </c>
      <c r="W115" s="28" t="str">
        <f t="shared" si="41"/>
        <v/>
      </c>
      <c r="X115" s="29" t="str">
        <f t="shared" si="41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34"/>
        <v/>
      </c>
      <c r="M116" s="19" t="str">
        <f t="shared" si="35"/>
        <v/>
      </c>
      <c r="N116" s="19" t="str">
        <f t="shared" si="36"/>
        <v/>
      </c>
      <c r="O116" s="19" t="str">
        <f t="shared" si="38"/>
        <v/>
      </c>
      <c r="P116" s="19" t="str">
        <f t="shared" si="39"/>
        <v/>
      </c>
      <c r="Q116" s="19" t="str">
        <f t="shared" si="40"/>
        <v/>
      </c>
      <c r="R116" s="19" t="str">
        <f t="shared" si="32"/>
        <v/>
      </c>
      <c r="S116" s="27" t="str">
        <f t="shared" si="41"/>
        <v/>
      </c>
      <c r="T116" s="28" t="str">
        <f t="shared" si="41"/>
        <v/>
      </c>
      <c r="U116" s="28" t="str">
        <f t="shared" si="41"/>
        <v/>
      </c>
      <c r="V116" s="28" t="str">
        <f t="shared" si="41"/>
        <v/>
      </c>
      <c r="W116" s="28" t="str">
        <f t="shared" si="41"/>
        <v/>
      </c>
      <c r="X116" s="29" t="str">
        <f t="shared" si="41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34"/>
        <v/>
      </c>
      <c r="M117" s="19" t="str">
        <f t="shared" si="35"/>
        <v/>
      </c>
      <c r="N117" s="19" t="str">
        <f t="shared" si="36"/>
        <v/>
      </c>
      <c r="O117" s="19" t="str">
        <f t="shared" si="38"/>
        <v/>
      </c>
      <c r="P117" s="19" t="str">
        <f t="shared" si="39"/>
        <v/>
      </c>
      <c r="Q117" s="19" t="str">
        <f t="shared" si="40"/>
        <v/>
      </c>
      <c r="R117" s="19" t="str">
        <f t="shared" si="32"/>
        <v/>
      </c>
      <c r="S117" s="27" t="str">
        <f t="shared" si="41"/>
        <v/>
      </c>
      <c r="T117" s="28" t="str">
        <f t="shared" si="41"/>
        <v/>
      </c>
      <c r="U117" s="28" t="str">
        <f t="shared" si="41"/>
        <v/>
      </c>
      <c r="V117" s="28" t="str">
        <f t="shared" si="41"/>
        <v/>
      </c>
      <c r="W117" s="28" t="str">
        <f t="shared" si="41"/>
        <v/>
      </c>
      <c r="X117" s="29" t="str">
        <f t="shared" si="41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34"/>
        <v/>
      </c>
      <c r="M118" s="19" t="str">
        <f t="shared" si="35"/>
        <v/>
      </c>
      <c r="N118" s="19" t="str">
        <f t="shared" si="36"/>
        <v/>
      </c>
      <c r="O118" s="19" t="str">
        <f t="shared" si="38"/>
        <v/>
      </c>
      <c r="P118" s="19" t="str">
        <f t="shared" si="39"/>
        <v/>
      </c>
      <c r="Q118" s="19" t="str">
        <f t="shared" si="40"/>
        <v/>
      </c>
      <c r="R118" s="19" t="str">
        <f t="shared" si="32"/>
        <v/>
      </c>
      <c r="S118" s="27" t="str">
        <f t="shared" si="41"/>
        <v/>
      </c>
      <c r="T118" s="28" t="str">
        <f t="shared" si="41"/>
        <v/>
      </c>
      <c r="U118" s="28" t="str">
        <f t="shared" si="41"/>
        <v/>
      </c>
      <c r="V118" s="28" t="str">
        <f t="shared" si="41"/>
        <v/>
      </c>
      <c r="W118" s="28" t="str">
        <f t="shared" si="41"/>
        <v/>
      </c>
      <c r="X118" s="29" t="str">
        <f t="shared" si="41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34"/>
        <v/>
      </c>
      <c r="M119" s="19" t="str">
        <f t="shared" si="35"/>
        <v/>
      </c>
      <c r="N119" s="19" t="str">
        <f t="shared" si="36"/>
        <v/>
      </c>
      <c r="O119" s="19" t="str">
        <f t="shared" si="38"/>
        <v/>
      </c>
      <c r="P119" s="19" t="str">
        <f t="shared" si="39"/>
        <v/>
      </c>
      <c r="Q119" s="19" t="str">
        <f t="shared" si="40"/>
        <v/>
      </c>
      <c r="R119" s="19" t="str">
        <f t="shared" si="32"/>
        <v/>
      </c>
      <c r="S119" s="27" t="str">
        <f t="shared" si="41"/>
        <v/>
      </c>
      <c r="T119" s="28" t="str">
        <f t="shared" si="41"/>
        <v/>
      </c>
      <c r="U119" s="28" t="str">
        <f t="shared" si="41"/>
        <v/>
      </c>
      <c r="V119" s="28" t="str">
        <f t="shared" si="41"/>
        <v/>
      </c>
      <c r="W119" s="28" t="str">
        <f t="shared" si="41"/>
        <v/>
      </c>
      <c r="X119" s="29" t="str">
        <f t="shared" si="41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34"/>
        <v/>
      </c>
      <c r="M120" s="19" t="str">
        <f t="shared" si="35"/>
        <v/>
      </c>
      <c r="N120" s="19" t="str">
        <f t="shared" si="36"/>
        <v/>
      </c>
      <c r="O120" s="19" t="str">
        <f t="shared" si="38"/>
        <v/>
      </c>
      <c r="P120" s="19" t="str">
        <f t="shared" si="39"/>
        <v/>
      </c>
      <c r="Q120" s="19" t="str">
        <f t="shared" si="40"/>
        <v/>
      </c>
      <c r="R120" s="19" t="str">
        <f t="shared" si="32"/>
        <v/>
      </c>
      <c r="S120" s="27" t="str">
        <f t="shared" si="41"/>
        <v/>
      </c>
      <c r="T120" s="28" t="str">
        <f t="shared" si="41"/>
        <v/>
      </c>
      <c r="U120" s="28" t="str">
        <f t="shared" si="41"/>
        <v/>
      </c>
      <c r="V120" s="28" t="str">
        <f t="shared" si="41"/>
        <v/>
      </c>
      <c r="W120" s="28" t="str">
        <f t="shared" si="41"/>
        <v/>
      </c>
      <c r="X120" s="29" t="str">
        <f t="shared" si="41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34"/>
        <v/>
      </c>
      <c r="M121" s="19" t="str">
        <f t="shared" si="35"/>
        <v/>
      </c>
      <c r="N121" s="19" t="str">
        <f t="shared" si="36"/>
        <v/>
      </c>
      <c r="O121" s="19" t="str">
        <f t="shared" si="38"/>
        <v/>
      </c>
      <c r="P121" s="19" t="str">
        <f t="shared" si="39"/>
        <v/>
      </c>
      <c r="Q121" s="19" t="str">
        <f t="shared" si="40"/>
        <v/>
      </c>
      <c r="R121" s="19" t="str">
        <f t="shared" si="32"/>
        <v/>
      </c>
      <c r="S121" s="27" t="str">
        <f t="shared" si="41"/>
        <v/>
      </c>
      <c r="T121" s="28" t="str">
        <f t="shared" si="41"/>
        <v/>
      </c>
      <c r="U121" s="28" t="str">
        <f t="shared" si="41"/>
        <v/>
      </c>
      <c r="V121" s="28" t="str">
        <f t="shared" si="41"/>
        <v/>
      </c>
      <c r="W121" s="28" t="str">
        <f t="shared" si="41"/>
        <v/>
      </c>
      <c r="X121" s="29" t="str">
        <f t="shared" si="41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34"/>
        <v/>
      </c>
      <c r="M122" s="19" t="str">
        <f t="shared" si="35"/>
        <v/>
      </c>
      <c r="N122" s="19" t="str">
        <f t="shared" si="36"/>
        <v/>
      </c>
      <c r="O122" s="19" t="str">
        <f t="shared" si="38"/>
        <v/>
      </c>
      <c r="P122" s="19" t="str">
        <f t="shared" si="39"/>
        <v/>
      </c>
      <c r="Q122" s="19" t="str">
        <f t="shared" si="40"/>
        <v/>
      </c>
      <c r="R122" s="19" t="str">
        <f t="shared" si="32"/>
        <v/>
      </c>
      <c r="S122" s="27" t="str">
        <f t="shared" si="41"/>
        <v/>
      </c>
      <c r="T122" s="28" t="str">
        <f t="shared" si="41"/>
        <v/>
      </c>
      <c r="U122" s="28" t="str">
        <f t="shared" si="41"/>
        <v/>
      </c>
      <c r="V122" s="28" t="str">
        <f t="shared" si="41"/>
        <v/>
      </c>
      <c r="W122" s="28" t="str">
        <f t="shared" si="41"/>
        <v/>
      </c>
      <c r="X122" s="29" t="str">
        <f t="shared" si="41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34"/>
        <v/>
      </c>
      <c r="M123" s="19" t="str">
        <f t="shared" si="35"/>
        <v/>
      </c>
      <c r="N123" s="19" t="str">
        <f t="shared" si="36"/>
        <v/>
      </c>
      <c r="O123" s="19" t="str">
        <f t="shared" si="38"/>
        <v/>
      </c>
      <c r="P123" s="19" t="str">
        <f t="shared" si="39"/>
        <v/>
      </c>
      <c r="Q123" s="19" t="str">
        <f t="shared" si="40"/>
        <v/>
      </c>
      <c r="R123" s="19" t="str">
        <f t="shared" si="32"/>
        <v/>
      </c>
      <c r="S123" s="27" t="str">
        <f t="shared" si="41"/>
        <v/>
      </c>
      <c r="T123" s="28" t="str">
        <f t="shared" si="41"/>
        <v/>
      </c>
      <c r="U123" s="28" t="str">
        <f t="shared" si="41"/>
        <v/>
      </c>
      <c r="V123" s="28" t="str">
        <f t="shared" si="41"/>
        <v/>
      </c>
      <c r="W123" s="28" t="str">
        <f t="shared" si="41"/>
        <v/>
      </c>
      <c r="X123" s="29" t="str">
        <f t="shared" si="41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34"/>
        <v/>
      </c>
      <c r="M124" s="19" t="str">
        <f t="shared" si="35"/>
        <v/>
      </c>
      <c r="N124" s="19" t="str">
        <f t="shared" si="36"/>
        <v/>
      </c>
      <c r="O124" s="19" t="str">
        <f t="shared" si="38"/>
        <v/>
      </c>
      <c r="P124" s="19" t="str">
        <f t="shared" si="39"/>
        <v/>
      </c>
      <c r="Q124" s="19" t="str">
        <f t="shared" si="40"/>
        <v/>
      </c>
      <c r="R124" s="19" t="str">
        <f t="shared" si="32"/>
        <v/>
      </c>
      <c r="S124" s="27" t="str">
        <f t="shared" si="41"/>
        <v/>
      </c>
      <c r="T124" s="28" t="str">
        <f t="shared" si="41"/>
        <v/>
      </c>
      <c r="U124" s="28" t="str">
        <f t="shared" si="41"/>
        <v/>
      </c>
      <c r="V124" s="28" t="str">
        <f t="shared" si="41"/>
        <v/>
      </c>
      <c r="W124" s="28" t="str">
        <f t="shared" si="41"/>
        <v/>
      </c>
      <c r="X124" s="29" t="str">
        <f t="shared" si="41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34"/>
        <v/>
      </c>
      <c r="M125" s="19" t="str">
        <f t="shared" si="35"/>
        <v/>
      </c>
      <c r="N125" s="19" t="str">
        <f t="shared" si="36"/>
        <v/>
      </c>
      <c r="O125" s="19" t="str">
        <f t="shared" si="38"/>
        <v/>
      </c>
      <c r="P125" s="19" t="str">
        <f t="shared" si="39"/>
        <v/>
      </c>
      <c r="Q125" s="19" t="str">
        <f t="shared" si="40"/>
        <v/>
      </c>
      <c r="R125" s="19" t="str">
        <f t="shared" si="32"/>
        <v/>
      </c>
      <c r="S125" s="27" t="str">
        <f t="shared" si="41"/>
        <v/>
      </c>
      <c r="T125" s="28" t="str">
        <f t="shared" si="41"/>
        <v/>
      </c>
      <c r="U125" s="28" t="str">
        <f t="shared" si="41"/>
        <v/>
      </c>
      <c r="V125" s="28" t="str">
        <f t="shared" si="41"/>
        <v/>
      </c>
      <c r="W125" s="28" t="str">
        <f t="shared" si="41"/>
        <v/>
      </c>
      <c r="X125" s="29" t="str">
        <f t="shared" si="41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34"/>
        <v/>
      </c>
      <c r="M126" s="19" t="str">
        <f t="shared" si="35"/>
        <v/>
      </c>
      <c r="N126" s="19" t="str">
        <f t="shared" si="36"/>
        <v/>
      </c>
      <c r="O126" s="19" t="str">
        <f t="shared" si="38"/>
        <v/>
      </c>
      <c r="P126" s="19" t="str">
        <f t="shared" si="39"/>
        <v/>
      </c>
      <c r="Q126" s="19" t="str">
        <f t="shared" si="40"/>
        <v/>
      </c>
      <c r="R126" s="19" t="str">
        <f t="shared" si="32"/>
        <v/>
      </c>
      <c r="S126" s="27" t="str">
        <f t="shared" si="41"/>
        <v/>
      </c>
      <c r="T126" s="28" t="str">
        <f t="shared" si="41"/>
        <v/>
      </c>
      <c r="U126" s="28" t="str">
        <f t="shared" si="41"/>
        <v/>
      </c>
      <c r="V126" s="28" t="str">
        <f t="shared" si="41"/>
        <v/>
      </c>
      <c r="W126" s="28" t="str">
        <f t="shared" si="41"/>
        <v/>
      </c>
      <c r="X126" s="29" t="str">
        <f t="shared" si="41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34"/>
        <v/>
      </c>
      <c r="M127" s="19" t="str">
        <f t="shared" si="35"/>
        <v/>
      </c>
      <c r="N127" s="19" t="str">
        <f t="shared" si="36"/>
        <v/>
      </c>
      <c r="O127" s="19" t="str">
        <f t="shared" si="38"/>
        <v/>
      </c>
      <c r="P127" s="19" t="str">
        <f t="shared" si="39"/>
        <v/>
      </c>
      <c r="Q127" s="19" t="str">
        <f t="shared" si="40"/>
        <v/>
      </c>
      <c r="R127" s="19" t="str">
        <f t="shared" si="32"/>
        <v/>
      </c>
      <c r="S127" s="27" t="str">
        <f t="shared" si="41"/>
        <v/>
      </c>
      <c r="T127" s="28" t="str">
        <f t="shared" si="41"/>
        <v/>
      </c>
      <c r="U127" s="28" t="str">
        <f t="shared" si="41"/>
        <v/>
      </c>
      <c r="V127" s="28" t="str">
        <f t="shared" si="41"/>
        <v/>
      </c>
      <c r="W127" s="28" t="str">
        <f t="shared" si="41"/>
        <v/>
      </c>
      <c r="X127" s="29" t="str">
        <f t="shared" si="41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34"/>
        <v/>
      </c>
      <c r="M128" s="19" t="str">
        <f t="shared" si="35"/>
        <v/>
      </c>
      <c r="N128" s="19" t="str">
        <f t="shared" si="36"/>
        <v/>
      </c>
      <c r="O128" s="19" t="str">
        <f t="shared" si="38"/>
        <v/>
      </c>
      <c r="P128" s="19" t="str">
        <f t="shared" si="39"/>
        <v/>
      </c>
      <c r="Q128" s="19" t="str">
        <f t="shared" si="40"/>
        <v/>
      </c>
      <c r="R128" s="19" t="str">
        <f t="shared" si="32"/>
        <v/>
      </c>
      <c r="S128" s="27" t="str">
        <f t="shared" si="41"/>
        <v/>
      </c>
      <c r="T128" s="28" t="str">
        <f t="shared" si="41"/>
        <v/>
      </c>
      <c r="U128" s="28" t="str">
        <f t="shared" si="41"/>
        <v/>
      </c>
      <c r="V128" s="28" t="str">
        <f t="shared" si="41"/>
        <v/>
      </c>
      <c r="W128" s="28" t="str">
        <f t="shared" si="41"/>
        <v/>
      </c>
      <c r="X128" s="29" t="str">
        <f t="shared" si="41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34"/>
        <v/>
      </c>
      <c r="M129" s="19" t="str">
        <f t="shared" si="35"/>
        <v/>
      </c>
      <c r="N129" s="19" t="str">
        <f t="shared" si="36"/>
        <v/>
      </c>
      <c r="O129" s="19" t="str">
        <f t="shared" si="38"/>
        <v/>
      </c>
      <c r="P129" s="19" t="str">
        <f t="shared" si="39"/>
        <v/>
      </c>
      <c r="Q129" s="19" t="str">
        <f t="shared" si="40"/>
        <v/>
      </c>
      <c r="R129" s="19" t="str">
        <f t="shared" si="32"/>
        <v/>
      </c>
      <c r="S129" s="27" t="str">
        <f t="shared" ref="S129:X144" si="42">IF(C129="","",((C129-C128)*1000)/($B129-$B128))</f>
        <v/>
      </c>
      <c r="T129" s="28" t="str">
        <f t="shared" si="42"/>
        <v/>
      </c>
      <c r="U129" s="28" t="str">
        <f t="shared" si="42"/>
        <v/>
      </c>
      <c r="V129" s="28" t="str">
        <f t="shared" si="42"/>
        <v/>
      </c>
      <c r="W129" s="28" t="str">
        <f t="shared" si="42"/>
        <v/>
      </c>
      <c r="X129" s="29" t="str">
        <f t="shared" si="42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34"/>
        <v/>
      </c>
      <c r="M130" s="19" t="str">
        <f t="shared" si="35"/>
        <v/>
      </c>
      <c r="N130" s="19" t="str">
        <f t="shared" si="36"/>
        <v/>
      </c>
      <c r="O130" s="19" t="str">
        <f t="shared" si="38"/>
        <v/>
      </c>
      <c r="P130" s="19" t="str">
        <f t="shared" si="39"/>
        <v/>
      </c>
      <c r="Q130" s="19" t="str">
        <f t="shared" si="40"/>
        <v/>
      </c>
      <c r="R130" s="19" t="str">
        <f t="shared" si="32"/>
        <v/>
      </c>
      <c r="S130" s="27" t="str">
        <f t="shared" si="42"/>
        <v/>
      </c>
      <c r="T130" s="28" t="str">
        <f t="shared" si="42"/>
        <v/>
      </c>
      <c r="U130" s="28" t="str">
        <f t="shared" si="42"/>
        <v/>
      </c>
      <c r="V130" s="28" t="str">
        <f t="shared" si="42"/>
        <v/>
      </c>
      <c r="W130" s="28" t="str">
        <f t="shared" si="42"/>
        <v/>
      </c>
      <c r="X130" s="29" t="str">
        <f t="shared" si="42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34"/>
        <v/>
      </c>
      <c r="M131" s="19" t="str">
        <f t="shared" si="35"/>
        <v/>
      </c>
      <c r="N131" s="19" t="str">
        <f t="shared" si="36"/>
        <v/>
      </c>
      <c r="O131" s="19" t="str">
        <f t="shared" si="38"/>
        <v/>
      </c>
      <c r="P131" s="19" t="str">
        <f t="shared" si="39"/>
        <v/>
      </c>
      <c r="Q131" s="19" t="str">
        <f t="shared" si="40"/>
        <v/>
      </c>
      <c r="R131" s="19" t="str">
        <f t="shared" ref="R131:R152" si="43">IF(ISBLANK(I131),"",(I131-I$16)*1000)</f>
        <v/>
      </c>
      <c r="S131" s="27" t="str">
        <f t="shared" si="42"/>
        <v/>
      </c>
      <c r="T131" s="28" t="str">
        <f t="shared" si="42"/>
        <v/>
      </c>
      <c r="U131" s="28" t="str">
        <f t="shared" si="42"/>
        <v/>
      </c>
      <c r="V131" s="28" t="str">
        <f t="shared" si="42"/>
        <v/>
      </c>
      <c r="W131" s="28" t="str">
        <f t="shared" si="42"/>
        <v/>
      </c>
      <c r="X131" s="29" t="str">
        <f t="shared" si="42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34"/>
        <v/>
      </c>
      <c r="M132" s="19" t="str">
        <f t="shared" si="35"/>
        <v/>
      </c>
      <c r="N132" s="19" t="str">
        <f t="shared" si="36"/>
        <v/>
      </c>
      <c r="O132" s="19" t="str">
        <f t="shared" si="38"/>
        <v/>
      </c>
      <c r="P132" s="19" t="str">
        <f t="shared" si="39"/>
        <v/>
      </c>
      <c r="Q132" s="19" t="str">
        <f t="shared" si="40"/>
        <v/>
      </c>
      <c r="R132" s="19" t="str">
        <f t="shared" si="43"/>
        <v/>
      </c>
      <c r="S132" s="27" t="str">
        <f t="shared" si="42"/>
        <v/>
      </c>
      <c r="T132" s="28" t="str">
        <f t="shared" si="42"/>
        <v/>
      </c>
      <c r="U132" s="28" t="str">
        <f t="shared" si="42"/>
        <v/>
      </c>
      <c r="V132" s="28" t="str">
        <f t="shared" si="42"/>
        <v/>
      </c>
      <c r="W132" s="28" t="str">
        <f t="shared" si="42"/>
        <v/>
      </c>
      <c r="X132" s="29" t="str">
        <f t="shared" si="42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34"/>
        <v/>
      </c>
      <c r="M133" s="19" t="str">
        <f t="shared" si="35"/>
        <v/>
      </c>
      <c r="N133" s="19" t="str">
        <f t="shared" si="36"/>
        <v/>
      </c>
      <c r="O133" s="19" t="str">
        <f t="shared" si="38"/>
        <v/>
      </c>
      <c r="P133" s="19" t="str">
        <f t="shared" si="39"/>
        <v/>
      </c>
      <c r="Q133" s="19" t="str">
        <f t="shared" si="40"/>
        <v/>
      </c>
      <c r="R133" s="19" t="str">
        <f t="shared" si="43"/>
        <v/>
      </c>
      <c r="S133" s="27" t="str">
        <f t="shared" si="42"/>
        <v/>
      </c>
      <c r="T133" s="28" t="str">
        <f t="shared" si="42"/>
        <v/>
      </c>
      <c r="U133" s="28" t="str">
        <f t="shared" si="42"/>
        <v/>
      </c>
      <c r="V133" s="28" t="str">
        <f t="shared" si="42"/>
        <v/>
      </c>
      <c r="W133" s="28" t="str">
        <f t="shared" si="42"/>
        <v/>
      </c>
      <c r="X133" s="29" t="str">
        <f t="shared" si="42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4"/>
        <v/>
      </c>
      <c r="M134" s="19" t="str">
        <f t="shared" si="35"/>
        <v/>
      </c>
      <c r="N134" s="19" t="str">
        <f t="shared" si="36"/>
        <v/>
      </c>
      <c r="O134" s="19" t="str">
        <f t="shared" si="38"/>
        <v/>
      </c>
      <c r="P134" s="19" t="str">
        <f t="shared" si="39"/>
        <v/>
      </c>
      <c r="Q134" s="19" t="str">
        <f t="shared" si="40"/>
        <v/>
      </c>
      <c r="R134" s="19" t="str">
        <f t="shared" si="43"/>
        <v/>
      </c>
      <c r="S134" s="27" t="str">
        <f t="shared" si="42"/>
        <v/>
      </c>
      <c r="T134" s="28" t="str">
        <f t="shared" si="42"/>
        <v/>
      </c>
      <c r="U134" s="28" t="str">
        <f t="shared" si="42"/>
        <v/>
      </c>
      <c r="V134" s="28" t="str">
        <f t="shared" si="42"/>
        <v/>
      </c>
      <c r="W134" s="28" t="str">
        <f t="shared" si="42"/>
        <v/>
      </c>
      <c r="X134" s="29" t="str">
        <f t="shared" si="42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4"/>
        <v/>
      </c>
      <c r="M135" s="19" t="str">
        <f t="shared" si="35"/>
        <v/>
      </c>
      <c r="N135" s="19" t="str">
        <f t="shared" si="36"/>
        <v/>
      </c>
      <c r="O135" s="19" t="str">
        <f t="shared" si="38"/>
        <v/>
      </c>
      <c r="P135" s="19" t="str">
        <f t="shared" si="39"/>
        <v/>
      </c>
      <c r="Q135" s="19" t="str">
        <f t="shared" si="40"/>
        <v/>
      </c>
      <c r="R135" s="19" t="str">
        <f t="shared" si="43"/>
        <v/>
      </c>
      <c r="S135" s="27" t="str">
        <f t="shared" si="42"/>
        <v/>
      </c>
      <c r="T135" s="28" t="str">
        <f t="shared" si="42"/>
        <v/>
      </c>
      <c r="U135" s="28" t="str">
        <f t="shared" si="42"/>
        <v/>
      </c>
      <c r="V135" s="28" t="str">
        <f t="shared" si="42"/>
        <v/>
      </c>
      <c r="W135" s="28" t="str">
        <f t="shared" si="42"/>
        <v/>
      </c>
      <c r="X135" s="29" t="str">
        <f t="shared" si="42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4"/>
        <v/>
      </c>
      <c r="M136" s="19" t="str">
        <f t="shared" si="35"/>
        <v/>
      </c>
      <c r="N136" s="19" t="str">
        <f t="shared" si="36"/>
        <v/>
      </c>
      <c r="O136" s="19" t="str">
        <f t="shared" si="38"/>
        <v/>
      </c>
      <c r="P136" s="19" t="str">
        <f t="shared" si="39"/>
        <v/>
      </c>
      <c r="Q136" s="19" t="str">
        <f t="shared" si="40"/>
        <v/>
      </c>
      <c r="R136" s="19" t="str">
        <f t="shared" si="43"/>
        <v/>
      </c>
      <c r="S136" s="27" t="str">
        <f t="shared" si="42"/>
        <v/>
      </c>
      <c r="T136" s="28" t="str">
        <f t="shared" si="42"/>
        <v/>
      </c>
      <c r="U136" s="28" t="str">
        <f t="shared" si="42"/>
        <v/>
      </c>
      <c r="V136" s="28" t="str">
        <f t="shared" si="42"/>
        <v/>
      </c>
      <c r="W136" s="28" t="str">
        <f t="shared" si="42"/>
        <v/>
      </c>
      <c r="X136" s="29" t="str">
        <f t="shared" si="42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4"/>
        <v/>
      </c>
      <c r="M137" s="19" t="str">
        <f t="shared" si="35"/>
        <v/>
      </c>
      <c r="N137" s="19" t="str">
        <f t="shared" si="36"/>
        <v/>
      </c>
      <c r="O137" s="19" t="str">
        <f t="shared" si="38"/>
        <v/>
      </c>
      <c r="P137" s="19" t="str">
        <f t="shared" si="39"/>
        <v/>
      </c>
      <c r="Q137" s="19" t="str">
        <f t="shared" si="40"/>
        <v/>
      </c>
      <c r="R137" s="19" t="str">
        <f t="shared" si="43"/>
        <v/>
      </c>
      <c r="S137" s="27" t="str">
        <f t="shared" si="42"/>
        <v/>
      </c>
      <c r="T137" s="28" t="str">
        <f t="shared" si="42"/>
        <v/>
      </c>
      <c r="U137" s="28" t="str">
        <f t="shared" si="42"/>
        <v/>
      </c>
      <c r="V137" s="28" t="str">
        <f t="shared" si="42"/>
        <v/>
      </c>
      <c r="W137" s="28" t="str">
        <f t="shared" si="42"/>
        <v/>
      </c>
      <c r="X137" s="29" t="str">
        <f t="shared" si="42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4"/>
        <v/>
      </c>
      <c r="M138" s="19" t="str">
        <f t="shared" si="35"/>
        <v/>
      </c>
      <c r="N138" s="19" t="str">
        <f t="shared" si="36"/>
        <v/>
      </c>
      <c r="O138" s="19" t="str">
        <f t="shared" si="38"/>
        <v/>
      </c>
      <c r="P138" s="19" t="str">
        <f t="shared" si="39"/>
        <v/>
      </c>
      <c r="Q138" s="19" t="str">
        <f t="shared" si="40"/>
        <v/>
      </c>
      <c r="R138" s="19" t="str">
        <f t="shared" si="43"/>
        <v/>
      </c>
      <c r="S138" s="27" t="str">
        <f t="shared" si="42"/>
        <v/>
      </c>
      <c r="T138" s="28" t="str">
        <f t="shared" si="42"/>
        <v/>
      </c>
      <c r="U138" s="28" t="str">
        <f t="shared" si="42"/>
        <v/>
      </c>
      <c r="V138" s="28" t="str">
        <f t="shared" si="42"/>
        <v/>
      </c>
      <c r="W138" s="28" t="str">
        <f t="shared" si="42"/>
        <v/>
      </c>
      <c r="X138" s="29" t="str">
        <f t="shared" si="42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4"/>
        <v/>
      </c>
      <c r="M139" s="19" t="str">
        <f t="shared" si="35"/>
        <v/>
      </c>
      <c r="N139" s="19" t="str">
        <f t="shared" si="36"/>
        <v/>
      </c>
      <c r="O139" s="19" t="str">
        <f t="shared" si="38"/>
        <v/>
      </c>
      <c r="P139" s="19" t="str">
        <f t="shared" si="39"/>
        <v/>
      </c>
      <c r="Q139" s="19" t="str">
        <f t="shared" si="40"/>
        <v/>
      </c>
      <c r="R139" s="19" t="str">
        <f t="shared" si="43"/>
        <v/>
      </c>
      <c r="S139" s="27" t="str">
        <f t="shared" si="42"/>
        <v/>
      </c>
      <c r="T139" s="28" t="str">
        <f t="shared" si="42"/>
        <v/>
      </c>
      <c r="U139" s="28" t="str">
        <f t="shared" si="42"/>
        <v/>
      </c>
      <c r="V139" s="28" t="str">
        <f t="shared" si="42"/>
        <v/>
      </c>
      <c r="W139" s="28" t="str">
        <f t="shared" si="42"/>
        <v/>
      </c>
      <c r="X139" s="29" t="str">
        <f t="shared" si="42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4"/>
        <v/>
      </c>
      <c r="M140" s="19" t="str">
        <f t="shared" si="35"/>
        <v/>
      </c>
      <c r="N140" s="19" t="str">
        <f t="shared" si="36"/>
        <v/>
      </c>
      <c r="O140" s="19" t="str">
        <f t="shared" si="38"/>
        <v/>
      </c>
      <c r="P140" s="19" t="str">
        <f t="shared" si="39"/>
        <v/>
      </c>
      <c r="Q140" s="19" t="str">
        <f t="shared" si="40"/>
        <v/>
      </c>
      <c r="R140" s="19" t="str">
        <f t="shared" si="43"/>
        <v/>
      </c>
      <c r="S140" s="27" t="str">
        <f t="shared" si="42"/>
        <v/>
      </c>
      <c r="T140" s="28" t="str">
        <f t="shared" si="42"/>
        <v/>
      </c>
      <c r="U140" s="28" t="str">
        <f t="shared" si="42"/>
        <v/>
      </c>
      <c r="V140" s="28" t="str">
        <f t="shared" si="42"/>
        <v/>
      </c>
      <c r="W140" s="28" t="str">
        <f t="shared" si="42"/>
        <v/>
      </c>
      <c r="X140" s="29" t="str">
        <f t="shared" si="42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4"/>
        <v/>
      </c>
      <c r="M141" s="19" t="str">
        <f t="shared" si="35"/>
        <v/>
      </c>
      <c r="N141" s="19" t="str">
        <f t="shared" si="36"/>
        <v/>
      </c>
      <c r="O141" s="19" t="str">
        <f t="shared" si="38"/>
        <v/>
      </c>
      <c r="P141" s="19" t="str">
        <f t="shared" si="39"/>
        <v/>
      </c>
      <c r="Q141" s="19" t="str">
        <f t="shared" si="40"/>
        <v/>
      </c>
      <c r="R141" s="19" t="str">
        <f t="shared" si="43"/>
        <v/>
      </c>
      <c r="S141" s="27" t="str">
        <f t="shared" si="42"/>
        <v/>
      </c>
      <c r="T141" s="28" t="str">
        <f t="shared" si="42"/>
        <v/>
      </c>
      <c r="U141" s="28" t="str">
        <f t="shared" si="42"/>
        <v/>
      </c>
      <c r="V141" s="28" t="str">
        <f t="shared" si="42"/>
        <v/>
      </c>
      <c r="W141" s="28" t="str">
        <f t="shared" si="42"/>
        <v/>
      </c>
      <c r="X141" s="29" t="str">
        <f t="shared" si="42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4"/>
        <v/>
      </c>
      <c r="M142" s="19" t="str">
        <f t="shared" si="35"/>
        <v/>
      </c>
      <c r="N142" s="19" t="str">
        <f t="shared" si="36"/>
        <v/>
      </c>
      <c r="O142" s="19" t="str">
        <f t="shared" si="38"/>
        <v/>
      </c>
      <c r="P142" s="19" t="str">
        <f t="shared" si="39"/>
        <v/>
      </c>
      <c r="Q142" s="19" t="str">
        <f t="shared" si="40"/>
        <v/>
      </c>
      <c r="R142" s="19" t="str">
        <f t="shared" si="43"/>
        <v/>
      </c>
      <c r="S142" s="27" t="str">
        <f t="shared" si="42"/>
        <v/>
      </c>
      <c r="T142" s="28" t="str">
        <f t="shared" si="42"/>
        <v/>
      </c>
      <c r="U142" s="28" t="str">
        <f t="shared" si="42"/>
        <v/>
      </c>
      <c r="V142" s="28" t="str">
        <f t="shared" si="42"/>
        <v/>
      </c>
      <c r="W142" s="28" t="str">
        <f t="shared" si="42"/>
        <v/>
      </c>
      <c r="X142" s="29" t="str">
        <f t="shared" si="42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4"/>
        <v/>
      </c>
      <c r="M143" s="19" t="str">
        <f t="shared" si="35"/>
        <v/>
      </c>
      <c r="N143" s="19" t="str">
        <f t="shared" si="36"/>
        <v/>
      </c>
      <c r="O143" s="19" t="str">
        <f t="shared" si="38"/>
        <v/>
      </c>
      <c r="P143" s="19" t="str">
        <f t="shared" si="39"/>
        <v/>
      </c>
      <c r="Q143" s="19" t="str">
        <f t="shared" si="40"/>
        <v/>
      </c>
      <c r="R143" s="19" t="str">
        <f t="shared" si="43"/>
        <v/>
      </c>
      <c r="S143" s="27" t="str">
        <f t="shared" si="42"/>
        <v/>
      </c>
      <c r="T143" s="28" t="str">
        <f t="shared" si="42"/>
        <v/>
      </c>
      <c r="U143" s="28" t="str">
        <f t="shared" si="42"/>
        <v/>
      </c>
      <c r="V143" s="28" t="str">
        <f t="shared" si="42"/>
        <v/>
      </c>
      <c r="W143" s="28" t="str">
        <f t="shared" si="42"/>
        <v/>
      </c>
      <c r="X143" s="29" t="str">
        <f t="shared" si="42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4"/>
        <v/>
      </c>
      <c r="M144" s="19" t="str">
        <f t="shared" si="35"/>
        <v/>
      </c>
      <c r="N144" s="19" t="str">
        <f t="shared" si="36"/>
        <v/>
      </c>
      <c r="O144" s="19" t="str">
        <f t="shared" si="38"/>
        <v/>
      </c>
      <c r="P144" s="19" t="str">
        <f t="shared" si="39"/>
        <v/>
      </c>
      <c r="Q144" s="19" t="str">
        <f t="shared" si="40"/>
        <v/>
      </c>
      <c r="R144" s="19" t="str">
        <f t="shared" si="43"/>
        <v/>
      </c>
      <c r="S144" s="27" t="str">
        <f t="shared" si="42"/>
        <v/>
      </c>
      <c r="T144" s="28" t="str">
        <f t="shared" si="42"/>
        <v/>
      </c>
      <c r="U144" s="28" t="str">
        <f t="shared" si="42"/>
        <v/>
      </c>
      <c r="V144" s="28" t="str">
        <f t="shared" si="42"/>
        <v/>
      </c>
      <c r="W144" s="28" t="str">
        <f t="shared" si="42"/>
        <v/>
      </c>
      <c r="X144" s="29" t="str">
        <f t="shared" si="42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4"/>
        <v/>
      </c>
      <c r="M145" s="19" t="str">
        <f t="shared" si="35"/>
        <v/>
      </c>
      <c r="N145" s="19" t="str">
        <f t="shared" si="36"/>
        <v/>
      </c>
      <c r="O145" s="19" t="str">
        <f t="shared" si="38"/>
        <v/>
      </c>
      <c r="P145" s="19" t="str">
        <f t="shared" si="39"/>
        <v/>
      </c>
      <c r="Q145" s="19" t="str">
        <f t="shared" si="40"/>
        <v/>
      </c>
      <c r="R145" s="19" t="str">
        <f t="shared" si="43"/>
        <v/>
      </c>
      <c r="S145" s="27" t="str">
        <f t="shared" ref="S145:X153" si="44">IF(C145="","",((C145-C144)*1000)/($B145-$B144))</f>
        <v/>
      </c>
      <c r="T145" s="28" t="str">
        <f t="shared" si="44"/>
        <v/>
      </c>
      <c r="U145" s="28" t="str">
        <f t="shared" si="44"/>
        <v/>
      </c>
      <c r="V145" s="28" t="str">
        <f t="shared" si="44"/>
        <v/>
      </c>
      <c r="W145" s="28" t="str">
        <f t="shared" si="44"/>
        <v/>
      </c>
      <c r="X145" s="29" t="str">
        <f t="shared" si="4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ref="L146:L153" si="45">IF(ISBLANK(C146),"",(C146-C$17)*1000)</f>
        <v/>
      </c>
      <c r="M146" s="19" t="str">
        <f t="shared" ref="M146:M153" si="46">IF(ISBLANK(D146),"",(D146-D$17)*1000)</f>
        <v/>
      </c>
      <c r="N146" s="19" t="str">
        <f t="shared" ref="N146:N153" si="47">IF(ISBLANK(E146),"",(E146-E$17)*1000)</f>
        <v/>
      </c>
      <c r="O146" s="19" t="str">
        <f t="shared" si="38"/>
        <v/>
      </c>
      <c r="P146" s="19" t="str">
        <f t="shared" si="39"/>
        <v/>
      </c>
      <c r="Q146" s="19" t="str">
        <f t="shared" si="40"/>
        <v/>
      </c>
      <c r="R146" s="19" t="str">
        <f t="shared" si="43"/>
        <v/>
      </c>
      <c r="S146" s="27" t="str">
        <f t="shared" si="44"/>
        <v/>
      </c>
      <c r="T146" s="28" t="str">
        <f t="shared" si="44"/>
        <v/>
      </c>
      <c r="U146" s="28" t="str">
        <f t="shared" si="44"/>
        <v/>
      </c>
      <c r="V146" s="28" t="str">
        <f t="shared" si="44"/>
        <v/>
      </c>
      <c r="W146" s="28" t="str">
        <f t="shared" si="44"/>
        <v/>
      </c>
      <c r="X146" s="29" t="str">
        <f t="shared" si="4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45"/>
        <v/>
      </c>
      <c r="M147" s="19" t="str">
        <f t="shared" si="46"/>
        <v/>
      </c>
      <c r="N147" s="19" t="str">
        <f t="shared" si="47"/>
        <v/>
      </c>
      <c r="O147" s="19" t="str">
        <f t="shared" si="38"/>
        <v/>
      </c>
      <c r="P147" s="19" t="str">
        <f t="shared" si="39"/>
        <v/>
      </c>
      <c r="Q147" s="19" t="str">
        <f t="shared" si="40"/>
        <v/>
      </c>
      <c r="R147" s="19" t="str">
        <f t="shared" si="43"/>
        <v/>
      </c>
      <c r="S147" s="27" t="str">
        <f t="shared" si="44"/>
        <v/>
      </c>
      <c r="T147" s="28" t="str">
        <f t="shared" si="44"/>
        <v/>
      </c>
      <c r="U147" s="28" t="str">
        <f t="shared" si="44"/>
        <v/>
      </c>
      <c r="V147" s="28" t="str">
        <f t="shared" si="44"/>
        <v/>
      </c>
      <c r="W147" s="28" t="str">
        <f t="shared" si="44"/>
        <v/>
      </c>
      <c r="X147" s="29" t="str">
        <f t="shared" si="4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45"/>
        <v/>
      </c>
      <c r="M148" s="19" t="str">
        <f t="shared" si="46"/>
        <v/>
      </c>
      <c r="N148" s="19" t="str">
        <f t="shared" si="47"/>
        <v/>
      </c>
      <c r="O148" s="19" t="str">
        <f t="shared" si="38"/>
        <v/>
      </c>
      <c r="P148" s="19" t="str">
        <f t="shared" si="39"/>
        <v/>
      </c>
      <c r="Q148" s="19" t="str">
        <f t="shared" si="40"/>
        <v/>
      </c>
      <c r="R148" s="19" t="str">
        <f t="shared" si="43"/>
        <v/>
      </c>
      <c r="S148" s="27" t="str">
        <f t="shared" si="44"/>
        <v/>
      </c>
      <c r="T148" s="28" t="str">
        <f t="shared" si="44"/>
        <v/>
      </c>
      <c r="U148" s="28" t="str">
        <f t="shared" si="44"/>
        <v/>
      </c>
      <c r="V148" s="28" t="str">
        <f t="shared" si="44"/>
        <v/>
      </c>
      <c r="W148" s="28" t="str">
        <f t="shared" si="44"/>
        <v/>
      </c>
      <c r="X148" s="29" t="str">
        <f t="shared" si="4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45"/>
        <v/>
      </c>
      <c r="M149" s="19" t="str">
        <f t="shared" si="46"/>
        <v/>
      </c>
      <c r="N149" s="19" t="str">
        <f t="shared" si="47"/>
        <v/>
      </c>
      <c r="O149" s="19" t="str">
        <f t="shared" si="38"/>
        <v/>
      </c>
      <c r="P149" s="19" t="str">
        <f t="shared" si="39"/>
        <v/>
      </c>
      <c r="Q149" s="19" t="str">
        <f t="shared" si="40"/>
        <v/>
      </c>
      <c r="R149" s="19" t="str">
        <f t="shared" si="43"/>
        <v/>
      </c>
      <c r="S149" s="27" t="str">
        <f t="shared" si="44"/>
        <v/>
      </c>
      <c r="T149" s="28" t="str">
        <f t="shared" si="44"/>
        <v/>
      </c>
      <c r="U149" s="28" t="str">
        <f t="shared" si="44"/>
        <v/>
      </c>
      <c r="V149" s="28" t="str">
        <f t="shared" si="44"/>
        <v/>
      </c>
      <c r="W149" s="28" t="str">
        <f t="shared" si="44"/>
        <v/>
      </c>
      <c r="X149" s="29" t="str">
        <f t="shared" si="4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45"/>
        <v/>
      </c>
      <c r="M150" s="19" t="str">
        <f t="shared" si="46"/>
        <v/>
      </c>
      <c r="N150" s="19" t="str">
        <f t="shared" si="47"/>
        <v/>
      </c>
      <c r="O150" s="19" t="str">
        <f t="shared" si="38"/>
        <v/>
      </c>
      <c r="P150" s="19" t="str">
        <f t="shared" si="39"/>
        <v/>
      </c>
      <c r="Q150" s="19" t="str">
        <f t="shared" si="40"/>
        <v/>
      </c>
      <c r="R150" s="19" t="str">
        <f t="shared" si="43"/>
        <v/>
      </c>
      <c r="S150" s="27" t="str">
        <f t="shared" si="44"/>
        <v/>
      </c>
      <c r="T150" s="28" t="str">
        <f t="shared" si="44"/>
        <v/>
      </c>
      <c r="U150" s="28" t="str">
        <f t="shared" si="44"/>
        <v/>
      </c>
      <c r="V150" s="28" t="str">
        <f t="shared" si="44"/>
        <v/>
      </c>
      <c r="W150" s="28" t="str">
        <f t="shared" si="44"/>
        <v/>
      </c>
      <c r="X150" s="29" t="str">
        <f t="shared" si="4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45"/>
        <v/>
      </c>
      <c r="M151" s="19" t="str">
        <f t="shared" si="46"/>
        <v/>
      </c>
      <c r="N151" s="19" t="str">
        <f t="shared" si="47"/>
        <v/>
      </c>
      <c r="O151" s="19" t="str">
        <f t="shared" si="38"/>
        <v/>
      </c>
      <c r="P151" s="19" t="str">
        <f t="shared" si="39"/>
        <v/>
      </c>
      <c r="Q151" s="19" t="str">
        <f t="shared" si="40"/>
        <v/>
      </c>
      <c r="R151" s="19" t="str">
        <f t="shared" si="43"/>
        <v/>
      </c>
      <c r="S151" s="27" t="str">
        <f t="shared" si="44"/>
        <v/>
      </c>
      <c r="T151" s="28" t="str">
        <f t="shared" si="44"/>
        <v/>
      </c>
      <c r="U151" s="28" t="str">
        <f t="shared" si="44"/>
        <v/>
      </c>
      <c r="V151" s="28" t="str">
        <f t="shared" si="44"/>
        <v/>
      </c>
      <c r="W151" s="28" t="str">
        <f t="shared" si="44"/>
        <v/>
      </c>
      <c r="X151" s="29" t="str">
        <f t="shared" si="4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45"/>
        <v/>
      </c>
      <c r="M152" s="19" t="str">
        <f t="shared" si="46"/>
        <v/>
      </c>
      <c r="N152" s="19" t="str">
        <f t="shared" si="47"/>
        <v/>
      </c>
      <c r="O152" s="19" t="str">
        <f t="shared" si="38"/>
        <v/>
      </c>
      <c r="P152" s="19" t="str">
        <f t="shared" si="39"/>
        <v/>
      </c>
      <c r="Q152" s="19" t="str">
        <f t="shared" si="40"/>
        <v/>
      </c>
      <c r="R152" s="19" t="str">
        <f t="shared" si="43"/>
        <v/>
      </c>
      <c r="S152" s="27" t="str">
        <f t="shared" si="44"/>
        <v/>
      </c>
      <c r="T152" s="28" t="str">
        <f t="shared" si="44"/>
        <v/>
      </c>
      <c r="U152" s="28" t="str">
        <f t="shared" si="44"/>
        <v/>
      </c>
      <c r="V152" s="28" t="str">
        <f t="shared" si="44"/>
        <v/>
      </c>
      <c r="W152" s="28" t="str">
        <f t="shared" si="44"/>
        <v/>
      </c>
      <c r="X152" s="29" t="str">
        <f t="shared" si="4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45"/>
        <v/>
      </c>
      <c r="M153" s="19" t="str">
        <f t="shared" si="46"/>
        <v/>
      </c>
      <c r="N153" s="19" t="str">
        <f t="shared" si="47"/>
        <v/>
      </c>
      <c r="O153" s="19" t="str">
        <f t="shared" si="38"/>
        <v/>
      </c>
      <c r="P153" s="19" t="str">
        <f t="shared" si="39"/>
        <v/>
      </c>
      <c r="Q153" s="19" t="str">
        <f t="shared" si="40"/>
        <v/>
      </c>
      <c r="R153" s="19" t="str">
        <f>IF(ISBLANK(I153),"",(I153-I$16)*1000)</f>
        <v/>
      </c>
      <c r="S153" s="27" t="str">
        <f t="shared" si="44"/>
        <v/>
      </c>
      <c r="T153" s="28" t="str">
        <f t="shared" si="44"/>
        <v/>
      </c>
      <c r="U153" s="28" t="str">
        <f t="shared" si="44"/>
        <v/>
      </c>
      <c r="V153" s="28" t="str">
        <f t="shared" si="44"/>
        <v/>
      </c>
      <c r="W153" s="28" t="str">
        <f t="shared" si="44"/>
        <v/>
      </c>
      <c r="X153" s="29" t="str">
        <f t="shared" si="4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16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9" activePane="bottomLeft" state="frozen"/>
      <selection activeCell="I40" sqref="I40"/>
      <selection pane="bottomLeft" activeCell="I40" sqref="I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TZ-114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71" t="s">
        <v>58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42388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72">
        <v>42</v>
      </c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42391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 t="s">
        <v>59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2179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2437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60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1">
        <v>42391</v>
      </c>
      <c r="C16" s="25">
        <v>12.935</v>
      </c>
      <c r="D16" s="26"/>
      <c r="E16" s="26"/>
      <c r="F16" s="47"/>
      <c r="G16" s="47"/>
      <c r="H16" s="47"/>
      <c r="I16" s="57"/>
      <c r="J16" s="58">
        <v>2447</v>
      </c>
      <c r="K16" s="18">
        <f t="shared" ref="K16:K17" si="0">IF(ISBLANK(J16),"",(J16-$J$8))</f>
        <v>10</v>
      </c>
      <c r="L16" s="19">
        <f t="shared" ref="L16:Q17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42394</v>
      </c>
      <c r="C17" s="25">
        <v>12.933999999999999</v>
      </c>
      <c r="D17" s="26">
        <v>8.0839999999999996</v>
      </c>
      <c r="E17" s="26">
        <v>7.7560000000000002</v>
      </c>
      <c r="F17" s="47"/>
      <c r="G17" s="47"/>
      <c r="H17" s="47"/>
      <c r="I17" s="57">
        <v>115.818</v>
      </c>
      <c r="J17" s="58">
        <v>2451</v>
      </c>
      <c r="K17" s="18">
        <f t="shared" si="0"/>
        <v>14</v>
      </c>
      <c r="L17" s="19">
        <f t="shared" si="1"/>
        <v>-1.0000000000012221</v>
      </c>
      <c r="M17" s="19">
        <f t="shared" ref="M17:N17" si="3">IF(ISBLANK(D17),"",(D17-D$17)*1000)</f>
        <v>0</v>
      </c>
      <c r="N17" s="19">
        <f t="shared" si="3"/>
        <v>0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 t="shared" ref="R17" si="4">IF(ISBLANK(I17),"",(I17-I$17)*1000)</f>
        <v>0</v>
      </c>
      <c r="S17" s="27">
        <f t="shared" ref="S17:X32" si="5">IF(C17="","",((C17-C16)*1000)/($B17-$B16))</f>
        <v>-0.33333333333374071</v>
      </c>
      <c r="T17" s="28"/>
      <c r="U17" s="28"/>
      <c r="V17" s="28" t="str">
        <f t="shared" si="5"/>
        <v/>
      </c>
      <c r="W17" s="28" t="str">
        <f t="shared" si="5"/>
        <v/>
      </c>
      <c r="X17" s="29" t="str">
        <f t="shared" si="5"/>
        <v/>
      </c>
      <c r="Y17" s="24"/>
    </row>
    <row r="18" spans="2:25" ht="15" customHeight="1" x14ac:dyDescent="0.2">
      <c r="B18" s="31">
        <v>42395</v>
      </c>
      <c r="C18" s="25">
        <v>12.935</v>
      </c>
      <c r="D18" s="26">
        <v>8.0860000000000003</v>
      </c>
      <c r="E18" s="26">
        <v>7.7560000000000002</v>
      </c>
      <c r="F18" s="47"/>
      <c r="G18" s="47"/>
      <c r="H18" s="47"/>
      <c r="I18" s="57">
        <v>115.81699999999999</v>
      </c>
      <c r="J18" s="58">
        <v>2455</v>
      </c>
      <c r="K18" s="18">
        <f t="shared" ref="K18" si="6">IF(ISBLANK(J18),"",(J18-$J$8))</f>
        <v>18</v>
      </c>
      <c r="L18" s="19">
        <f t="shared" ref="L18:L31" si="7">IF(ISBLANK(C18),"",(C18-C$16)*1000)</f>
        <v>0</v>
      </c>
      <c r="M18" s="19">
        <f t="shared" ref="M18:M37" si="8">IF(ISBLANK(D18),"",(D18-D$17)*1000)</f>
        <v>2.0000000000006679</v>
      </c>
      <c r="N18" s="19">
        <f t="shared" ref="N18:N81" si="9">IF(ISBLANK(E18),"",(E18-E$17)*1000)</f>
        <v>0</v>
      </c>
      <c r="O18" s="19" t="str">
        <f t="shared" ref="O18:O37" si="10">IF(ISBLANK(F18),"",(F18-F$16)*1000)</f>
        <v/>
      </c>
      <c r="P18" s="19" t="str">
        <f t="shared" ref="P18:P37" si="11">IF(ISBLANK(G18),"",(G18-G$16)*1000)</f>
        <v/>
      </c>
      <c r="Q18" s="19" t="str">
        <f t="shared" ref="Q18:Q37" si="12">IF(ISBLANK(H18),"",(H18-H$16)*1000)</f>
        <v/>
      </c>
      <c r="R18" s="19">
        <f t="shared" ref="R18:R81" si="13">IF(ISBLANK(I18),"",(I18-I$17)*1000)</f>
        <v>-1.0000000000047748</v>
      </c>
      <c r="S18" s="27">
        <f t="shared" si="5"/>
        <v>1.0000000000012221</v>
      </c>
      <c r="T18" s="28">
        <f t="shared" si="5"/>
        <v>2.0000000000006679</v>
      </c>
      <c r="U18" s="28">
        <f t="shared" si="5"/>
        <v>0</v>
      </c>
      <c r="V18" s="28" t="str">
        <f t="shared" si="5"/>
        <v/>
      </c>
      <c r="W18" s="28" t="str">
        <f t="shared" si="5"/>
        <v/>
      </c>
      <c r="X18" s="29" t="str">
        <f t="shared" si="5"/>
        <v/>
      </c>
      <c r="Y18" s="24"/>
    </row>
    <row r="19" spans="2:25" ht="15" customHeight="1" x14ac:dyDescent="0.2">
      <c r="B19" s="31">
        <v>42396</v>
      </c>
      <c r="C19" s="25">
        <v>12.936</v>
      </c>
      <c r="D19" s="26">
        <v>8.0879999999999992</v>
      </c>
      <c r="E19" s="26">
        <v>7.7569999999999997</v>
      </c>
      <c r="F19" s="47"/>
      <c r="G19" s="47"/>
      <c r="H19" s="47"/>
      <c r="I19" s="57">
        <v>115.818</v>
      </c>
      <c r="J19" s="58">
        <v>2460</v>
      </c>
      <c r="K19" s="18">
        <f t="shared" ref="K19" si="14">IF(ISBLANK(J19),"",(J19-$J$8))</f>
        <v>23</v>
      </c>
      <c r="L19" s="19">
        <f t="shared" ref="L19" si="15">IF(ISBLANK(C19),"",(C19-C$16)*1000)</f>
        <v>0.99999999999944578</v>
      </c>
      <c r="M19" s="19">
        <f t="shared" si="8"/>
        <v>3.9999999999995595</v>
      </c>
      <c r="N19" s="19">
        <f t="shared" si="9"/>
        <v>0.99999999999944578</v>
      </c>
      <c r="O19" s="19" t="str">
        <f t="shared" si="10"/>
        <v/>
      </c>
      <c r="P19" s="19" t="str">
        <f t="shared" si="11"/>
        <v/>
      </c>
      <c r="Q19" s="19" t="str">
        <f t="shared" si="12"/>
        <v/>
      </c>
      <c r="R19" s="19">
        <f t="shared" si="13"/>
        <v>0</v>
      </c>
      <c r="S19" s="27">
        <f t="shared" si="5"/>
        <v>0.99999999999944578</v>
      </c>
      <c r="T19" s="28">
        <f t="shared" si="5"/>
        <v>1.9999999999988916</v>
      </c>
      <c r="U19" s="28">
        <f t="shared" si="5"/>
        <v>0.99999999999944578</v>
      </c>
      <c r="V19" s="28" t="str">
        <f t="shared" si="5"/>
        <v/>
      </c>
      <c r="W19" s="28" t="str">
        <f t="shared" si="5"/>
        <v/>
      </c>
      <c r="X19" s="29" t="str">
        <f t="shared" si="5"/>
        <v/>
      </c>
      <c r="Y19" s="24"/>
    </row>
    <row r="20" spans="2:25" ht="15" customHeight="1" x14ac:dyDescent="0.2">
      <c r="B20" s="31">
        <v>42397</v>
      </c>
      <c r="C20" s="25">
        <v>12.936999999999999</v>
      </c>
      <c r="D20" s="26">
        <v>8.0879999999999992</v>
      </c>
      <c r="E20" s="26">
        <v>7.7560000000000002</v>
      </c>
      <c r="F20" s="47"/>
      <c r="G20" s="47"/>
      <c r="H20" s="47"/>
      <c r="I20" s="57">
        <v>115.81699999999999</v>
      </c>
      <c r="J20" s="58">
        <v>2462</v>
      </c>
      <c r="K20" s="18">
        <f t="shared" ref="K20" si="16">IF(ISBLANK(J20),"",(J20-$J$8))</f>
        <v>25</v>
      </c>
      <c r="L20" s="19">
        <f t="shared" si="7"/>
        <v>1.9999999999988916</v>
      </c>
      <c r="M20" s="19">
        <f t="shared" si="8"/>
        <v>3.9999999999995595</v>
      </c>
      <c r="N20" s="19">
        <f t="shared" si="9"/>
        <v>0</v>
      </c>
      <c r="O20" s="19" t="str">
        <f t="shared" si="10"/>
        <v/>
      </c>
      <c r="P20" s="19" t="str">
        <f t="shared" si="11"/>
        <v/>
      </c>
      <c r="Q20" s="19" t="str">
        <f t="shared" si="12"/>
        <v/>
      </c>
      <c r="R20" s="19">
        <f t="shared" si="13"/>
        <v>-1.0000000000047748</v>
      </c>
      <c r="S20" s="27">
        <f t="shared" si="5"/>
        <v>0.99999999999944578</v>
      </c>
      <c r="T20" s="28">
        <f t="shared" si="5"/>
        <v>0</v>
      </c>
      <c r="U20" s="28">
        <f t="shared" si="5"/>
        <v>-0.99999999999944578</v>
      </c>
      <c r="V20" s="28" t="str">
        <f t="shared" si="5"/>
        <v/>
      </c>
      <c r="W20" s="28" t="str">
        <f t="shared" si="5"/>
        <v/>
      </c>
      <c r="X20" s="29" t="str">
        <f t="shared" si="5"/>
        <v/>
      </c>
      <c r="Y20" s="24"/>
    </row>
    <row r="21" spans="2:25" ht="15" customHeight="1" x14ac:dyDescent="0.2">
      <c r="B21" s="31">
        <v>42398</v>
      </c>
      <c r="C21" s="25">
        <v>12.933999999999999</v>
      </c>
      <c r="D21" s="26">
        <v>8.0879999999999992</v>
      </c>
      <c r="E21" s="26">
        <v>7.7560000000000002</v>
      </c>
      <c r="F21" s="47"/>
      <c r="G21" s="47"/>
      <c r="H21" s="47"/>
      <c r="I21" s="57">
        <v>115.81699999999999</v>
      </c>
      <c r="J21" s="32">
        <v>2466</v>
      </c>
      <c r="K21" s="18">
        <f t="shared" ref="K21" si="17">IF(ISBLANK(J21),"",(J21-$J$8))</f>
        <v>29</v>
      </c>
      <c r="L21" s="19">
        <f t="shared" si="7"/>
        <v>-1.0000000000012221</v>
      </c>
      <c r="M21" s="19">
        <f t="shared" si="8"/>
        <v>3.9999999999995595</v>
      </c>
      <c r="N21" s="19">
        <f t="shared" si="9"/>
        <v>0</v>
      </c>
      <c r="O21" s="19" t="str">
        <f t="shared" si="10"/>
        <v/>
      </c>
      <c r="P21" s="19" t="str">
        <f t="shared" si="11"/>
        <v/>
      </c>
      <c r="Q21" s="19" t="str">
        <f t="shared" si="12"/>
        <v/>
      </c>
      <c r="R21" s="19">
        <f t="shared" si="13"/>
        <v>-1.0000000000047748</v>
      </c>
      <c r="S21" s="27">
        <f t="shared" si="5"/>
        <v>-3.0000000000001137</v>
      </c>
      <c r="T21" s="28">
        <f t="shared" si="5"/>
        <v>0</v>
      </c>
      <c r="U21" s="28">
        <f t="shared" si="5"/>
        <v>0</v>
      </c>
      <c r="V21" s="28" t="str">
        <f t="shared" si="5"/>
        <v/>
      </c>
      <c r="W21" s="28" t="str">
        <f t="shared" si="5"/>
        <v/>
      </c>
      <c r="X21" s="29" t="str">
        <f t="shared" si="5"/>
        <v/>
      </c>
      <c r="Y21" s="24"/>
    </row>
    <row r="22" spans="2:25" ht="15" customHeight="1" x14ac:dyDescent="0.2">
      <c r="B22" s="31">
        <v>42401</v>
      </c>
      <c r="C22" s="25">
        <v>12.935</v>
      </c>
      <c r="D22" s="26">
        <v>8.0860000000000003</v>
      </c>
      <c r="E22" s="26">
        <v>7.7560000000000002</v>
      </c>
      <c r="F22" s="47"/>
      <c r="G22" s="47"/>
      <c r="H22" s="47"/>
      <c r="I22" s="57">
        <v>115.816</v>
      </c>
      <c r="J22" s="58">
        <v>2471</v>
      </c>
      <c r="K22" s="18">
        <f t="shared" ref="K22" si="18">IF(ISBLANK(J22),"",(J22-$J$8))</f>
        <v>34</v>
      </c>
      <c r="L22" s="19">
        <f t="shared" si="7"/>
        <v>0</v>
      </c>
      <c r="M22" s="19">
        <f t="shared" si="8"/>
        <v>2.0000000000006679</v>
      </c>
      <c r="N22" s="19">
        <f t="shared" si="9"/>
        <v>0</v>
      </c>
      <c r="O22" s="19" t="str">
        <f t="shared" si="10"/>
        <v/>
      </c>
      <c r="P22" s="19" t="str">
        <f t="shared" si="11"/>
        <v/>
      </c>
      <c r="Q22" s="19" t="str">
        <f t="shared" si="12"/>
        <v/>
      </c>
      <c r="R22" s="19">
        <f t="shared" si="13"/>
        <v>-1.9999999999953388</v>
      </c>
      <c r="S22" s="27">
        <f t="shared" si="5"/>
        <v>0.33333333333374071</v>
      </c>
      <c r="T22" s="28">
        <f t="shared" si="5"/>
        <v>-0.66666666666629715</v>
      </c>
      <c r="U22" s="28">
        <f t="shared" si="5"/>
        <v>0</v>
      </c>
      <c r="V22" s="28" t="str">
        <f t="shared" si="5"/>
        <v/>
      </c>
      <c r="W22" s="28" t="str">
        <f t="shared" si="5"/>
        <v/>
      </c>
      <c r="X22" s="29" t="str">
        <f t="shared" si="5"/>
        <v/>
      </c>
      <c r="Y22" s="24"/>
    </row>
    <row r="23" spans="2:25" ht="15" customHeight="1" x14ac:dyDescent="0.2">
      <c r="B23" s="31">
        <v>42402</v>
      </c>
      <c r="C23" s="25">
        <v>12.935</v>
      </c>
      <c r="D23" s="26">
        <v>8.0860000000000003</v>
      </c>
      <c r="E23" s="26">
        <v>7.7560000000000002</v>
      </c>
      <c r="F23" s="47"/>
      <c r="G23" s="47"/>
      <c r="H23" s="47"/>
      <c r="I23" s="57">
        <v>115.815</v>
      </c>
      <c r="J23" s="58">
        <v>2474</v>
      </c>
      <c r="K23" s="18">
        <f t="shared" ref="K23" si="19">IF(ISBLANK(J23),"",(J23-$J$8))</f>
        <v>37</v>
      </c>
      <c r="L23" s="19">
        <f t="shared" si="7"/>
        <v>0</v>
      </c>
      <c r="M23" s="19">
        <f t="shared" si="8"/>
        <v>2.0000000000006679</v>
      </c>
      <c r="N23" s="19">
        <f t="shared" si="9"/>
        <v>0</v>
      </c>
      <c r="O23" s="19" t="str">
        <f t="shared" si="10"/>
        <v/>
      </c>
      <c r="P23" s="19" t="str">
        <f t="shared" si="11"/>
        <v/>
      </c>
      <c r="Q23" s="19" t="str">
        <f t="shared" si="12"/>
        <v/>
      </c>
      <c r="R23" s="19">
        <f t="shared" si="13"/>
        <v>-3.0000000000001137</v>
      </c>
      <c r="S23" s="27">
        <f t="shared" si="5"/>
        <v>0</v>
      </c>
      <c r="T23" s="28">
        <f t="shared" si="5"/>
        <v>0</v>
      </c>
      <c r="U23" s="28">
        <f t="shared" si="5"/>
        <v>0</v>
      </c>
      <c r="V23" s="28" t="str">
        <f t="shared" si="5"/>
        <v/>
      </c>
      <c r="W23" s="28" t="str">
        <f t="shared" si="5"/>
        <v/>
      </c>
      <c r="X23" s="29" t="str">
        <f t="shared" si="5"/>
        <v/>
      </c>
      <c r="Y23" s="24"/>
    </row>
    <row r="24" spans="2:25" ht="15" customHeight="1" x14ac:dyDescent="0.2">
      <c r="B24" s="31">
        <v>42403</v>
      </c>
      <c r="C24" s="25">
        <v>12.935</v>
      </c>
      <c r="D24" s="26">
        <v>8.0860000000000003</v>
      </c>
      <c r="E24" s="26">
        <v>7.7560000000000002</v>
      </c>
      <c r="F24" s="47"/>
      <c r="G24" s="47"/>
      <c r="H24" s="47"/>
      <c r="I24" s="57">
        <v>115.81399999999999</v>
      </c>
      <c r="J24" s="58">
        <v>2479</v>
      </c>
      <c r="K24" s="18">
        <f t="shared" ref="K24" si="20">IF(ISBLANK(J24),"",(J24-$J$8))</f>
        <v>42</v>
      </c>
      <c r="L24" s="19">
        <f t="shared" si="7"/>
        <v>0</v>
      </c>
      <c r="M24" s="19">
        <f t="shared" si="8"/>
        <v>2.0000000000006679</v>
      </c>
      <c r="N24" s="19">
        <f t="shared" si="9"/>
        <v>0</v>
      </c>
      <c r="O24" s="19" t="str">
        <f t="shared" si="10"/>
        <v/>
      </c>
      <c r="P24" s="19" t="str">
        <f t="shared" si="11"/>
        <v/>
      </c>
      <c r="Q24" s="19" t="str">
        <f t="shared" si="12"/>
        <v/>
      </c>
      <c r="R24" s="19">
        <f t="shared" si="13"/>
        <v>-4.0000000000048885</v>
      </c>
      <c r="S24" s="27">
        <f t="shared" si="5"/>
        <v>0</v>
      </c>
      <c r="T24" s="28">
        <f t="shared" si="5"/>
        <v>0</v>
      </c>
      <c r="U24" s="28">
        <f t="shared" si="5"/>
        <v>0</v>
      </c>
      <c r="V24" s="28" t="str">
        <f t="shared" si="5"/>
        <v/>
      </c>
      <c r="W24" s="28" t="str">
        <f t="shared" si="5"/>
        <v/>
      </c>
      <c r="X24" s="29" t="str">
        <f t="shared" si="5"/>
        <v/>
      </c>
      <c r="Y24" s="24"/>
    </row>
    <row r="25" spans="2:25" ht="15" customHeight="1" x14ac:dyDescent="0.2">
      <c r="B25" s="31">
        <v>42404</v>
      </c>
      <c r="C25" s="25">
        <v>12.933999999999999</v>
      </c>
      <c r="D25" s="26">
        <v>8.0860000000000003</v>
      </c>
      <c r="E25" s="26">
        <v>7.7560000000000002</v>
      </c>
      <c r="F25" s="47"/>
      <c r="G25" s="47"/>
      <c r="H25" s="47"/>
      <c r="I25" s="57">
        <v>115.81399999999999</v>
      </c>
      <c r="J25" s="58">
        <v>2484</v>
      </c>
      <c r="K25" s="18">
        <f t="shared" ref="K25" si="21">IF(ISBLANK(J25),"",(J25-$J$8))</f>
        <v>47</v>
      </c>
      <c r="L25" s="19">
        <f t="shared" si="7"/>
        <v>-1.0000000000012221</v>
      </c>
      <c r="M25" s="19">
        <f t="shared" si="8"/>
        <v>2.0000000000006679</v>
      </c>
      <c r="N25" s="19">
        <f t="shared" si="9"/>
        <v>0</v>
      </c>
      <c r="O25" s="19" t="str">
        <f t="shared" si="10"/>
        <v/>
      </c>
      <c r="P25" s="19" t="str">
        <f t="shared" si="11"/>
        <v/>
      </c>
      <c r="Q25" s="19" t="str">
        <f t="shared" si="12"/>
        <v/>
      </c>
      <c r="R25" s="19">
        <f t="shared" si="13"/>
        <v>-4.0000000000048885</v>
      </c>
      <c r="S25" s="27">
        <f t="shared" si="5"/>
        <v>-1.0000000000012221</v>
      </c>
      <c r="T25" s="28">
        <f t="shared" si="5"/>
        <v>0</v>
      </c>
      <c r="U25" s="28">
        <f t="shared" si="5"/>
        <v>0</v>
      </c>
      <c r="V25" s="28" t="str">
        <f t="shared" si="5"/>
        <v/>
      </c>
      <c r="W25" s="28" t="str">
        <f t="shared" si="5"/>
        <v/>
      </c>
      <c r="X25" s="29" t="str">
        <f t="shared" si="5"/>
        <v/>
      </c>
      <c r="Y25" s="24"/>
    </row>
    <row r="26" spans="2:25" ht="15" customHeight="1" x14ac:dyDescent="0.2">
      <c r="B26" s="31">
        <v>42405</v>
      </c>
      <c r="C26" s="25">
        <v>12.935</v>
      </c>
      <c r="D26" s="26">
        <v>8.0850000000000009</v>
      </c>
      <c r="E26" s="26">
        <v>7.7560000000000002</v>
      </c>
      <c r="F26" s="47"/>
      <c r="G26" s="47"/>
      <c r="H26" s="47"/>
      <c r="I26" s="57">
        <v>115.81399999999999</v>
      </c>
      <c r="J26" s="58">
        <v>2488</v>
      </c>
      <c r="K26" s="18">
        <f t="shared" ref="K26" si="22">IF(ISBLANK(J26),"",(J26-$J$8))</f>
        <v>51</v>
      </c>
      <c r="L26" s="19">
        <f t="shared" si="7"/>
        <v>0</v>
      </c>
      <c r="M26" s="19">
        <f t="shared" si="8"/>
        <v>1.0000000000012221</v>
      </c>
      <c r="N26" s="19">
        <f t="shared" si="9"/>
        <v>0</v>
      </c>
      <c r="O26" s="19" t="str">
        <f t="shared" si="10"/>
        <v/>
      </c>
      <c r="P26" s="19" t="str">
        <f t="shared" si="11"/>
        <v/>
      </c>
      <c r="Q26" s="19" t="str">
        <f t="shared" si="12"/>
        <v/>
      </c>
      <c r="R26" s="19">
        <f t="shared" si="13"/>
        <v>-4.0000000000048885</v>
      </c>
      <c r="S26" s="27">
        <f t="shared" si="5"/>
        <v>1.0000000000012221</v>
      </c>
      <c r="T26" s="28">
        <f t="shared" si="5"/>
        <v>-0.99999999999944578</v>
      </c>
      <c r="U26" s="28">
        <f t="shared" si="5"/>
        <v>0</v>
      </c>
      <c r="V26" s="28" t="str">
        <f t="shared" si="5"/>
        <v/>
      </c>
      <c r="W26" s="28" t="str">
        <f t="shared" si="5"/>
        <v/>
      </c>
      <c r="X26" s="29" t="str">
        <f t="shared" si="5"/>
        <v/>
      </c>
      <c r="Y26" s="24"/>
    </row>
    <row r="27" spans="2:25" ht="15" customHeight="1" x14ac:dyDescent="0.2">
      <c r="B27" s="31">
        <v>42408</v>
      </c>
      <c r="C27" s="25">
        <v>12.932</v>
      </c>
      <c r="D27" s="26">
        <v>8.0860000000000003</v>
      </c>
      <c r="E27" s="26">
        <v>7.7539999999999996</v>
      </c>
      <c r="F27" s="47"/>
      <c r="G27" s="47"/>
      <c r="H27" s="47"/>
      <c r="I27" s="57">
        <v>115.815</v>
      </c>
      <c r="J27" s="58">
        <v>2493</v>
      </c>
      <c r="K27" s="18">
        <f t="shared" ref="K27" si="23">IF(ISBLANK(J27),"",(J27-$J$8))</f>
        <v>56</v>
      </c>
      <c r="L27" s="19">
        <f t="shared" si="7"/>
        <v>-3.0000000000001137</v>
      </c>
      <c r="M27" s="19">
        <f t="shared" si="8"/>
        <v>2.0000000000006679</v>
      </c>
      <c r="N27" s="19">
        <f t="shared" si="9"/>
        <v>-2.0000000000006679</v>
      </c>
      <c r="O27" s="19" t="str">
        <f t="shared" si="10"/>
        <v/>
      </c>
      <c r="P27" s="19" t="str">
        <f t="shared" si="11"/>
        <v/>
      </c>
      <c r="Q27" s="19" t="str">
        <f t="shared" si="12"/>
        <v/>
      </c>
      <c r="R27" s="19">
        <f t="shared" si="13"/>
        <v>-3.0000000000001137</v>
      </c>
      <c r="S27" s="27">
        <f t="shared" si="5"/>
        <v>-1.000000000000038</v>
      </c>
      <c r="T27" s="28">
        <f t="shared" si="5"/>
        <v>0.33333333333314857</v>
      </c>
      <c r="U27" s="28">
        <f t="shared" si="5"/>
        <v>-0.66666666666688934</v>
      </c>
      <c r="V27" s="28" t="str">
        <f t="shared" si="5"/>
        <v/>
      </c>
      <c r="W27" s="28" t="str">
        <f t="shared" si="5"/>
        <v/>
      </c>
      <c r="X27" s="29" t="str">
        <f t="shared" si="5"/>
        <v/>
      </c>
      <c r="Y27" s="24"/>
    </row>
    <row r="28" spans="2:25" ht="15" customHeight="1" x14ac:dyDescent="0.2">
      <c r="B28" s="31">
        <v>42409</v>
      </c>
      <c r="C28" s="25">
        <v>12.933</v>
      </c>
      <c r="D28" s="26">
        <v>8.0860000000000003</v>
      </c>
      <c r="E28" s="26">
        <v>7.7539999999999996</v>
      </c>
      <c r="F28" s="47"/>
      <c r="G28" s="47"/>
      <c r="H28" s="47"/>
      <c r="I28" s="57">
        <v>115.815</v>
      </c>
      <c r="J28" s="58">
        <v>2496</v>
      </c>
      <c r="K28" s="18">
        <f t="shared" ref="K28" si="24">IF(ISBLANK(J28),"",(J28-$J$8))</f>
        <v>59</v>
      </c>
      <c r="L28" s="19">
        <f t="shared" si="7"/>
        <v>-2.0000000000006679</v>
      </c>
      <c r="M28" s="19">
        <f t="shared" si="8"/>
        <v>2.0000000000006679</v>
      </c>
      <c r="N28" s="19">
        <f t="shared" si="9"/>
        <v>-2.0000000000006679</v>
      </c>
      <c r="O28" s="19" t="str">
        <f t="shared" si="10"/>
        <v/>
      </c>
      <c r="P28" s="19" t="str">
        <f t="shared" si="11"/>
        <v/>
      </c>
      <c r="Q28" s="19" t="str">
        <f t="shared" si="12"/>
        <v/>
      </c>
      <c r="R28" s="19">
        <f t="shared" si="13"/>
        <v>-3.0000000000001137</v>
      </c>
      <c r="S28" s="27">
        <f t="shared" si="5"/>
        <v>0.99999999999944578</v>
      </c>
      <c r="T28" s="28">
        <f t="shared" si="5"/>
        <v>0</v>
      </c>
      <c r="U28" s="28">
        <f t="shared" si="5"/>
        <v>0</v>
      </c>
      <c r="V28" s="28" t="str">
        <f t="shared" si="5"/>
        <v/>
      </c>
      <c r="W28" s="28" t="str">
        <f t="shared" si="5"/>
        <v/>
      </c>
      <c r="X28" s="29" t="str">
        <f t="shared" si="5"/>
        <v/>
      </c>
      <c r="Y28" s="24"/>
    </row>
    <row r="29" spans="2:25" ht="15" customHeight="1" x14ac:dyDescent="0.2">
      <c r="B29" s="31">
        <v>42410</v>
      </c>
      <c r="C29" s="25">
        <v>12.933</v>
      </c>
      <c r="D29" s="26">
        <v>8.0860000000000003</v>
      </c>
      <c r="E29" s="26">
        <v>7.7539999999999996</v>
      </c>
      <c r="F29" s="47"/>
      <c r="G29" s="47"/>
      <c r="H29" s="47"/>
      <c r="I29" s="57">
        <v>115.815</v>
      </c>
      <c r="J29" s="58">
        <v>2500</v>
      </c>
      <c r="K29" s="18">
        <f t="shared" ref="K29" si="25">IF(ISBLANK(J29),"",(J29-$J$8))</f>
        <v>63</v>
      </c>
      <c r="L29" s="19">
        <f t="shared" si="7"/>
        <v>-2.0000000000006679</v>
      </c>
      <c r="M29" s="19">
        <f t="shared" si="8"/>
        <v>2.0000000000006679</v>
      </c>
      <c r="N29" s="19">
        <f t="shared" si="9"/>
        <v>-2.0000000000006679</v>
      </c>
      <c r="O29" s="19" t="str">
        <f t="shared" si="10"/>
        <v/>
      </c>
      <c r="P29" s="19" t="str">
        <f t="shared" si="11"/>
        <v/>
      </c>
      <c r="Q29" s="19" t="str">
        <f t="shared" si="12"/>
        <v/>
      </c>
      <c r="R29" s="19">
        <f t="shared" si="13"/>
        <v>-3.0000000000001137</v>
      </c>
      <c r="S29" s="27">
        <f t="shared" si="5"/>
        <v>0</v>
      </c>
      <c r="T29" s="28">
        <f t="shared" si="5"/>
        <v>0</v>
      </c>
      <c r="U29" s="28">
        <f t="shared" si="5"/>
        <v>0</v>
      </c>
      <c r="V29" s="28" t="str">
        <f t="shared" si="5"/>
        <v/>
      </c>
      <c r="W29" s="28" t="str">
        <f t="shared" si="5"/>
        <v/>
      </c>
      <c r="X29" s="29" t="str">
        <f t="shared" si="5"/>
        <v/>
      </c>
      <c r="Y29" s="24"/>
    </row>
    <row r="30" spans="2:25" ht="15" customHeight="1" x14ac:dyDescent="0.2">
      <c r="B30" s="31">
        <v>42411</v>
      </c>
      <c r="C30" s="25">
        <v>12.933999999999999</v>
      </c>
      <c r="D30" s="26">
        <v>8.0860000000000003</v>
      </c>
      <c r="E30" s="26">
        <v>7.7539999999999996</v>
      </c>
      <c r="F30" s="47"/>
      <c r="G30" s="47"/>
      <c r="H30" s="47"/>
      <c r="I30" s="57">
        <v>115.815</v>
      </c>
      <c r="J30" s="58">
        <v>2504</v>
      </c>
      <c r="K30" s="18">
        <f t="shared" ref="K30:K33" si="26">IF(ISBLANK(J30),"",(J30-$J$8))</f>
        <v>67</v>
      </c>
      <c r="L30" s="19">
        <f t="shared" si="7"/>
        <v>-1.0000000000012221</v>
      </c>
      <c r="M30" s="19">
        <f t="shared" si="8"/>
        <v>2.0000000000006679</v>
      </c>
      <c r="N30" s="19">
        <f t="shared" si="9"/>
        <v>-2.0000000000006679</v>
      </c>
      <c r="O30" s="19" t="str">
        <f t="shared" si="10"/>
        <v/>
      </c>
      <c r="P30" s="19" t="str">
        <f t="shared" si="11"/>
        <v/>
      </c>
      <c r="Q30" s="19" t="str">
        <f t="shared" si="12"/>
        <v/>
      </c>
      <c r="R30" s="19">
        <f t="shared" si="13"/>
        <v>-3.0000000000001137</v>
      </c>
      <c r="S30" s="27">
        <f t="shared" si="5"/>
        <v>0.99999999999944578</v>
      </c>
      <c r="T30" s="28">
        <f t="shared" si="5"/>
        <v>0</v>
      </c>
      <c r="U30" s="28">
        <f t="shared" si="5"/>
        <v>0</v>
      </c>
      <c r="V30" s="28" t="str">
        <f t="shared" si="5"/>
        <v/>
      </c>
      <c r="W30" s="28" t="str">
        <f t="shared" si="5"/>
        <v/>
      </c>
      <c r="X30" s="29" t="str">
        <f t="shared" si="5"/>
        <v/>
      </c>
      <c r="Y30" s="24"/>
    </row>
    <row r="31" spans="2:25" ht="15" customHeight="1" x14ac:dyDescent="0.2">
      <c r="B31" s="31">
        <v>42417</v>
      </c>
      <c r="C31" s="25">
        <v>12.933</v>
      </c>
      <c r="D31" s="26">
        <v>8.0860000000000003</v>
      </c>
      <c r="E31" s="26">
        <v>7.7539999999999996</v>
      </c>
      <c r="F31" s="47"/>
      <c r="G31" s="47"/>
      <c r="H31" s="47"/>
      <c r="I31" s="57">
        <v>115.815</v>
      </c>
      <c r="J31" s="58">
        <v>2521</v>
      </c>
      <c r="K31" s="18">
        <f t="shared" si="26"/>
        <v>84</v>
      </c>
      <c r="L31" s="19">
        <f t="shared" si="7"/>
        <v>-2.0000000000006679</v>
      </c>
      <c r="M31" s="19">
        <f t="shared" si="8"/>
        <v>2.0000000000006679</v>
      </c>
      <c r="N31" s="19">
        <f t="shared" si="9"/>
        <v>-2.0000000000006679</v>
      </c>
      <c r="O31" s="19" t="str">
        <f t="shared" si="10"/>
        <v/>
      </c>
      <c r="P31" s="19" t="str">
        <f t="shared" si="11"/>
        <v/>
      </c>
      <c r="Q31" s="19" t="str">
        <f t="shared" si="12"/>
        <v/>
      </c>
      <c r="R31" s="19">
        <f t="shared" si="13"/>
        <v>-3.0000000000001137</v>
      </c>
      <c r="S31" s="27">
        <f t="shared" si="5"/>
        <v>-0.16666666666657429</v>
      </c>
      <c r="T31" s="28">
        <f t="shared" si="5"/>
        <v>0</v>
      </c>
      <c r="U31" s="28">
        <f t="shared" si="5"/>
        <v>0</v>
      </c>
      <c r="V31" s="28" t="str">
        <f t="shared" si="5"/>
        <v/>
      </c>
      <c r="W31" s="28" t="str">
        <f t="shared" si="5"/>
        <v/>
      </c>
      <c r="X31" s="29" t="str">
        <f t="shared" si="5"/>
        <v/>
      </c>
      <c r="Y31" s="24"/>
    </row>
    <row r="32" spans="2:25" ht="15" customHeight="1" x14ac:dyDescent="0.2">
      <c r="B32" s="31">
        <v>42424</v>
      </c>
      <c r="C32" s="25">
        <v>12.933</v>
      </c>
      <c r="D32" s="26">
        <v>8.0839999999999996</v>
      </c>
      <c r="E32" s="26">
        <v>7.7539999999999996</v>
      </c>
      <c r="F32" s="47"/>
      <c r="G32" s="47"/>
      <c r="H32" s="47"/>
      <c r="I32" s="57">
        <v>115.81399999999999</v>
      </c>
      <c r="J32" s="58">
        <v>2540.5</v>
      </c>
      <c r="K32" s="18">
        <f t="shared" si="26"/>
        <v>103.5</v>
      </c>
      <c r="L32" s="19">
        <f t="shared" ref="L32:L38" si="27">IF(ISBLANK(C32),"",(C32-C$16)*1000)</f>
        <v>-2.0000000000006679</v>
      </c>
      <c r="M32" s="19">
        <f t="shared" si="8"/>
        <v>0</v>
      </c>
      <c r="N32" s="19">
        <f t="shared" si="9"/>
        <v>-2.0000000000006679</v>
      </c>
      <c r="O32" s="19" t="str">
        <f t="shared" si="10"/>
        <v/>
      </c>
      <c r="P32" s="19" t="str">
        <f t="shared" si="11"/>
        <v/>
      </c>
      <c r="Q32" s="19" t="str">
        <f t="shared" si="12"/>
        <v/>
      </c>
      <c r="R32" s="19">
        <f t="shared" si="13"/>
        <v>-4.0000000000048885</v>
      </c>
      <c r="S32" s="27">
        <f t="shared" si="5"/>
        <v>0</v>
      </c>
      <c r="T32" s="28">
        <f t="shared" si="5"/>
        <v>-0.28571428571438112</v>
      </c>
      <c r="U32" s="28">
        <f t="shared" si="5"/>
        <v>0</v>
      </c>
      <c r="V32" s="28" t="str">
        <f t="shared" si="5"/>
        <v/>
      </c>
      <c r="W32" s="28" t="str">
        <f t="shared" si="5"/>
        <v/>
      </c>
      <c r="X32" s="29" t="str">
        <f t="shared" si="5"/>
        <v/>
      </c>
      <c r="Y32" s="24"/>
    </row>
    <row r="33" spans="2:25" ht="15" customHeight="1" x14ac:dyDescent="0.2">
      <c r="B33" s="31">
        <v>42430</v>
      </c>
      <c r="C33" s="25">
        <v>12.933</v>
      </c>
      <c r="D33" s="26">
        <v>8.0860000000000003</v>
      </c>
      <c r="E33" s="26">
        <v>7.7549999999999999</v>
      </c>
      <c r="F33" s="47"/>
      <c r="G33" s="47"/>
      <c r="H33" s="47"/>
      <c r="I33" s="57">
        <v>115.815</v>
      </c>
      <c r="J33" s="58">
        <v>2540.5</v>
      </c>
      <c r="K33" s="18">
        <f t="shared" si="26"/>
        <v>103.5</v>
      </c>
      <c r="L33" s="19">
        <f t="shared" si="27"/>
        <v>-2.0000000000006679</v>
      </c>
      <c r="M33" s="19">
        <f t="shared" si="8"/>
        <v>2.0000000000006679</v>
      </c>
      <c r="N33" s="19">
        <f t="shared" si="9"/>
        <v>-1.000000000000334</v>
      </c>
      <c r="O33" s="19" t="str">
        <f t="shared" si="10"/>
        <v/>
      </c>
      <c r="P33" s="19" t="str">
        <f t="shared" si="11"/>
        <v/>
      </c>
      <c r="Q33" s="19" t="str">
        <f t="shared" si="12"/>
        <v/>
      </c>
      <c r="R33" s="19">
        <f t="shared" si="13"/>
        <v>-3.0000000000001137</v>
      </c>
      <c r="S33" s="27">
        <f t="shared" ref="S33:X48" si="28">IF(C33="","",((C33-C32)*1000)/($B33-$B32))</f>
        <v>0</v>
      </c>
      <c r="T33" s="28">
        <f t="shared" si="28"/>
        <v>0.33333333333344467</v>
      </c>
      <c r="U33" s="28">
        <f t="shared" si="28"/>
        <v>0.16666666666672234</v>
      </c>
      <c r="V33" s="28" t="str">
        <f t="shared" si="28"/>
        <v/>
      </c>
      <c r="W33" s="28" t="str">
        <f t="shared" si="28"/>
        <v/>
      </c>
      <c r="X33" s="29" t="str">
        <f t="shared" si="28"/>
        <v/>
      </c>
      <c r="Y33" s="24"/>
    </row>
    <row r="34" spans="2:25" ht="15" customHeight="1" x14ac:dyDescent="0.2">
      <c r="B34" s="31">
        <v>42458</v>
      </c>
      <c r="C34" s="25">
        <v>12.933999999999999</v>
      </c>
      <c r="D34" s="26">
        <v>8.0850000000000009</v>
      </c>
      <c r="E34" s="26">
        <v>7.7569999999999997</v>
      </c>
      <c r="F34" s="47"/>
      <c r="G34" s="47"/>
      <c r="H34" s="47"/>
      <c r="I34" s="57">
        <v>115.81399999999999</v>
      </c>
      <c r="J34" s="58">
        <v>2571</v>
      </c>
      <c r="K34" s="18">
        <f t="shared" ref="K34" si="29">IF(ISBLANK(J34),"",(J34-$J$8))</f>
        <v>134</v>
      </c>
      <c r="L34" s="19">
        <f t="shared" si="27"/>
        <v>-1.0000000000012221</v>
      </c>
      <c r="M34" s="19">
        <f t="shared" si="8"/>
        <v>1.0000000000012221</v>
      </c>
      <c r="N34" s="19">
        <f t="shared" si="9"/>
        <v>0.99999999999944578</v>
      </c>
      <c r="O34" s="19" t="str">
        <f t="shared" si="10"/>
        <v/>
      </c>
      <c r="P34" s="19" t="str">
        <f t="shared" si="11"/>
        <v/>
      </c>
      <c r="Q34" s="19" t="str">
        <f t="shared" si="12"/>
        <v/>
      </c>
      <c r="R34" s="19">
        <f t="shared" si="13"/>
        <v>-4.0000000000048885</v>
      </c>
      <c r="S34" s="27">
        <f t="shared" si="28"/>
        <v>3.5714285714265923E-2</v>
      </c>
      <c r="T34" s="28">
        <f t="shared" si="28"/>
        <v>-3.5714285714265923E-2</v>
      </c>
      <c r="U34" s="28">
        <f t="shared" si="28"/>
        <v>7.1428571428563556E-2</v>
      </c>
      <c r="V34" s="28" t="str">
        <f t="shared" si="28"/>
        <v/>
      </c>
      <c r="W34" s="28" t="str">
        <f t="shared" si="28"/>
        <v/>
      </c>
      <c r="X34" s="29" t="str">
        <f t="shared" si="28"/>
        <v/>
      </c>
      <c r="Y34" s="24"/>
    </row>
    <row r="35" spans="2:25" ht="15" customHeight="1" x14ac:dyDescent="0.2">
      <c r="B35" s="31">
        <v>42502</v>
      </c>
      <c r="C35" s="73">
        <v>12.933999999999999</v>
      </c>
      <c r="D35" s="71">
        <v>8.0850000000000009</v>
      </c>
      <c r="E35" s="71">
        <v>7.7569999999999997</v>
      </c>
      <c r="F35" s="47"/>
      <c r="G35" s="47"/>
      <c r="H35" s="47"/>
      <c r="I35" s="57">
        <v>115.813</v>
      </c>
      <c r="J35" s="58">
        <v>2429</v>
      </c>
      <c r="K35" s="18">
        <f t="shared" ref="K35" si="30">IF(ISBLANK(J35),"",(J35-$J$8))</f>
        <v>-8</v>
      </c>
      <c r="L35" s="19">
        <f t="shared" si="27"/>
        <v>-1.0000000000012221</v>
      </c>
      <c r="M35" s="19">
        <f t="shared" si="8"/>
        <v>1.0000000000012221</v>
      </c>
      <c r="N35" s="19">
        <f t="shared" si="9"/>
        <v>0.99999999999944578</v>
      </c>
      <c r="O35" s="19" t="str">
        <f t="shared" si="10"/>
        <v/>
      </c>
      <c r="P35" s="19" t="str">
        <f t="shared" si="11"/>
        <v/>
      </c>
      <c r="Q35" s="19" t="str">
        <f t="shared" si="12"/>
        <v/>
      </c>
      <c r="R35" s="19">
        <f t="shared" si="13"/>
        <v>-4.9999999999954525</v>
      </c>
      <c r="S35" s="27">
        <f t="shared" si="28"/>
        <v>0</v>
      </c>
      <c r="T35" s="28">
        <f t="shared" si="28"/>
        <v>0</v>
      </c>
      <c r="U35" s="28">
        <f t="shared" si="28"/>
        <v>0</v>
      </c>
      <c r="V35" s="28" t="str">
        <f t="shared" si="28"/>
        <v/>
      </c>
      <c r="W35" s="28" t="str">
        <f t="shared" si="28"/>
        <v/>
      </c>
      <c r="X35" s="29" t="str">
        <f t="shared" si="28"/>
        <v/>
      </c>
      <c r="Y35" s="24"/>
    </row>
    <row r="36" spans="2:25" ht="15" customHeight="1" x14ac:dyDescent="0.2">
      <c r="B36" s="31">
        <v>42503</v>
      </c>
      <c r="C36" s="73">
        <v>12.933999999999999</v>
      </c>
      <c r="D36" s="71">
        <v>8.0850000000000009</v>
      </c>
      <c r="E36" s="26">
        <v>7.7569999999999997</v>
      </c>
      <c r="F36" s="47"/>
      <c r="G36" s="47"/>
      <c r="H36" s="47"/>
      <c r="I36" s="57">
        <v>115.813</v>
      </c>
      <c r="J36" s="58">
        <v>2439</v>
      </c>
      <c r="K36" s="18">
        <f t="shared" ref="K36:K37" si="31">IF(ISBLANK(J36),"",(J36-$J$8))</f>
        <v>2</v>
      </c>
      <c r="L36" s="19">
        <f t="shared" si="27"/>
        <v>-1.0000000000012221</v>
      </c>
      <c r="M36" s="19">
        <f t="shared" si="8"/>
        <v>1.0000000000012221</v>
      </c>
      <c r="N36" s="19">
        <f t="shared" si="9"/>
        <v>0.99999999999944578</v>
      </c>
      <c r="O36" s="19" t="str">
        <f t="shared" si="10"/>
        <v/>
      </c>
      <c r="P36" s="19" t="str">
        <f t="shared" si="11"/>
        <v/>
      </c>
      <c r="Q36" s="19" t="str">
        <f t="shared" si="12"/>
        <v/>
      </c>
      <c r="R36" s="19">
        <f t="shared" si="13"/>
        <v>-4.9999999999954525</v>
      </c>
      <c r="S36" s="27">
        <f t="shared" si="28"/>
        <v>0</v>
      </c>
      <c r="T36" s="28">
        <f t="shared" si="28"/>
        <v>0</v>
      </c>
      <c r="U36" s="28">
        <f t="shared" si="28"/>
        <v>0</v>
      </c>
      <c r="V36" s="28" t="str">
        <f t="shared" si="28"/>
        <v/>
      </c>
      <c r="W36" s="28" t="str">
        <f t="shared" si="28"/>
        <v/>
      </c>
      <c r="X36" s="29" t="str">
        <f t="shared" si="28"/>
        <v/>
      </c>
      <c r="Y36" s="24"/>
    </row>
    <row r="37" spans="2:25" ht="15" customHeight="1" x14ac:dyDescent="0.2">
      <c r="B37" s="31">
        <v>42506</v>
      </c>
      <c r="C37" s="73">
        <v>12.933999999999999</v>
      </c>
      <c r="D37" s="71">
        <v>8.0850000000000009</v>
      </c>
      <c r="E37" s="26">
        <v>7.7530000000000001</v>
      </c>
      <c r="F37" s="47"/>
      <c r="G37" s="47"/>
      <c r="H37" s="47"/>
      <c r="I37" s="57">
        <v>115.812</v>
      </c>
      <c r="J37" s="58">
        <v>2450</v>
      </c>
      <c r="K37" s="18">
        <f t="shared" si="31"/>
        <v>13</v>
      </c>
      <c r="L37" s="19">
        <f t="shared" si="27"/>
        <v>-1.0000000000012221</v>
      </c>
      <c r="M37" s="19">
        <f t="shared" si="8"/>
        <v>1.0000000000012221</v>
      </c>
      <c r="N37" s="19">
        <f t="shared" si="9"/>
        <v>-3.0000000000001137</v>
      </c>
      <c r="O37" s="19" t="str">
        <f t="shared" si="10"/>
        <v/>
      </c>
      <c r="P37" s="19" t="str">
        <f t="shared" si="11"/>
        <v/>
      </c>
      <c r="Q37" s="19" t="str">
        <f t="shared" si="12"/>
        <v/>
      </c>
      <c r="R37" s="19">
        <f t="shared" si="13"/>
        <v>-6.0000000000002274</v>
      </c>
      <c r="S37" s="27">
        <f t="shared" si="28"/>
        <v>0</v>
      </c>
      <c r="T37" s="28">
        <f t="shared" si="28"/>
        <v>0</v>
      </c>
      <c r="U37" s="28">
        <f t="shared" si="28"/>
        <v>-1.3333333333331865</v>
      </c>
      <c r="V37" s="28" t="str">
        <f t="shared" si="28"/>
        <v/>
      </c>
      <c r="W37" s="28" t="str">
        <f t="shared" si="28"/>
        <v/>
      </c>
      <c r="X37" s="29" t="str">
        <f t="shared" si="28"/>
        <v/>
      </c>
      <c r="Y37" s="24"/>
    </row>
    <row r="38" spans="2:25" ht="15" customHeight="1" x14ac:dyDescent="0.2">
      <c r="B38" s="31">
        <v>42507</v>
      </c>
      <c r="C38" s="73">
        <v>12.933999999999999</v>
      </c>
      <c r="D38" s="70">
        <v>7.5570000000000004</v>
      </c>
      <c r="E38" s="71">
        <v>7.7530000000000001</v>
      </c>
      <c r="F38" s="47">
        <v>13.023999999999999</v>
      </c>
      <c r="G38" s="47">
        <v>10.253</v>
      </c>
      <c r="H38" s="47">
        <v>10.260999999999999</v>
      </c>
      <c r="I38" s="57">
        <v>115.81100000000001</v>
      </c>
      <c r="J38" s="58">
        <v>2459</v>
      </c>
      <c r="K38" s="18">
        <f t="shared" ref="K38" si="32">IF(ISBLANK(J38),"",(J38-$J$8))</f>
        <v>22</v>
      </c>
      <c r="L38" s="19">
        <f t="shared" si="27"/>
        <v>-1.0000000000012221</v>
      </c>
      <c r="M38" s="69">
        <f>IF(ISBLANK(D38),"",(D38-D$38)*1000)</f>
        <v>0</v>
      </c>
      <c r="N38" s="19">
        <f t="shared" si="9"/>
        <v>-3.0000000000001137</v>
      </c>
      <c r="O38" s="19">
        <f>IF(ISBLANK(F38),"",(F38-F$38)*1000)</f>
        <v>0</v>
      </c>
      <c r="P38" s="19">
        <f>IF(ISBLANK(G38),"",(G38-G$38)*1000)</f>
        <v>0</v>
      </c>
      <c r="Q38" s="19">
        <f>IF(ISBLANK(H38),"",(H38-H$38)*1000)</f>
        <v>0</v>
      </c>
      <c r="R38" s="19">
        <f t="shared" si="13"/>
        <v>-6.9999999999907914</v>
      </c>
      <c r="S38" s="27">
        <f t="shared" si="28"/>
        <v>0</v>
      </c>
      <c r="T38" s="28"/>
      <c r="U38" s="28">
        <f t="shared" si="28"/>
        <v>0</v>
      </c>
      <c r="V38" s="28"/>
      <c r="W38" s="28"/>
      <c r="X38" s="29"/>
      <c r="Y38" s="24" t="s">
        <v>62</v>
      </c>
    </row>
    <row r="39" spans="2:25" ht="15" customHeight="1" x14ac:dyDescent="0.2">
      <c r="B39" s="31">
        <v>42508</v>
      </c>
      <c r="C39" s="74">
        <v>12.586</v>
      </c>
      <c r="D39" s="26">
        <v>7.5570000000000004</v>
      </c>
      <c r="E39" s="26">
        <v>7.7539999999999996</v>
      </c>
      <c r="F39" s="47">
        <v>13.022</v>
      </c>
      <c r="G39" s="47">
        <v>10.252000000000001</v>
      </c>
      <c r="H39" s="47">
        <v>10.260999999999999</v>
      </c>
      <c r="I39" s="57">
        <v>115.81100000000001</v>
      </c>
      <c r="J39" s="58">
        <v>2467</v>
      </c>
      <c r="K39" s="18">
        <f t="shared" ref="K39" si="33">IF(ISBLANK(J39),"",(J39-$J$8))</f>
        <v>30</v>
      </c>
      <c r="L39" s="69">
        <f>IF(ISBLANK(C39),"",(C39-C$39)*1000)</f>
        <v>0</v>
      </c>
      <c r="M39" s="19">
        <f t="shared" ref="M39:M102" si="34">IF(ISBLANK(D39),"",(D39-D$38)*1000)</f>
        <v>0</v>
      </c>
      <c r="N39" s="19">
        <f t="shared" si="9"/>
        <v>-2.0000000000006679</v>
      </c>
      <c r="O39" s="19">
        <f t="shared" ref="O39:O102" si="35">IF(ISBLANK(F39),"",(F39-F$38)*1000)</f>
        <v>-1.9999999999988916</v>
      </c>
      <c r="P39" s="19">
        <f t="shared" ref="P39:P102" si="36">IF(ISBLANK(G39),"",(G39-G$38)*1000)</f>
        <v>-0.99999999999944578</v>
      </c>
      <c r="Q39" s="19">
        <f t="shared" ref="Q39:Q102" si="37">IF(ISBLANK(H39),"",(H39-H$38)*1000)</f>
        <v>0</v>
      </c>
      <c r="R39" s="19">
        <f t="shared" si="13"/>
        <v>-6.9999999999907914</v>
      </c>
      <c r="S39" s="27"/>
      <c r="T39" s="28">
        <f t="shared" si="28"/>
        <v>0</v>
      </c>
      <c r="U39" s="28">
        <f t="shared" si="28"/>
        <v>0.99999999999944578</v>
      </c>
      <c r="V39" s="28">
        <f t="shared" si="28"/>
        <v>-1.9999999999988916</v>
      </c>
      <c r="W39" s="28">
        <f t="shared" si="28"/>
        <v>-0.99999999999944578</v>
      </c>
      <c r="X39" s="29">
        <f t="shared" si="28"/>
        <v>0</v>
      </c>
      <c r="Y39" s="24"/>
    </row>
    <row r="40" spans="2:25" ht="15" customHeight="1" x14ac:dyDescent="0.2">
      <c r="B40" s="31">
        <v>42509</v>
      </c>
      <c r="C40" s="25">
        <v>12.586</v>
      </c>
      <c r="D40" s="26">
        <v>7.5570000000000004</v>
      </c>
      <c r="E40" s="26">
        <v>7.7539999999999996</v>
      </c>
      <c r="F40" s="47">
        <v>13.023999999999999</v>
      </c>
      <c r="G40" s="47">
        <v>10.252000000000001</v>
      </c>
      <c r="H40" s="47">
        <v>10.26</v>
      </c>
      <c r="I40" s="57">
        <v>115.81100000000001</v>
      </c>
      <c r="J40" s="58">
        <v>2479</v>
      </c>
      <c r="K40" s="18">
        <f t="shared" ref="K40:K44" si="38">IF(ISBLANK(J40),"",(J40-$J$8))</f>
        <v>42</v>
      </c>
      <c r="L40" s="19">
        <f t="shared" ref="L40:L103" si="39">IF(ISBLANK(C40),"",(C40-C$39)*1000)</f>
        <v>0</v>
      </c>
      <c r="M40" s="19">
        <f t="shared" si="34"/>
        <v>0</v>
      </c>
      <c r="N40" s="19">
        <f t="shared" si="9"/>
        <v>-2.0000000000006679</v>
      </c>
      <c r="O40" s="19">
        <f t="shared" si="35"/>
        <v>0</v>
      </c>
      <c r="P40" s="19">
        <f t="shared" si="36"/>
        <v>-0.99999999999944578</v>
      </c>
      <c r="Q40" s="19">
        <f t="shared" si="37"/>
        <v>-0.99999999999944578</v>
      </c>
      <c r="R40" s="19">
        <f t="shared" si="13"/>
        <v>-6.9999999999907914</v>
      </c>
      <c r="S40" s="27">
        <f t="shared" si="28"/>
        <v>0</v>
      </c>
      <c r="T40" s="28">
        <f t="shared" si="28"/>
        <v>0</v>
      </c>
      <c r="U40" s="28">
        <f t="shared" si="28"/>
        <v>0</v>
      </c>
      <c r="V40" s="28">
        <f t="shared" si="28"/>
        <v>1.9999999999988916</v>
      </c>
      <c r="W40" s="28">
        <f t="shared" si="28"/>
        <v>0</v>
      </c>
      <c r="X40" s="29">
        <f t="shared" si="28"/>
        <v>-0.99999999999944578</v>
      </c>
      <c r="Y40" s="24"/>
    </row>
    <row r="41" spans="2:25" ht="15" customHeight="1" x14ac:dyDescent="0.2">
      <c r="B41" s="31">
        <v>42510</v>
      </c>
      <c r="C41" s="25">
        <v>12.587</v>
      </c>
      <c r="D41" s="26">
        <v>7.556</v>
      </c>
      <c r="E41" s="26">
        <v>7.7539999999999996</v>
      </c>
      <c r="F41" s="47">
        <v>13.023999999999999</v>
      </c>
      <c r="G41" s="47">
        <v>10.252000000000001</v>
      </c>
      <c r="H41" s="47">
        <v>10.262</v>
      </c>
      <c r="I41" s="57">
        <v>115.81100000000001</v>
      </c>
      <c r="J41" s="58">
        <v>2490</v>
      </c>
      <c r="K41" s="18">
        <f t="shared" si="38"/>
        <v>53</v>
      </c>
      <c r="L41" s="19">
        <f t="shared" si="39"/>
        <v>0.99999999999944578</v>
      </c>
      <c r="M41" s="19">
        <f t="shared" si="34"/>
        <v>-1.000000000000334</v>
      </c>
      <c r="N41" s="19">
        <f t="shared" si="9"/>
        <v>-2.0000000000006679</v>
      </c>
      <c r="O41" s="19">
        <f t="shared" si="35"/>
        <v>0</v>
      </c>
      <c r="P41" s="19">
        <f t="shared" si="36"/>
        <v>-0.99999999999944578</v>
      </c>
      <c r="Q41" s="19">
        <f t="shared" si="37"/>
        <v>1.0000000000012221</v>
      </c>
      <c r="R41" s="19">
        <f t="shared" si="13"/>
        <v>-6.9999999999907914</v>
      </c>
      <c r="S41" s="27">
        <f t="shared" si="28"/>
        <v>0.99999999999944578</v>
      </c>
      <c r="T41" s="28">
        <f t="shared" si="28"/>
        <v>-1.000000000000334</v>
      </c>
      <c r="U41" s="28">
        <f t="shared" si="28"/>
        <v>0</v>
      </c>
      <c r="V41" s="28">
        <f t="shared" si="28"/>
        <v>0</v>
      </c>
      <c r="W41" s="28">
        <f t="shared" si="28"/>
        <v>0</v>
      </c>
      <c r="X41" s="29">
        <f t="shared" si="28"/>
        <v>2.0000000000006679</v>
      </c>
      <c r="Y41" s="24"/>
    </row>
    <row r="42" spans="2:25" ht="15" customHeight="1" x14ac:dyDescent="0.2">
      <c r="B42" s="31">
        <v>42513</v>
      </c>
      <c r="C42" s="25">
        <v>12.587</v>
      </c>
      <c r="D42" s="26">
        <v>7.556</v>
      </c>
      <c r="E42" s="26">
        <v>7.7539999999999996</v>
      </c>
      <c r="F42" s="47">
        <v>13.023</v>
      </c>
      <c r="G42" s="47">
        <v>10.253</v>
      </c>
      <c r="H42" s="47">
        <v>10.262</v>
      </c>
      <c r="I42" s="57">
        <v>115.81100000000001</v>
      </c>
      <c r="J42" s="58">
        <v>2500</v>
      </c>
      <c r="K42" s="18">
        <f t="shared" si="38"/>
        <v>63</v>
      </c>
      <c r="L42" s="19">
        <f t="shared" si="39"/>
        <v>0.99999999999944578</v>
      </c>
      <c r="M42" s="19">
        <f t="shared" si="34"/>
        <v>-1.000000000000334</v>
      </c>
      <c r="N42" s="19">
        <f t="shared" si="9"/>
        <v>-2.0000000000006679</v>
      </c>
      <c r="O42" s="19">
        <f t="shared" si="35"/>
        <v>-0.99999999999944578</v>
      </c>
      <c r="P42" s="19">
        <f t="shared" si="36"/>
        <v>0</v>
      </c>
      <c r="Q42" s="19">
        <f t="shared" si="37"/>
        <v>1.0000000000012221</v>
      </c>
      <c r="R42" s="19">
        <f t="shared" si="13"/>
        <v>-6.9999999999907914</v>
      </c>
      <c r="S42" s="27">
        <f t="shared" si="28"/>
        <v>0</v>
      </c>
      <c r="T42" s="28">
        <f t="shared" si="28"/>
        <v>0</v>
      </c>
      <c r="U42" s="28">
        <f t="shared" si="28"/>
        <v>0</v>
      </c>
      <c r="V42" s="28">
        <f t="shared" si="28"/>
        <v>-0.33333333333314857</v>
      </c>
      <c r="W42" s="28">
        <f t="shared" si="28"/>
        <v>0.33333333333314857</v>
      </c>
      <c r="X42" s="29">
        <f t="shared" si="28"/>
        <v>0</v>
      </c>
      <c r="Y42" s="24"/>
    </row>
    <row r="43" spans="2:25" ht="15" customHeight="1" x14ac:dyDescent="0.2">
      <c r="B43" s="31">
        <v>42514</v>
      </c>
      <c r="C43" s="25">
        <v>12.587</v>
      </c>
      <c r="D43" s="26">
        <v>7.556</v>
      </c>
      <c r="E43" s="26">
        <v>7.7539999999999996</v>
      </c>
      <c r="F43" s="47">
        <v>13.023</v>
      </c>
      <c r="G43" s="47">
        <v>10.253</v>
      </c>
      <c r="H43" s="47">
        <v>10.262</v>
      </c>
      <c r="I43" s="57">
        <v>115.81</v>
      </c>
      <c r="J43" s="58">
        <v>2515</v>
      </c>
      <c r="K43" s="18">
        <f t="shared" si="38"/>
        <v>78</v>
      </c>
      <c r="L43" s="19">
        <f t="shared" si="39"/>
        <v>0.99999999999944578</v>
      </c>
      <c r="M43" s="19">
        <f t="shared" si="34"/>
        <v>-1.000000000000334</v>
      </c>
      <c r="N43" s="19">
        <f t="shared" si="9"/>
        <v>-2.0000000000006679</v>
      </c>
      <c r="O43" s="19">
        <f t="shared" si="35"/>
        <v>-0.99999999999944578</v>
      </c>
      <c r="P43" s="19">
        <f t="shared" si="36"/>
        <v>0</v>
      </c>
      <c r="Q43" s="19">
        <f t="shared" si="37"/>
        <v>1.0000000000012221</v>
      </c>
      <c r="R43" s="19">
        <f t="shared" si="13"/>
        <v>-7.9999999999955662</v>
      </c>
      <c r="S43" s="27">
        <f t="shared" si="28"/>
        <v>0</v>
      </c>
      <c r="T43" s="28">
        <f t="shared" si="28"/>
        <v>0</v>
      </c>
      <c r="U43" s="28">
        <f t="shared" si="28"/>
        <v>0</v>
      </c>
      <c r="V43" s="28">
        <f t="shared" si="28"/>
        <v>0</v>
      </c>
      <c r="W43" s="28">
        <f t="shared" si="28"/>
        <v>0</v>
      </c>
      <c r="X43" s="29">
        <f t="shared" si="28"/>
        <v>0</v>
      </c>
      <c r="Y43" s="24"/>
    </row>
    <row r="44" spans="2:25" ht="15" customHeight="1" x14ac:dyDescent="0.2">
      <c r="B44" s="31">
        <v>42515</v>
      </c>
      <c r="C44" s="25">
        <v>12.587</v>
      </c>
      <c r="D44" s="26">
        <v>7.556</v>
      </c>
      <c r="E44" s="26">
        <v>7.7539999999999996</v>
      </c>
      <c r="F44" s="47">
        <v>13.023</v>
      </c>
      <c r="G44" s="47">
        <v>10.253</v>
      </c>
      <c r="H44" s="47">
        <v>10.262</v>
      </c>
      <c r="I44" s="57">
        <v>115.81</v>
      </c>
      <c r="J44" s="58">
        <v>2524</v>
      </c>
      <c r="K44" s="18">
        <f t="shared" si="38"/>
        <v>87</v>
      </c>
      <c r="L44" s="19">
        <f t="shared" si="39"/>
        <v>0.99999999999944578</v>
      </c>
      <c r="M44" s="19">
        <f t="shared" si="34"/>
        <v>-1.000000000000334</v>
      </c>
      <c r="N44" s="19">
        <f t="shared" si="9"/>
        <v>-2.0000000000006679</v>
      </c>
      <c r="O44" s="19">
        <f t="shared" si="35"/>
        <v>-0.99999999999944578</v>
      </c>
      <c r="P44" s="19">
        <f t="shared" si="36"/>
        <v>0</v>
      </c>
      <c r="Q44" s="19">
        <f t="shared" si="37"/>
        <v>1.0000000000012221</v>
      </c>
      <c r="R44" s="19">
        <f t="shared" si="13"/>
        <v>-7.9999999999955662</v>
      </c>
      <c r="S44" s="27">
        <f t="shared" si="28"/>
        <v>0</v>
      </c>
      <c r="T44" s="28">
        <f t="shared" si="28"/>
        <v>0</v>
      </c>
      <c r="U44" s="28">
        <f t="shared" si="28"/>
        <v>0</v>
      </c>
      <c r="V44" s="28">
        <f t="shared" si="28"/>
        <v>0</v>
      </c>
      <c r="W44" s="28">
        <f t="shared" si="28"/>
        <v>0</v>
      </c>
      <c r="X44" s="29">
        <f t="shared" si="28"/>
        <v>0</v>
      </c>
      <c r="Y44" s="24"/>
    </row>
    <row r="45" spans="2:25" ht="15" customHeight="1" x14ac:dyDescent="0.2">
      <c r="B45" s="31">
        <v>42516</v>
      </c>
      <c r="C45" s="25">
        <v>12.587</v>
      </c>
      <c r="D45" s="26">
        <v>7.556</v>
      </c>
      <c r="E45" s="26">
        <v>7.7530000000000001</v>
      </c>
      <c r="F45" s="47">
        <v>13.021000000000001</v>
      </c>
      <c r="G45" s="47">
        <v>10.253</v>
      </c>
      <c r="H45" s="47">
        <v>10.259</v>
      </c>
      <c r="I45" s="57">
        <v>115.81</v>
      </c>
      <c r="J45" s="58">
        <v>2524</v>
      </c>
      <c r="K45" s="18">
        <f t="shared" ref="K45:K47" si="40">IF(ISBLANK(J45),"",(J45-$J$8))</f>
        <v>87</v>
      </c>
      <c r="L45" s="19">
        <f t="shared" si="39"/>
        <v>0.99999999999944578</v>
      </c>
      <c r="M45" s="19">
        <f t="shared" si="34"/>
        <v>-1.000000000000334</v>
      </c>
      <c r="N45" s="19">
        <f t="shared" si="9"/>
        <v>-3.0000000000001137</v>
      </c>
      <c r="O45" s="19">
        <f t="shared" si="35"/>
        <v>-2.9999999999983373</v>
      </c>
      <c r="P45" s="19">
        <f t="shared" si="36"/>
        <v>0</v>
      </c>
      <c r="Q45" s="19">
        <f t="shared" si="37"/>
        <v>-1.9999999999988916</v>
      </c>
      <c r="R45" s="19">
        <f t="shared" si="13"/>
        <v>-7.9999999999955662</v>
      </c>
      <c r="S45" s="27">
        <f t="shared" si="28"/>
        <v>0</v>
      </c>
      <c r="T45" s="28">
        <f t="shared" si="28"/>
        <v>0</v>
      </c>
      <c r="U45" s="28">
        <f t="shared" si="28"/>
        <v>-0.99999999999944578</v>
      </c>
      <c r="V45" s="28">
        <f t="shared" si="28"/>
        <v>-1.9999999999988916</v>
      </c>
      <c r="W45" s="28">
        <f t="shared" si="28"/>
        <v>0</v>
      </c>
      <c r="X45" s="29">
        <f t="shared" si="28"/>
        <v>-3.0000000000001137</v>
      </c>
      <c r="Y45" s="24"/>
    </row>
    <row r="46" spans="2:25" ht="15" customHeight="1" x14ac:dyDescent="0.2">
      <c r="B46" s="31">
        <v>42529</v>
      </c>
      <c r="C46" s="25">
        <v>12.586</v>
      </c>
      <c r="D46" s="26">
        <v>7.5570000000000004</v>
      </c>
      <c r="E46" s="26">
        <v>7.7530000000000001</v>
      </c>
      <c r="F46" s="47">
        <v>13.022</v>
      </c>
      <c r="G46" s="47">
        <v>10.252000000000001</v>
      </c>
      <c r="H46" s="47">
        <v>10.260999999999999</v>
      </c>
      <c r="I46" s="57">
        <v>115.81</v>
      </c>
      <c r="J46" s="58">
        <v>2603</v>
      </c>
      <c r="K46" s="18">
        <f t="shared" si="40"/>
        <v>166</v>
      </c>
      <c r="L46" s="19">
        <f t="shared" si="39"/>
        <v>0</v>
      </c>
      <c r="M46" s="19">
        <f t="shared" si="34"/>
        <v>0</v>
      </c>
      <c r="N46" s="19">
        <f t="shared" si="9"/>
        <v>-3.0000000000001137</v>
      </c>
      <c r="O46" s="19">
        <f t="shared" si="35"/>
        <v>-1.9999999999988916</v>
      </c>
      <c r="P46" s="19">
        <f t="shared" si="36"/>
        <v>-0.99999999999944578</v>
      </c>
      <c r="Q46" s="19">
        <f t="shared" si="37"/>
        <v>0</v>
      </c>
      <c r="R46" s="19">
        <f t="shared" si="13"/>
        <v>-7.9999999999955662</v>
      </c>
      <c r="S46" s="27">
        <f t="shared" si="28"/>
        <v>-7.6923076923034295E-2</v>
      </c>
      <c r="T46" s="28">
        <f t="shared" si="28"/>
        <v>7.6923076923102615E-2</v>
      </c>
      <c r="U46" s="28">
        <f t="shared" si="28"/>
        <v>0</v>
      </c>
      <c r="V46" s="28">
        <f t="shared" si="28"/>
        <v>7.6923076923034295E-2</v>
      </c>
      <c r="W46" s="28">
        <f t="shared" si="28"/>
        <v>-7.6923076923034295E-2</v>
      </c>
      <c r="X46" s="29">
        <f t="shared" si="28"/>
        <v>0.15384615384606859</v>
      </c>
      <c r="Y46" s="24"/>
    </row>
    <row r="47" spans="2:25" ht="15" customHeight="1" x14ac:dyDescent="0.2">
      <c r="B47" s="31">
        <v>42558</v>
      </c>
      <c r="C47" s="25">
        <v>12.584</v>
      </c>
      <c r="D47" s="26">
        <v>7.556</v>
      </c>
      <c r="E47" s="26">
        <v>7.7519999999999998</v>
      </c>
      <c r="F47" s="47">
        <v>13.022</v>
      </c>
      <c r="G47" s="47">
        <v>10.252000000000001</v>
      </c>
      <c r="H47" s="47">
        <v>10.260999999999999</v>
      </c>
      <c r="I47" s="57">
        <v>115.81100000000001</v>
      </c>
      <c r="J47" s="58">
        <v>2689</v>
      </c>
      <c r="K47" s="18">
        <f t="shared" si="40"/>
        <v>252</v>
      </c>
      <c r="L47" s="19">
        <f t="shared" si="39"/>
        <v>-2.0000000000006679</v>
      </c>
      <c r="M47" s="19">
        <f t="shared" si="34"/>
        <v>-1.000000000000334</v>
      </c>
      <c r="N47" s="19">
        <f t="shared" si="9"/>
        <v>-4.0000000000004476</v>
      </c>
      <c r="O47" s="19">
        <f t="shared" si="35"/>
        <v>-1.9999999999988916</v>
      </c>
      <c r="P47" s="19">
        <f t="shared" si="36"/>
        <v>-0.99999999999944578</v>
      </c>
      <c r="Q47" s="19">
        <f t="shared" si="37"/>
        <v>0</v>
      </c>
      <c r="R47" s="19">
        <f t="shared" si="13"/>
        <v>-6.9999999999907914</v>
      </c>
      <c r="S47" s="27">
        <f t="shared" si="28"/>
        <v>-6.8965517241402347E-2</v>
      </c>
      <c r="T47" s="28">
        <f t="shared" si="28"/>
        <v>-3.4482758620701173E-2</v>
      </c>
      <c r="U47" s="28">
        <f t="shared" si="28"/>
        <v>-3.4482758620701173E-2</v>
      </c>
      <c r="V47" s="28">
        <f t="shared" si="28"/>
        <v>0</v>
      </c>
      <c r="W47" s="28">
        <f t="shared" si="28"/>
        <v>0</v>
      </c>
      <c r="X47" s="29">
        <f t="shared" si="28"/>
        <v>0</v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39"/>
        <v/>
      </c>
      <c r="M48" s="19" t="str">
        <f t="shared" si="34"/>
        <v/>
      </c>
      <c r="N48" s="19" t="str">
        <f t="shared" si="9"/>
        <v/>
      </c>
      <c r="O48" s="19" t="str">
        <f t="shared" si="35"/>
        <v/>
      </c>
      <c r="P48" s="19" t="str">
        <f t="shared" si="36"/>
        <v/>
      </c>
      <c r="Q48" s="19" t="str">
        <f t="shared" si="37"/>
        <v/>
      </c>
      <c r="R48" s="19" t="str">
        <f t="shared" si="13"/>
        <v/>
      </c>
      <c r="S48" s="27" t="str">
        <f t="shared" si="28"/>
        <v/>
      </c>
      <c r="T48" s="28" t="str">
        <f t="shared" si="28"/>
        <v/>
      </c>
      <c r="U48" s="28" t="str">
        <f t="shared" si="28"/>
        <v/>
      </c>
      <c r="V48" s="28" t="str">
        <f t="shared" si="28"/>
        <v/>
      </c>
      <c r="W48" s="28" t="str">
        <f t="shared" si="28"/>
        <v/>
      </c>
      <c r="X48" s="29" t="str">
        <f t="shared" si="28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39"/>
        <v/>
      </c>
      <c r="M49" s="19" t="str">
        <f t="shared" si="34"/>
        <v/>
      </c>
      <c r="N49" s="19" t="str">
        <f t="shared" si="9"/>
        <v/>
      </c>
      <c r="O49" s="19" t="str">
        <f t="shared" si="35"/>
        <v/>
      </c>
      <c r="P49" s="19" t="str">
        <f t="shared" si="36"/>
        <v/>
      </c>
      <c r="Q49" s="19" t="str">
        <f t="shared" si="37"/>
        <v/>
      </c>
      <c r="R49" s="19" t="str">
        <f t="shared" si="13"/>
        <v/>
      </c>
      <c r="S49" s="27" t="str">
        <f t="shared" ref="S49:X64" si="41">IF(C49="","",((C49-C48)*1000)/($B49-$B48))</f>
        <v/>
      </c>
      <c r="T49" s="28" t="str">
        <f t="shared" si="41"/>
        <v/>
      </c>
      <c r="U49" s="28" t="str">
        <f t="shared" si="41"/>
        <v/>
      </c>
      <c r="V49" s="28" t="str">
        <f t="shared" si="41"/>
        <v/>
      </c>
      <c r="W49" s="28" t="str">
        <f t="shared" si="41"/>
        <v/>
      </c>
      <c r="X49" s="29" t="str">
        <f t="shared" si="41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39"/>
        <v/>
      </c>
      <c r="M50" s="19" t="str">
        <f t="shared" si="34"/>
        <v/>
      </c>
      <c r="N50" s="19" t="str">
        <f t="shared" si="9"/>
        <v/>
      </c>
      <c r="O50" s="19" t="str">
        <f t="shared" si="35"/>
        <v/>
      </c>
      <c r="P50" s="19" t="str">
        <f t="shared" si="36"/>
        <v/>
      </c>
      <c r="Q50" s="19" t="str">
        <f t="shared" si="37"/>
        <v/>
      </c>
      <c r="R50" s="19" t="str">
        <f t="shared" si="13"/>
        <v/>
      </c>
      <c r="S50" s="27" t="str">
        <f t="shared" si="41"/>
        <v/>
      </c>
      <c r="T50" s="28" t="str">
        <f t="shared" si="41"/>
        <v/>
      </c>
      <c r="U50" s="28" t="str">
        <f t="shared" si="41"/>
        <v/>
      </c>
      <c r="V50" s="28" t="str">
        <f t="shared" si="41"/>
        <v/>
      </c>
      <c r="W50" s="28" t="str">
        <f t="shared" si="41"/>
        <v/>
      </c>
      <c r="X50" s="29" t="str">
        <f t="shared" si="41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39"/>
        <v/>
      </c>
      <c r="M51" s="19" t="str">
        <f t="shared" si="34"/>
        <v/>
      </c>
      <c r="N51" s="19" t="str">
        <f t="shared" si="9"/>
        <v/>
      </c>
      <c r="O51" s="19" t="str">
        <f t="shared" si="35"/>
        <v/>
      </c>
      <c r="P51" s="19" t="str">
        <f t="shared" si="36"/>
        <v/>
      </c>
      <c r="Q51" s="19" t="str">
        <f t="shared" si="37"/>
        <v/>
      </c>
      <c r="R51" s="19" t="str">
        <f t="shared" si="13"/>
        <v/>
      </c>
      <c r="S51" s="27" t="str">
        <f t="shared" si="41"/>
        <v/>
      </c>
      <c r="T51" s="28" t="str">
        <f t="shared" si="41"/>
        <v/>
      </c>
      <c r="U51" s="28" t="str">
        <f t="shared" si="41"/>
        <v/>
      </c>
      <c r="V51" s="28" t="str">
        <f t="shared" si="41"/>
        <v/>
      </c>
      <c r="W51" s="28" t="str">
        <f t="shared" si="41"/>
        <v/>
      </c>
      <c r="X51" s="29" t="str">
        <f t="shared" si="41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39"/>
        <v/>
      </c>
      <c r="M52" s="19" t="str">
        <f t="shared" si="34"/>
        <v/>
      </c>
      <c r="N52" s="19" t="str">
        <f t="shared" si="9"/>
        <v/>
      </c>
      <c r="O52" s="19" t="str">
        <f t="shared" si="35"/>
        <v/>
      </c>
      <c r="P52" s="19" t="str">
        <f t="shared" si="36"/>
        <v/>
      </c>
      <c r="Q52" s="19" t="str">
        <f t="shared" si="37"/>
        <v/>
      </c>
      <c r="R52" s="19" t="str">
        <f t="shared" si="13"/>
        <v/>
      </c>
      <c r="S52" s="27" t="str">
        <f t="shared" si="41"/>
        <v/>
      </c>
      <c r="T52" s="28" t="str">
        <f t="shared" si="41"/>
        <v/>
      </c>
      <c r="U52" s="28" t="str">
        <f t="shared" si="41"/>
        <v/>
      </c>
      <c r="V52" s="28" t="str">
        <f t="shared" si="41"/>
        <v/>
      </c>
      <c r="W52" s="28" t="str">
        <f t="shared" si="41"/>
        <v/>
      </c>
      <c r="X52" s="29" t="str">
        <f t="shared" si="41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39"/>
        <v/>
      </c>
      <c r="M53" s="19" t="str">
        <f t="shared" si="34"/>
        <v/>
      </c>
      <c r="N53" s="19" t="str">
        <f t="shared" si="9"/>
        <v/>
      </c>
      <c r="O53" s="19" t="str">
        <f t="shared" si="35"/>
        <v/>
      </c>
      <c r="P53" s="19" t="str">
        <f t="shared" si="36"/>
        <v/>
      </c>
      <c r="Q53" s="19" t="str">
        <f t="shared" si="37"/>
        <v/>
      </c>
      <c r="R53" s="19" t="str">
        <f t="shared" si="13"/>
        <v/>
      </c>
      <c r="S53" s="27" t="str">
        <f t="shared" si="41"/>
        <v/>
      </c>
      <c r="T53" s="28" t="str">
        <f t="shared" si="41"/>
        <v/>
      </c>
      <c r="U53" s="28" t="str">
        <f t="shared" si="41"/>
        <v/>
      </c>
      <c r="V53" s="28" t="str">
        <f t="shared" si="41"/>
        <v/>
      </c>
      <c r="W53" s="28" t="str">
        <f t="shared" si="41"/>
        <v/>
      </c>
      <c r="X53" s="29" t="str">
        <f t="shared" si="41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39"/>
        <v/>
      </c>
      <c r="M54" s="19" t="str">
        <f t="shared" si="34"/>
        <v/>
      </c>
      <c r="N54" s="19" t="str">
        <f t="shared" si="9"/>
        <v/>
      </c>
      <c r="O54" s="19" t="str">
        <f t="shared" si="35"/>
        <v/>
      </c>
      <c r="P54" s="19" t="str">
        <f t="shared" si="36"/>
        <v/>
      </c>
      <c r="Q54" s="19" t="str">
        <f t="shared" si="37"/>
        <v/>
      </c>
      <c r="R54" s="19" t="str">
        <f t="shared" si="13"/>
        <v/>
      </c>
      <c r="S54" s="27" t="str">
        <f t="shared" si="41"/>
        <v/>
      </c>
      <c r="T54" s="28" t="str">
        <f t="shared" si="41"/>
        <v/>
      </c>
      <c r="U54" s="28" t="str">
        <f t="shared" si="41"/>
        <v/>
      </c>
      <c r="V54" s="28" t="str">
        <f t="shared" si="41"/>
        <v/>
      </c>
      <c r="W54" s="28" t="str">
        <f t="shared" si="41"/>
        <v/>
      </c>
      <c r="X54" s="29" t="str">
        <f t="shared" si="41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39"/>
        <v/>
      </c>
      <c r="M55" s="19" t="str">
        <f t="shared" si="34"/>
        <v/>
      </c>
      <c r="N55" s="19" t="str">
        <f t="shared" si="9"/>
        <v/>
      </c>
      <c r="O55" s="19" t="str">
        <f t="shared" si="35"/>
        <v/>
      </c>
      <c r="P55" s="19" t="str">
        <f t="shared" si="36"/>
        <v/>
      </c>
      <c r="Q55" s="19" t="str">
        <f t="shared" si="37"/>
        <v/>
      </c>
      <c r="R55" s="19" t="str">
        <f t="shared" si="13"/>
        <v/>
      </c>
      <c r="S55" s="27" t="str">
        <f t="shared" si="41"/>
        <v/>
      </c>
      <c r="T55" s="28" t="str">
        <f t="shared" si="41"/>
        <v/>
      </c>
      <c r="U55" s="28" t="str">
        <f t="shared" si="41"/>
        <v/>
      </c>
      <c r="V55" s="28" t="str">
        <f t="shared" si="41"/>
        <v/>
      </c>
      <c r="W55" s="28" t="str">
        <f t="shared" si="41"/>
        <v/>
      </c>
      <c r="X55" s="29" t="str">
        <f t="shared" si="41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39"/>
        <v/>
      </c>
      <c r="M56" s="19" t="str">
        <f t="shared" si="34"/>
        <v/>
      </c>
      <c r="N56" s="19" t="str">
        <f t="shared" si="9"/>
        <v/>
      </c>
      <c r="O56" s="19" t="str">
        <f t="shared" si="35"/>
        <v/>
      </c>
      <c r="P56" s="19" t="str">
        <f t="shared" si="36"/>
        <v/>
      </c>
      <c r="Q56" s="19" t="str">
        <f t="shared" si="37"/>
        <v/>
      </c>
      <c r="R56" s="19" t="str">
        <f t="shared" si="13"/>
        <v/>
      </c>
      <c r="S56" s="27" t="str">
        <f t="shared" si="41"/>
        <v/>
      </c>
      <c r="T56" s="28" t="str">
        <f t="shared" si="41"/>
        <v/>
      </c>
      <c r="U56" s="28" t="str">
        <f t="shared" si="41"/>
        <v/>
      </c>
      <c r="V56" s="28" t="str">
        <f t="shared" si="41"/>
        <v/>
      </c>
      <c r="W56" s="28" t="str">
        <f t="shared" si="41"/>
        <v/>
      </c>
      <c r="X56" s="29" t="str">
        <f t="shared" si="41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39"/>
        <v/>
      </c>
      <c r="M57" s="19" t="str">
        <f t="shared" si="34"/>
        <v/>
      </c>
      <c r="N57" s="19" t="str">
        <f t="shared" si="9"/>
        <v/>
      </c>
      <c r="O57" s="19" t="str">
        <f t="shared" si="35"/>
        <v/>
      </c>
      <c r="P57" s="19" t="str">
        <f t="shared" si="36"/>
        <v/>
      </c>
      <c r="Q57" s="19" t="str">
        <f t="shared" si="37"/>
        <v/>
      </c>
      <c r="R57" s="19" t="str">
        <f t="shared" si="13"/>
        <v/>
      </c>
      <c r="S57" s="27" t="str">
        <f t="shared" si="41"/>
        <v/>
      </c>
      <c r="T57" s="28" t="str">
        <f t="shared" si="41"/>
        <v/>
      </c>
      <c r="U57" s="28" t="str">
        <f t="shared" si="41"/>
        <v/>
      </c>
      <c r="V57" s="28" t="str">
        <f t="shared" si="41"/>
        <v/>
      </c>
      <c r="W57" s="28" t="str">
        <f t="shared" si="41"/>
        <v/>
      </c>
      <c r="X57" s="29" t="str">
        <f t="shared" si="41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39"/>
        <v/>
      </c>
      <c r="M58" s="19" t="str">
        <f t="shared" si="34"/>
        <v/>
      </c>
      <c r="N58" s="19" t="str">
        <f t="shared" si="9"/>
        <v/>
      </c>
      <c r="O58" s="19" t="str">
        <f t="shared" si="35"/>
        <v/>
      </c>
      <c r="P58" s="19" t="str">
        <f t="shared" si="36"/>
        <v/>
      </c>
      <c r="Q58" s="19" t="str">
        <f t="shared" si="37"/>
        <v/>
      </c>
      <c r="R58" s="19" t="str">
        <f t="shared" si="13"/>
        <v/>
      </c>
      <c r="S58" s="27" t="str">
        <f t="shared" si="41"/>
        <v/>
      </c>
      <c r="T58" s="28" t="str">
        <f t="shared" si="41"/>
        <v/>
      </c>
      <c r="U58" s="28" t="str">
        <f t="shared" si="41"/>
        <v/>
      </c>
      <c r="V58" s="28" t="str">
        <f t="shared" si="41"/>
        <v/>
      </c>
      <c r="W58" s="28" t="str">
        <f t="shared" si="41"/>
        <v/>
      </c>
      <c r="X58" s="29" t="str">
        <f t="shared" si="41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39"/>
        <v/>
      </c>
      <c r="M59" s="19" t="str">
        <f t="shared" si="34"/>
        <v/>
      </c>
      <c r="N59" s="19" t="str">
        <f t="shared" si="9"/>
        <v/>
      </c>
      <c r="O59" s="19" t="str">
        <f t="shared" si="35"/>
        <v/>
      </c>
      <c r="P59" s="19" t="str">
        <f t="shared" si="36"/>
        <v/>
      </c>
      <c r="Q59" s="19" t="str">
        <f t="shared" si="37"/>
        <v/>
      </c>
      <c r="R59" s="19" t="str">
        <f t="shared" si="13"/>
        <v/>
      </c>
      <c r="S59" s="27" t="str">
        <f t="shared" si="41"/>
        <v/>
      </c>
      <c r="T59" s="28" t="str">
        <f t="shared" si="41"/>
        <v/>
      </c>
      <c r="U59" s="28" t="str">
        <f t="shared" si="41"/>
        <v/>
      </c>
      <c r="V59" s="28" t="str">
        <f t="shared" si="41"/>
        <v/>
      </c>
      <c r="W59" s="28" t="str">
        <f t="shared" si="41"/>
        <v/>
      </c>
      <c r="X59" s="29" t="str">
        <f t="shared" si="41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39"/>
        <v/>
      </c>
      <c r="M60" s="19" t="str">
        <f t="shared" si="34"/>
        <v/>
      </c>
      <c r="N60" s="19" t="str">
        <f t="shared" si="9"/>
        <v/>
      </c>
      <c r="O60" s="19" t="str">
        <f t="shared" si="35"/>
        <v/>
      </c>
      <c r="P60" s="19" t="str">
        <f t="shared" si="36"/>
        <v/>
      </c>
      <c r="Q60" s="19" t="str">
        <f t="shared" si="37"/>
        <v/>
      </c>
      <c r="R60" s="19" t="str">
        <f t="shared" si="13"/>
        <v/>
      </c>
      <c r="S60" s="27" t="str">
        <f t="shared" si="41"/>
        <v/>
      </c>
      <c r="T60" s="28" t="str">
        <f t="shared" si="41"/>
        <v/>
      </c>
      <c r="U60" s="28" t="str">
        <f t="shared" si="41"/>
        <v/>
      </c>
      <c r="V60" s="28" t="str">
        <f t="shared" si="41"/>
        <v/>
      </c>
      <c r="W60" s="28" t="str">
        <f t="shared" si="41"/>
        <v/>
      </c>
      <c r="X60" s="29" t="str">
        <f t="shared" si="41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39"/>
        <v/>
      </c>
      <c r="M61" s="19" t="str">
        <f t="shared" si="34"/>
        <v/>
      </c>
      <c r="N61" s="19" t="str">
        <f t="shared" si="9"/>
        <v/>
      </c>
      <c r="O61" s="19" t="str">
        <f t="shared" si="35"/>
        <v/>
      </c>
      <c r="P61" s="19" t="str">
        <f t="shared" si="36"/>
        <v/>
      </c>
      <c r="Q61" s="19" t="str">
        <f t="shared" si="37"/>
        <v/>
      </c>
      <c r="R61" s="19" t="str">
        <f t="shared" si="13"/>
        <v/>
      </c>
      <c r="S61" s="27" t="str">
        <f t="shared" si="41"/>
        <v/>
      </c>
      <c r="T61" s="28" t="str">
        <f t="shared" si="41"/>
        <v/>
      </c>
      <c r="U61" s="28" t="str">
        <f t="shared" si="41"/>
        <v/>
      </c>
      <c r="V61" s="28" t="str">
        <f t="shared" si="41"/>
        <v/>
      </c>
      <c r="W61" s="28" t="str">
        <f t="shared" si="41"/>
        <v/>
      </c>
      <c r="X61" s="29" t="str">
        <f t="shared" si="41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39"/>
        <v/>
      </c>
      <c r="M62" s="19" t="str">
        <f t="shared" si="34"/>
        <v/>
      </c>
      <c r="N62" s="19" t="str">
        <f t="shared" si="9"/>
        <v/>
      </c>
      <c r="O62" s="19" t="str">
        <f t="shared" si="35"/>
        <v/>
      </c>
      <c r="P62" s="19" t="str">
        <f t="shared" si="36"/>
        <v/>
      </c>
      <c r="Q62" s="19" t="str">
        <f t="shared" si="37"/>
        <v/>
      </c>
      <c r="R62" s="19" t="str">
        <f t="shared" si="13"/>
        <v/>
      </c>
      <c r="S62" s="27" t="str">
        <f t="shared" si="41"/>
        <v/>
      </c>
      <c r="T62" s="28" t="str">
        <f t="shared" si="41"/>
        <v/>
      </c>
      <c r="U62" s="28" t="str">
        <f t="shared" si="41"/>
        <v/>
      </c>
      <c r="V62" s="28" t="str">
        <f t="shared" si="41"/>
        <v/>
      </c>
      <c r="W62" s="28" t="str">
        <f t="shared" si="41"/>
        <v/>
      </c>
      <c r="X62" s="29" t="str">
        <f t="shared" si="41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39"/>
        <v/>
      </c>
      <c r="M63" s="19" t="str">
        <f t="shared" si="34"/>
        <v/>
      </c>
      <c r="N63" s="19" t="str">
        <f t="shared" si="9"/>
        <v/>
      </c>
      <c r="O63" s="19" t="str">
        <f t="shared" si="35"/>
        <v/>
      </c>
      <c r="P63" s="19" t="str">
        <f t="shared" si="36"/>
        <v/>
      </c>
      <c r="Q63" s="19" t="str">
        <f t="shared" si="37"/>
        <v/>
      </c>
      <c r="R63" s="19" t="str">
        <f t="shared" si="13"/>
        <v/>
      </c>
      <c r="S63" s="27" t="str">
        <f t="shared" si="41"/>
        <v/>
      </c>
      <c r="T63" s="28" t="str">
        <f t="shared" si="41"/>
        <v/>
      </c>
      <c r="U63" s="28" t="str">
        <f t="shared" si="41"/>
        <v/>
      </c>
      <c r="V63" s="28" t="str">
        <f t="shared" si="41"/>
        <v/>
      </c>
      <c r="W63" s="28" t="str">
        <f t="shared" si="41"/>
        <v/>
      </c>
      <c r="X63" s="29" t="str">
        <f t="shared" si="41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39"/>
        <v/>
      </c>
      <c r="M64" s="19" t="str">
        <f t="shared" si="34"/>
        <v/>
      </c>
      <c r="N64" s="19" t="str">
        <f t="shared" si="9"/>
        <v/>
      </c>
      <c r="O64" s="19" t="str">
        <f t="shared" si="35"/>
        <v/>
      </c>
      <c r="P64" s="19" t="str">
        <f t="shared" si="36"/>
        <v/>
      </c>
      <c r="Q64" s="19" t="str">
        <f t="shared" si="37"/>
        <v/>
      </c>
      <c r="R64" s="19" t="str">
        <f t="shared" si="13"/>
        <v/>
      </c>
      <c r="S64" s="27" t="str">
        <f t="shared" si="41"/>
        <v/>
      </c>
      <c r="T64" s="28" t="str">
        <f t="shared" si="41"/>
        <v/>
      </c>
      <c r="U64" s="28" t="str">
        <f t="shared" si="41"/>
        <v/>
      </c>
      <c r="V64" s="28" t="str">
        <f t="shared" si="41"/>
        <v/>
      </c>
      <c r="W64" s="28" t="str">
        <f t="shared" si="41"/>
        <v/>
      </c>
      <c r="X64" s="29" t="str">
        <f t="shared" si="41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39"/>
        <v/>
      </c>
      <c r="M65" s="19" t="str">
        <f t="shared" si="34"/>
        <v/>
      </c>
      <c r="N65" s="19" t="str">
        <f t="shared" si="9"/>
        <v/>
      </c>
      <c r="O65" s="19" t="str">
        <f t="shared" si="35"/>
        <v/>
      </c>
      <c r="P65" s="19" t="str">
        <f t="shared" si="36"/>
        <v/>
      </c>
      <c r="Q65" s="19" t="str">
        <f t="shared" si="37"/>
        <v/>
      </c>
      <c r="R65" s="19" t="str">
        <f t="shared" si="13"/>
        <v/>
      </c>
      <c r="S65" s="27" t="str">
        <f t="shared" ref="S65:X80" si="42">IF(C65="","",((C65-C64)*1000)/($B65-$B64))</f>
        <v/>
      </c>
      <c r="T65" s="28" t="str">
        <f t="shared" si="42"/>
        <v/>
      </c>
      <c r="U65" s="28" t="str">
        <f t="shared" si="42"/>
        <v/>
      </c>
      <c r="V65" s="28" t="str">
        <f t="shared" si="42"/>
        <v/>
      </c>
      <c r="W65" s="28" t="str">
        <f t="shared" si="42"/>
        <v/>
      </c>
      <c r="X65" s="29" t="str">
        <f t="shared" si="42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39"/>
        <v/>
      </c>
      <c r="M66" s="19" t="str">
        <f t="shared" si="34"/>
        <v/>
      </c>
      <c r="N66" s="19" t="str">
        <f t="shared" si="9"/>
        <v/>
      </c>
      <c r="O66" s="19" t="str">
        <f t="shared" si="35"/>
        <v/>
      </c>
      <c r="P66" s="19" t="str">
        <f t="shared" si="36"/>
        <v/>
      </c>
      <c r="Q66" s="19" t="str">
        <f t="shared" si="37"/>
        <v/>
      </c>
      <c r="R66" s="19" t="str">
        <f t="shared" si="13"/>
        <v/>
      </c>
      <c r="S66" s="27" t="str">
        <f t="shared" si="42"/>
        <v/>
      </c>
      <c r="T66" s="28" t="str">
        <f t="shared" si="42"/>
        <v/>
      </c>
      <c r="U66" s="28" t="str">
        <f t="shared" si="42"/>
        <v/>
      </c>
      <c r="V66" s="28" t="str">
        <f t="shared" si="42"/>
        <v/>
      </c>
      <c r="W66" s="28" t="str">
        <f t="shared" si="42"/>
        <v/>
      </c>
      <c r="X66" s="29" t="str">
        <f t="shared" si="42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39"/>
        <v/>
      </c>
      <c r="M67" s="19" t="str">
        <f t="shared" si="34"/>
        <v/>
      </c>
      <c r="N67" s="19" t="str">
        <f t="shared" si="9"/>
        <v/>
      </c>
      <c r="O67" s="19" t="str">
        <f t="shared" si="35"/>
        <v/>
      </c>
      <c r="P67" s="19" t="str">
        <f t="shared" si="36"/>
        <v/>
      </c>
      <c r="Q67" s="19" t="str">
        <f t="shared" si="37"/>
        <v/>
      </c>
      <c r="R67" s="19" t="str">
        <f t="shared" si="13"/>
        <v/>
      </c>
      <c r="S67" s="27" t="str">
        <f t="shared" si="42"/>
        <v/>
      </c>
      <c r="T67" s="28" t="str">
        <f t="shared" si="42"/>
        <v/>
      </c>
      <c r="U67" s="28" t="str">
        <f t="shared" si="42"/>
        <v/>
      </c>
      <c r="V67" s="28" t="str">
        <f t="shared" si="42"/>
        <v/>
      </c>
      <c r="W67" s="28" t="str">
        <f t="shared" si="42"/>
        <v/>
      </c>
      <c r="X67" s="29" t="str">
        <f t="shared" si="42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39"/>
        <v/>
      </c>
      <c r="M68" s="19" t="str">
        <f t="shared" si="34"/>
        <v/>
      </c>
      <c r="N68" s="19" t="str">
        <f t="shared" si="9"/>
        <v/>
      </c>
      <c r="O68" s="19" t="str">
        <f t="shared" si="35"/>
        <v/>
      </c>
      <c r="P68" s="19" t="str">
        <f t="shared" si="36"/>
        <v/>
      </c>
      <c r="Q68" s="19" t="str">
        <f t="shared" si="37"/>
        <v/>
      </c>
      <c r="R68" s="19" t="str">
        <f t="shared" si="13"/>
        <v/>
      </c>
      <c r="S68" s="27" t="str">
        <f t="shared" si="42"/>
        <v/>
      </c>
      <c r="T68" s="28" t="str">
        <f t="shared" si="42"/>
        <v/>
      </c>
      <c r="U68" s="28" t="str">
        <f t="shared" si="42"/>
        <v/>
      </c>
      <c r="V68" s="28" t="str">
        <f t="shared" si="42"/>
        <v/>
      </c>
      <c r="W68" s="28" t="str">
        <f t="shared" si="42"/>
        <v/>
      </c>
      <c r="X68" s="29" t="str">
        <f t="shared" si="42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39"/>
        <v/>
      </c>
      <c r="M69" s="19" t="str">
        <f t="shared" si="34"/>
        <v/>
      </c>
      <c r="N69" s="19" t="str">
        <f t="shared" si="9"/>
        <v/>
      </c>
      <c r="O69" s="19" t="str">
        <f t="shared" si="35"/>
        <v/>
      </c>
      <c r="P69" s="19" t="str">
        <f t="shared" si="36"/>
        <v/>
      </c>
      <c r="Q69" s="19" t="str">
        <f t="shared" si="37"/>
        <v/>
      </c>
      <c r="R69" s="19" t="str">
        <f t="shared" si="13"/>
        <v/>
      </c>
      <c r="S69" s="27" t="str">
        <f t="shared" si="42"/>
        <v/>
      </c>
      <c r="T69" s="28" t="str">
        <f t="shared" si="42"/>
        <v/>
      </c>
      <c r="U69" s="28" t="str">
        <f t="shared" si="42"/>
        <v/>
      </c>
      <c r="V69" s="28" t="str">
        <f t="shared" si="42"/>
        <v/>
      </c>
      <c r="W69" s="28" t="str">
        <f t="shared" si="42"/>
        <v/>
      </c>
      <c r="X69" s="29" t="str">
        <f t="shared" si="42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39"/>
        <v/>
      </c>
      <c r="M70" s="19" t="str">
        <f t="shared" si="34"/>
        <v/>
      </c>
      <c r="N70" s="19" t="str">
        <f t="shared" si="9"/>
        <v/>
      </c>
      <c r="O70" s="19" t="str">
        <f t="shared" si="35"/>
        <v/>
      </c>
      <c r="P70" s="19" t="str">
        <f t="shared" si="36"/>
        <v/>
      </c>
      <c r="Q70" s="19" t="str">
        <f t="shared" si="37"/>
        <v/>
      </c>
      <c r="R70" s="19" t="str">
        <f t="shared" si="13"/>
        <v/>
      </c>
      <c r="S70" s="27" t="str">
        <f t="shared" si="42"/>
        <v/>
      </c>
      <c r="T70" s="28" t="str">
        <f t="shared" si="42"/>
        <v/>
      </c>
      <c r="U70" s="28" t="str">
        <f t="shared" si="42"/>
        <v/>
      </c>
      <c r="V70" s="28" t="str">
        <f t="shared" si="42"/>
        <v/>
      </c>
      <c r="W70" s="28" t="str">
        <f t="shared" si="42"/>
        <v/>
      </c>
      <c r="X70" s="29" t="str">
        <f t="shared" si="42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39"/>
        <v/>
      </c>
      <c r="M71" s="19" t="str">
        <f t="shared" si="34"/>
        <v/>
      </c>
      <c r="N71" s="19" t="str">
        <f t="shared" si="9"/>
        <v/>
      </c>
      <c r="O71" s="19" t="str">
        <f t="shared" si="35"/>
        <v/>
      </c>
      <c r="P71" s="19" t="str">
        <f t="shared" si="36"/>
        <v/>
      </c>
      <c r="Q71" s="19" t="str">
        <f t="shared" si="37"/>
        <v/>
      </c>
      <c r="R71" s="19" t="str">
        <f t="shared" si="13"/>
        <v/>
      </c>
      <c r="S71" s="27" t="str">
        <f t="shared" si="42"/>
        <v/>
      </c>
      <c r="T71" s="28" t="str">
        <f t="shared" si="42"/>
        <v/>
      </c>
      <c r="U71" s="28" t="str">
        <f t="shared" si="42"/>
        <v/>
      </c>
      <c r="V71" s="28" t="str">
        <f t="shared" si="42"/>
        <v/>
      </c>
      <c r="W71" s="28" t="str">
        <f t="shared" si="42"/>
        <v/>
      </c>
      <c r="X71" s="29" t="str">
        <f t="shared" si="42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39"/>
        <v/>
      </c>
      <c r="M72" s="19" t="str">
        <f t="shared" si="34"/>
        <v/>
      </c>
      <c r="N72" s="19" t="str">
        <f t="shared" si="9"/>
        <v/>
      </c>
      <c r="O72" s="19" t="str">
        <f t="shared" si="35"/>
        <v/>
      </c>
      <c r="P72" s="19" t="str">
        <f t="shared" si="36"/>
        <v/>
      </c>
      <c r="Q72" s="19" t="str">
        <f t="shared" si="37"/>
        <v/>
      </c>
      <c r="R72" s="19" t="str">
        <f t="shared" si="13"/>
        <v/>
      </c>
      <c r="S72" s="27" t="str">
        <f t="shared" si="42"/>
        <v/>
      </c>
      <c r="T72" s="28" t="str">
        <f t="shared" si="42"/>
        <v/>
      </c>
      <c r="U72" s="28" t="str">
        <f t="shared" si="42"/>
        <v/>
      </c>
      <c r="V72" s="28" t="str">
        <f t="shared" si="42"/>
        <v/>
      </c>
      <c r="W72" s="28" t="str">
        <f t="shared" si="42"/>
        <v/>
      </c>
      <c r="X72" s="29" t="str">
        <f t="shared" si="42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39"/>
        <v/>
      </c>
      <c r="M73" s="19" t="str">
        <f t="shared" si="34"/>
        <v/>
      </c>
      <c r="N73" s="19" t="str">
        <f t="shared" si="9"/>
        <v/>
      </c>
      <c r="O73" s="19" t="str">
        <f t="shared" si="35"/>
        <v/>
      </c>
      <c r="P73" s="19" t="str">
        <f t="shared" si="36"/>
        <v/>
      </c>
      <c r="Q73" s="19" t="str">
        <f t="shared" si="37"/>
        <v/>
      </c>
      <c r="R73" s="19" t="str">
        <f t="shared" si="13"/>
        <v/>
      </c>
      <c r="S73" s="27" t="str">
        <f t="shared" si="42"/>
        <v/>
      </c>
      <c r="T73" s="28" t="str">
        <f t="shared" si="42"/>
        <v/>
      </c>
      <c r="U73" s="28" t="str">
        <f t="shared" si="42"/>
        <v/>
      </c>
      <c r="V73" s="28" t="str">
        <f t="shared" si="42"/>
        <v/>
      </c>
      <c r="W73" s="28" t="str">
        <f t="shared" si="42"/>
        <v/>
      </c>
      <c r="X73" s="29" t="str">
        <f t="shared" si="42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39"/>
        <v/>
      </c>
      <c r="M74" s="19" t="str">
        <f t="shared" si="34"/>
        <v/>
      </c>
      <c r="N74" s="19" t="str">
        <f t="shared" si="9"/>
        <v/>
      </c>
      <c r="O74" s="19" t="str">
        <f t="shared" si="35"/>
        <v/>
      </c>
      <c r="P74" s="19" t="str">
        <f t="shared" si="36"/>
        <v/>
      </c>
      <c r="Q74" s="19" t="str">
        <f t="shared" si="37"/>
        <v/>
      </c>
      <c r="R74" s="19" t="str">
        <f t="shared" si="13"/>
        <v/>
      </c>
      <c r="S74" s="27" t="str">
        <f t="shared" si="42"/>
        <v/>
      </c>
      <c r="T74" s="28" t="str">
        <f t="shared" si="42"/>
        <v/>
      </c>
      <c r="U74" s="28" t="str">
        <f t="shared" si="42"/>
        <v/>
      </c>
      <c r="V74" s="28" t="str">
        <f t="shared" si="42"/>
        <v/>
      </c>
      <c r="W74" s="28" t="str">
        <f t="shared" si="42"/>
        <v/>
      </c>
      <c r="X74" s="29" t="str">
        <f t="shared" si="42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39"/>
        <v/>
      </c>
      <c r="M75" s="19" t="str">
        <f t="shared" si="34"/>
        <v/>
      </c>
      <c r="N75" s="19" t="str">
        <f t="shared" si="9"/>
        <v/>
      </c>
      <c r="O75" s="19" t="str">
        <f t="shared" si="35"/>
        <v/>
      </c>
      <c r="P75" s="19" t="str">
        <f t="shared" si="36"/>
        <v/>
      </c>
      <c r="Q75" s="19" t="str">
        <f t="shared" si="37"/>
        <v/>
      </c>
      <c r="R75" s="19" t="str">
        <f t="shared" si="13"/>
        <v/>
      </c>
      <c r="S75" s="27" t="str">
        <f t="shared" si="42"/>
        <v/>
      </c>
      <c r="T75" s="28" t="str">
        <f t="shared" si="42"/>
        <v/>
      </c>
      <c r="U75" s="28" t="str">
        <f t="shared" si="42"/>
        <v/>
      </c>
      <c r="V75" s="28" t="str">
        <f t="shared" si="42"/>
        <v/>
      </c>
      <c r="W75" s="28" t="str">
        <f t="shared" si="42"/>
        <v/>
      </c>
      <c r="X75" s="29" t="str">
        <f t="shared" si="42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39"/>
        <v/>
      </c>
      <c r="M76" s="19" t="str">
        <f t="shared" si="34"/>
        <v/>
      </c>
      <c r="N76" s="19" t="str">
        <f t="shared" si="9"/>
        <v/>
      </c>
      <c r="O76" s="19" t="str">
        <f t="shared" si="35"/>
        <v/>
      </c>
      <c r="P76" s="19" t="str">
        <f t="shared" si="36"/>
        <v/>
      </c>
      <c r="Q76" s="19" t="str">
        <f t="shared" si="37"/>
        <v/>
      </c>
      <c r="R76" s="19" t="str">
        <f t="shared" si="13"/>
        <v/>
      </c>
      <c r="S76" s="27" t="str">
        <f t="shared" si="42"/>
        <v/>
      </c>
      <c r="T76" s="28" t="str">
        <f t="shared" si="42"/>
        <v/>
      </c>
      <c r="U76" s="28" t="str">
        <f t="shared" si="42"/>
        <v/>
      </c>
      <c r="V76" s="28" t="str">
        <f t="shared" si="42"/>
        <v/>
      </c>
      <c r="W76" s="28" t="str">
        <f t="shared" si="42"/>
        <v/>
      </c>
      <c r="X76" s="29" t="str">
        <f t="shared" si="42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39"/>
        <v/>
      </c>
      <c r="M77" s="19" t="str">
        <f t="shared" si="34"/>
        <v/>
      </c>
      <c r="N77" s="19" t="str">
        <f t="shared" si="9"/>
        <v/>
      </c>
      <c r="O77" s="19" t="str">
        <f t="shared" si="35"/>
        <v/>
      </c>
      <c r="P77" s="19" t="str">
        <f t="shared" si="36"/>
        <v/>
      </c>
      <c r="Q77" s="19" t="str">
        <f t="shared" si="37"/>
        <v/>
      </c>
      <c r="R77" s="19" t="str">
        <f t="shared" si="13"/>
        <v/>
      </c>
      <c r="S77" s="27" t="str">
        <f t="shared" si="42"/>
        <v/>
      </c>
      <c r="T77" s="28" t="str">
        <f t="shared" si="42"/>
        <v/>
      </c>
      <c r="U77" s="28" t="str">
        <f t="shared" si="42"/>
        <v/>
      </c>
      <c r="V77" s="28" t="str">
        <f t="shared" si="42"/>
        <v/>
      </c>
      <c r="W77" s="28" t="str">
        <f t="shared" si="42"/>
        <v/>
      </c>
      <c r="X77" s="29" t="str">
        <f t="shared" si="42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39"/>
        <v/>
      </c>
      <c r="M78" s="19" t="str">
        <f t="shared" si="34"/>
        <v/>
      </c>
      <c r="N78" s="19" t="str">
        <f t="shared" si="9"/>
        <v/>
      </c>
      <c r="O78" s="19" t="str">
        <f t="shared" si="35"/>
        <v/>
      </c>
      <c r="P78" s="19" t="str">
        <f t="shared" si="36"/>
        <v/>
      </c>
      <c r="Q78" s="19" t="str">
        <f t="shared" si="37"/>
        <v/>
      </c>
      <c r="R78" s="19" t="str">
        <f t="shared" si="13"/>
        <v/>
      </c>
      <c r="S78" s="27" t="str">
        <f t="shared" si="42"/>
        <v/>
      </c>
      <c r="T78" s="28" t="str">
        <f t="shared" si="42"/>
        <v/>
      </c>
      <c r="U78" s="28" t="str">
        <f t="shared" si="42"/>
        <v/>
      </c>
      <c r="V78" s="28" t="str">
        <f t="shared" si="42"/>
        <v/>
      </c>
      <c r="W78" s="28" t="str">
        <f t="shared" si="42"/>
        <v/>
      </c>
      <c r="X78" s="29" t="str">
        <f t="shared" si="42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39"/>
        <v/>
      </c>
      <c r="M79" s="19" t="str">
        <f t="shared" si="34"/>
        <v/>
      </c>
      <c r="N79" s="19" t="str">
        <f t="shared" si="9"/>
        <v/>
      </c>
      <c r="O79" s="19" t="str">
        <f t="shared" si="35"/>
        <v/>
      </c>
      <c r="P79" s="19" t="str">
        <f t="shared" si="36"/>
        <v/>
      </c>
      <c r="Q79" s="19" t="str">
        <f t="shared" si="37"/>
        <v/>
      </c>
      <c r="R79" s="19" t="str">
        <f t="shared" si="13"/>
        <v/>
      </c>
      <c r="S79" s="27" t="str">
        <f t="shared" si="42"/>
        <v/>
      </c>
      <c r="T79" s="28" t="str">
        <f t="shared" si="42"/>
        <v/>
      </c>
      <c r="U79" s="28" t="str">
        <f t="shared" si="42"/>
        <v/>
      </c>
      <c r="V79" s="28" t="str">
        <f t="shared" si="42"/>
        <v/>
      </c>
      <c r="W79" s="28" t="str">
        <f t="shared" si="42"/>
        <v/>
      </c>
      <c r="X79" s="29" t="str">
        <f t="shared" si="42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39"/>
        <v/>
      </c>
      <c r="M80" s="19" t="str">
        <f t="shared" si="34"/>
        <v/>
      </c>
      <c r="N80" s="19" t="str">
        <f t="shared" si="9"/>
        <v/>
      </c>
      <c r="O80" s="19" t="str">
        <f t="shared" si="35"/>
        <v/>
      </c>
      <c r="P80" s="19" t="str">
        <f t="shared" si="36"/>
        <v/>
      </c>
      <c r="Q80" s="19" t="str">
        <f t="shared" si="37"/>
        <v/>
      </c>
      <c r="R80" s="19" t="str">
        <f t="shared" si="13"/>
        <v/>
      </c>
      <c r="S80" s="27" t="str">
        <f t="shared" si="42"/>
        <v/>
      </c>
      <c r="T80" s="28" t="str">
        <f t="shared" si="42"/>
        <v/>
      </c>
      <c r="U80" s="28" t="str">
        <f t="shared" si="42"/>
        <v/>
      </c>
      <c r="V80" s="28" t="str">
        <f t="shared" si="42"/>
        <v/>
      </c>
      <c r="W80" s="28" t="str">
        <f t="shared" si="42"/>
        <v/>
      </c>
      <c r="X80" s="29" t="str">
        <f t="shared" si="42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39"/>
        <v/>
      </c>
      <c r="M81" s="19" t="str">
        <f t="shared" si="34"/>
        <v/>
      </c>
      <c r="N81" s="19" t="str">
        <f t="shared" si="9"/>
        <v/>
      </c>
      <c r="O81" s="19" t="str">
        <f t="shared" si="35"/>
        <v/>
      </c>
      <c r="P81" s="19" t="str">
        <f t="shared" si="36"/>
        <v/>
      </c>
      <c r="Q81" s="19" t="str">
        <f t="shared" si="37"/>
        <v/>
      </c>
      <c r="R81" s="19" t="str">
        <f t="shared" si="13"/>
        <v/>
      </c>
      <c r="S81" s="27" t="str">
        <f t="shared" ref="S81:X96" si="43">IF(C81="","",((C81-C80)*1000)/($B81-$B80))</f>
        <v/>
      </c>
      <c r="T81" s="28" t="str">
        <f t="shared" si="43"/>
        <v/>
      </c>
      <c r="U81" s="28" t="str">
        <f t="shared" si="43"/>
        <v/>
      </c>
      <c r="V81" s="28" t="str">
        <f t="shared" si="43"/>
        <v/>
      </c>
      <c r="W81" s="28" t="str">
        <f t="shared" si="43"/>
        <v/>
      </c>
      <c r="X81" s="29" t="str">
        <f t="shared" si="43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39"/>
        <v/>
      </c>
      <c r="M82" s="19" t="str">
        <f t="shared" si="34"/>
        <v/>
      </c>
      <c r="N82" s="19" t="str">
        <f t="shared" ref="N82:N145" si="44">IF(ISBLANK(E82),"",(E82-E$17)*1000)</f>
        <v/>
      </c>
      <c r="O82" s="19" t="str">
        <f t="shared" si="35"/>
        <v/>
      </c>
      <c r="P82" s="19" t="str">
        <f t="shared" si="36"/>
        <v/>
      </c>
      <c r="Q82" s="19" t="str">
        <f t="shared" si="37"/>
        <v/>
      </c>
      <c r="R82" s="19" t="str">
        <f t="shared" ref="R82:R145" si="45">IF(ISBLANK(I82),"",(I82-I$17)*1000)</f>
        <v/>
      </c>
      <c r="S82" s="27" t="str">
        <f t="shared" si="43"/>
        <v/>
      </c>
      <c r="T82" s="28" t="str">
        <f t="shared" si="43"/>
        <v/>
      </c>
      <c r="U82" s="28" t="str">
        <f t="shared" si="43"/>
        <v/>
      </c>
      <c r="V82" s="28" t="str">
        <f t="shared" si="43"/>
        <v/>
      </c>
      <c r="W82" s="28" t="str">
        <f t="shared" si="43"/>
        <v/>
      </c>
      <c r="X82" s="29" t="str">
        <f t="shared" si="43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39"/>
        <v/>
      </c>
      <c r="M83" s="19" t="str">
        <f t="shared" si="34"/>
        <v/>
      </c>
      <c r="N83" s="19" t="str">
        <f t="shared" si="44"/>
        <v/>
      </c>
      <c r="O83" s="19" t="str">
        <f t="shared" si="35"/>
        <v/>
      </c>
      <c r="P83" s="19" t="str">
        <f t="shared" si="36"/>
        <v/>
      </c>
      <c r="Q83" s="19" t="str">
        <f t="shared" si="37"/>
        <v/>
      </c>
      <c r="R83" s="19" t="str">
        <f t="shared" si="45"/>
        <v/>
      </c>
      <c r="S83" s="27" t="str">
        <f t="shared" si="43"/>
        <v/>
      </c>
      <c r="T83" s="28" t="str">
        <f t="shared" si="43"/>
        <v/>
      </c>
      <c r="U83" s="28" t="str">
        <f t="shared" si="43"/>
        <v/>
      </c>
      <c r="V83" s="28" t="str">
        <f t="shared" si="43"/>
        <v/>
      </c>
      <c r="W83" s="28" t="str">
        <f t="shared" si="43"/>
        <v/>
      </c>
      <c r="X83" s="29" t="str">
        <f t="shared" si="43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39"/>
        <v/>
      </c>
      <c r="M84" s="19" t="str">
        <f t="shared" si="34"/>
        <v/>
      </c>
      <c r="N84" s="19" t="str">
        <f t="shared" si="44"/>
        <v/>
      </c>
      <c r="O84" s="19" t="str">
        <f t="shared" si="35"/>
        <v/>
      </c>
      <c r="P84" s="19" t="str">
        <f t="shared" si="36"/>
        <v/>
      </c>
      <c r="Q84" s="19" t="str">
        <f t="shared" si="37"/>
        <v/>
      </c>
      <c r="R84" s="19" t="str">
        <f t="shared" si="45"/>
        <v/>
      </c>
      <c r="S84" s="27" t="str">
        <f t="shared" si="43"/>
        <v/>
      </c>
      <c r="T84" s="28" t="str">
        <f t="shared" si="43"/>
        <v/>
      </c>
      <c r="U84" s="28" t="str">
        <f t="shared" si="43"/>
        <v/>
      </c>
      <c r="V84" s="28" t="str">
        <f t="shared" si="43"/>
        <v/>
      </c>
      <c r="W84" s="28" t="str">
        <f t="shared" si="43"/>
        <v/>
      </c>
      <c r="X84" s="29" t="str">
        <f t="shared" si="43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39"/>
        <v/>
      </c>
      <c r="M85" s="19" t="str">
        <f t="shared" si="34"/>
        <v/>
      </c>
      <c r="N85" s="19" t="str">
        <f t="shared" si="44"/>
        <v/>
      </c>
      <c r="O85" s="19" t="str">
        <f t="shared" si="35"/>
        <v/>
      </c>
      <c r="P85" s="19" t="str">
        <f t="shared" si="36"/>
        <v/>
      </c>
      <c r="Q85" s="19" t="str">
        <f t="shared" si="37"/>
        <v/>
      </c>
      <c r="R85" s="19" t="str">
        <f t="shared" si="45"/>
        <v/>
      </c>
      <c r="S85" s="27" t="str">
        <f t="shared" si="43"/>
        <v/>
      </c>
      <c r="T85" s="28" t="str">
        <f t="shared" si="43"/>
        <v/>
      </c>
      <c r="U85" s="28" t="str">
        <f t="shared" si="43"/>
        <v/>
      </c>
      <c r="V85" s="28" t="str">
        <f t="shared" si="43"/>
        <v/>
      </c>
      <c r="W85" s="28" t="str">
        <f t="shared" si="43"/>
        <v/>
      </c>
      <c r="X85" s="29" t="str">
        <f t="shared" si="43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39"/>
        <v/>
      </c>
      <c r="M86" s="19" t="str">
        <f t="shared" si="34"/>
        <v/>
      </c>
      <c r="N86" s="19" t="str">
        <f t="shared" si="44"/>
        <v/>
      </c>
      <c r="O86" s="19" t="str">
        <f t="shared" si="35"/>
        <v/>
      </c>
      <c r="P86" s="19" t="str">
        <f t="shared" si="36"/>
        <v/>
      </c>
      <c r="Q86" s="19" t="str">
        <f t="shared" si="37"/>
        <v/>
      </c>
      <c r="R86" s="19" t="str">
        <f t="shared" si="45"/>
        <v/>
      </c>
      <c r="S86" s="27" t="str">
        <f t="shared" si="43"/>
        <v/>
      </c>
      <c r="T86" s="28" t="str">
        <f t="shared" si="43"/>
        <v/>
      </c>
      <c r="U86" s="28" t="str">
        <f t="shared" si="43"/>
        <v/>
      </c>
      <c r="V86" s="28" t="str">
        <f t="shared" si="43"/>
        <v/>
      </c>
      <c r="W86" s="28" t="str">
        <f t="shared" si="43"/>
        <v/>
      </c>
      <c r="X86" s="29" t="str">
        <f t="shared" si="43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39"/>
        <v/>
      </c>
      <c r="M87" s="19" t="str">
        <f t="shared" si="34"/>
        <v/>
      </c>
      <c r="N87" s="19" t="str">
        <f t="shared" si="44"/>
        <v/>
      </c>
      <c r="O87" s="19" t="str">
        <f t="shared" si="35"/>
        <v/>
      </c>
      <c r="P87" s="19" t="str">
        <f t="shared" si="36"/>
        <v/>
      </c>
      <c r="Q87" s="19" t="str">
        <f t="shared" si="37"/>
        <v/>
      </c>
      <c r="R87" s="19" t="str">
        <f t="shared" si="45"/>
        <v/>
      </c>
      <c r="S87" s="27" t="str">
        <f t="shared" si="43"/>
        <v/>
      </c>
      <c r="T87" s="28" t="str">
        <f t="shared" si="43"/>
        <v/>
      </c>
      <c r="U87" s="28" t="str">
        <f t="shared" si="43"/>
        <v/>
      </c>
      <c r="V87" s="28" t="str">
        <f t="shared" si="43"/>
        <v/>
      </c>
      <c r="W87" s="28" t="str">
        <f t="shared" si="43"/>
        <v/>
      </c>
      <c r="X87" s="29" t="str">
        <f t="shared" si="43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39"/>
        <v/>
      </c>
      <c r="M88" s="19" t="str">
        <f t="shared" si="34"/>
        <v/>
      </c>
      <c r="N88" s="19" t="str">
        <f t="shared" si="44"/>
        <v/>
      </c>
      <c r="O88" s="19" t="str">
        <f t="shared" si="35"/>
        <v/>
      </c>
      <c r="P88" s="19" t="str">
        <f t="shared" si="36"/>
        <v/>
      </c>
      <c r="Q88" s="19" t="str">
        <f t="shared" si="37"/>
        <v/>
      </c>
      <c r="R88" s="19" t="str">
        <f t="shared" si="45"/>
        <v/>
      </c>
      <c r="S88" s="27" t="str">
        <f t="shared" si="43"/>
        <v/>
      </c>
      <c r="T88" s="28" t="str">
        <f t="shared" si="43"/>
        <v/>
      </c>
      <c r="U88" s="28" t="str">
        <f t="shared" si="43"/>
        <v/>
      </c>
      <c r="V88" s="28" t="str">
        <f t="shared" si="43"/>
        <v/>
      </c>
      <c r="W88" s="28" t="str">
        <f t="shared" si="43"/>
        <v/>
      </c>
      <c r="X88" s="29" t="str">
        <f t="shared" si="43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39"/>
        <v/>
      </c>
      <c r="M89" s="19" t="str">
        <f t="shared" si="34"/>
        <v/>
      </c>
      <c r="N89" s="19" t="str">
        <f t="shared" si="44"/>
        <v/>
      </c>
      <c r="O89" s="19" t="str">
        <f t="shared" si="35"/>
        <v/>
      </c>
      <c r="P89" s="19" t="str">
        <f t="shared" si="36"/>
        <v/>
      </c>
      <c r="Q89" s="19" t="str">
        <f t="shared" si="37"/>
        <v/>
      </c>
      <c r="R89" s="19" t="str">
        <f t="shared" si="45"/>
        <v/>
      </c>
      <c r="S89" s="27" t="str">
        <f t="shared" si="43"/>
        <v/>
      </c>
      <c r="T89" s="28" t="str">
        <f t="shared" si="43"/>
        <v/>
      </c>
      <c r="U89" s="28" t="str">
        <f t="shared" si="43"/>
        <v/>
      </c>
      <c r="V89" s="28" t="str">
        <f t="shared" si="43"/>
        <v/>
      </c>
      <c r="W89" s="28" t="str">
        <f t="shared" si="43"/>
        <v/>
      </c>
      <c r="X89" s="29" t="str">
        <f t="shared" si="43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39"/>
        <v/>
      </c>
      <c r="M90" s="19" t="str">
        <f t="shared" si="34"/>
        <v/>
      </c>
      <c r="N90" s="19" t="str">
        <f t="shared" si="44"/>
        <v/>
      </c>
      <c r="O90" s="19" t="str">
        <f t="shared" si="35"/>
        <v/>
      </c>
      <c r="P90" s="19" t="str">
        <f t="shared" si="36"/>
        <v/>
      </c>
      <c r="Q90" s="19" t="str">
        <f t="shared" si="37"/>
        <v/>
      </c>
      <c r="R90" s="19" t="str">
        <f t="shared" si="45"/>
        <v/>
      </c>
      <c r="S90" s="27" t="str">
        <f t="shared" si="43"/>
        <v/>
      </c>
      <c r="T90" s="28" t="str">
        <f t="shared" si="43"/>
        <v/>
      </c>
      <c r="U90" s="28" t="str">
        <f t="shared" si="43"/>
        <v/>
      </c>
      <c r="V90" s="28" t="str">
        <f t="shared" si="43"/>
        <v/>
      </c>
      <c r="W90" s="28" t="str">
        <f t="shared" si="43"/>
        <v/>
      </c>
      <c r="X90" s="29" t="str">
        <f t="shared" si="43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39"/>
        <v/>
      </c>
      <c r="M91" s="19" t="str">
        <f t="shared" si="34"/>
        <v/>
      </c>
      <c r="N91" s="19" t="str">
        <f t="shared" si="44"/>
        <v/>
      </c>
      <c r="O91" s="19" t="str">
        <f t="shared" si="35"/>
        <v/>
      </c>
      <c r="P91" s="19" t="str">
        <f t="shared" si="36"/>
        <v/>
      </c>
      <c r="Q91" s="19" t="str">
        <f t="shared" si="37"/>
        <v/>
      </c>
      <c r="R91" s="19" t="str">
        <f t="shared" si="45"/>
        <v/>
      </c>
      <c r="S91" s="27" t="str">
        <f t="shared" si="43"/>
        <v/>
      </c>
      <c r="T91" s="28" t="str">
        <f t="shared" si="43"/>
        <v/>
      </c>
      <c r="U91" s="28" t="str">
        <f t="shared" si="43"/>
        <v/>
      </c>
      <c r="V91" s="28" t="str">
        <f t="shared" si="43"/>
        <v/>
      </c>
      <c r="W91" s="28" t="str">
        <f t="shared" si="43"/>
        <v/>
      </c>
      <c r="X91" s="29" t="str">
        <f t="shared" si="43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39"/>
        <v/>
      </c>
      <c r="M92" s="19" t="str">
        <f t="shared" si="34"/>
        <v/>
      </c>
      <c r="N92" s="19" t="str">
        <f t="shared" si="44"/>
        <v/>
      </c>
      <c r="O92" s="19" t="str">
        <f t="shared" si="35"/>
        <v/>
      </c>
      <c r="P92" s="19" t="str">
        <f t="shared" si="36"/>
        <v/>
      </c>
      <c r="Q92" s="19" t="str">
        <f t="shared" si="37"/>
        <v/>
      </c>
      <c r="R92" s="19" t="str">
        <f t="shared" si="45"/>
        <v/>
      </c>
      <c r="S92" s="27" t="str">
        <f t="shared" si="43"/>
        <v/>
      </c>
      <c r="T92" s="28" t="str">
        <f t="shared" si="43"/>
        <v/>
      </c>
      <c r="U92" s="28" t="str">
        <f t="shared" si="43"/>
        <v/>
      </c>
      <c r="V92" s="28" t="str">
        <f t="shared" si="43"/>
        <v/>
      </c>
      <c r="W92" s="28" t="str">
        <f t="shared" si="43"/>
        <v/>
      </c>
      <c r="X92" s="29" t="str">
        <f t="shared" si="43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39"/>
        <v/>
      </c>
      <c r="M93" s="19" t="str">
        <f t="shared" si="34"/>
        <v/>
      </c>
      <c r="N93" s="19" t="str">
        <f t="shared" si="44"/>
        <v/>
      </c>
      <c r="O93" s="19" t="str">
        <f t="shared" si="35"/>
        <v/>
      </c>
      <c r="P93" s="19" t="str">
        <f t="shared" si="36"/>
        <v/>
      </c>
      <c r="Q93" s="19" t="str">
        <f t="shared" si="37"/>
        <v/>
      </c>
      <c r="R93" s="19" t="str">
        <f t="shared" si="45"/>
        <v/>
      </c>
      <c r="S93" s="27" t="str">
        <f t="shared" si="43"/>
        <v/>
      </c>
      <c r="T93" s="28" t="str">
        <f t="shared" si="43"/>
        <v/>
      </c>
      <c r="U93" s="28" t="str">
        <f t="shared" si="43"/>
        <v/>
      </c>
      <c r="V93" s="28" t="str">
        <f t="shared" si="43"/>
        <v/>
      </c>
      <c r="W93" s="28" t="str">
        <f t="shared" si="43"/>
        <v/>
      </c>
      <c r="X93" s="29" t="str">
        <f t="shared" si="43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39"/>
        <v/>
      </c>
      <c r="M94" s="19" t="str">
        <f t="shared" si="34"/>
        <v/>
      </c>
      <c r="N94" s="19" t="str">
        <f t="shared" si="44"/>
        <v/>
      </c>
      <c r="O94" s="19" t="str">
        <f t="shared" si="35"/>
        <v/>
      </c>
      <c r="P94" s="19" t="str">
        <f t="shared" si="36"/>
        <v/>
      </c>
      <c r="Q94" s="19" t="str">
        <f t="shared" si="37"/>
        <v/>
      </c>
      <c r="R94" s="19" t="str">
        <f t="shared" si="45"/>
        <v/>
      </c>
      <c r="S94" s="27" t="str">
        <f t="shared" si="43"/>
        <v/>
      </c>
      <c r="T94" s="28" t="str">
        <f t="shared" si="43"/>
        <v/>
      </c>
      <c r="U94" s="28" t="str">
        <f t="shared" si="43"/>
        <v/>
      </c>
      <c r="V94" s="28" t="str">
        <f t="shared" si="43"/>
        <v/>
      </c>
      <c r="W94" s="28" t="str">
        <f t="shared" si="43"/>
        <v/>
      </c>
      <c r="X94" s="29" t="str">
        <f t="shared" si="43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39"/>
        <v/>
      </c>
      <c r="M95" s="19" t="str">
        <f t="shared" si="34"/>
        <v/>
      </c>
      <c r="N95" s="19" t="str">
        <f t="shared" si="44"/>
        <v/>
      </c>
      <c r="O95" s="19" t="str">
        <f t="shared" si="35"/>
        <v/>
      </c>
      <c r="P95" s="19" t="str">
        <f t="shared" si="36"/>
        <v/>
      </c>
      <c r="Q95" s="19" t="str">
        <f t="shared" si="37"/>
        <v/>
      </c>
      <c r="R95" s="19" t="str">
        <f t="shared" si="45"/>
        <v/>
      </c>
      <c r="S95" s="27" t="str">
        <f t="shared" si="43"/>
        <v/>
      </c>
      <c r="T95" s="28" t="str">
        <f t="shared" si="43"/>
        <v/>
      </c>
      <c r="U95" s="28" t="str">
        <f t="shared" si="43"/>
        <v/>
      </c>
      <c r="V95" s="28" t="str">
        <f t="shared" si="43"/>
        <v/>
      </c>
      <c r="W95" s="28" t="str">
        <f t="shared" si="43"/>
        <v/>
      </c>
      <c r="X95" s="29" t="str">
        <f t="shared" si="43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39"/>
        <v/>
      </c>
      <c r="M96" s="19" t="str">
        <f t="shared" si="34"/>
        <v/>
      </c>
      <c r="N96" s="19" t="str">
        <f t="shared" si="44"/>
        <v/>
      </c>
      <c r="O96" s="19" t="str">
        <f t="shared" si="35"/>
        <v/>
      </c>
      <c r="P96" s="19" t="str">
        <f t="shared" si="36"/>
        <v/>
      </c>
      <c r="Q96" s="19" t="str">
        <f t="shared" si="37"/>
        <v/>
      </c>
      <c r="R96" s="19" t="str">
        <f t="shared" si="45"/>
        <v/>
      </c>
      <c r="S96" s="27" t="str">
        <f t="shared" si="43"/>
        <v/>
      </c>
      <c r="T96" s="28" t="str">
        <f t="shared" si="43"/>
        <v/>
      </c>
      <c r="U96" s="28" t="str">
        <f t="shared" si="43"/>
        <v/>
      </c>
      <c r="V96" s="28" t="str">
        <f t="shared" si="43"/>
        <v/>
      </c>
      <c r="W96" s="28" t="str">
        <f t="shared" si="43"/>
        <v/>
      </c>
      <c r="X96" s="29" t="str">
        <f t="shared" si="43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39"/>
        <v/>
      </c>
      <c r="M97" s="19" t="str">
        <f t="shared" si="34"/>
        <v/>
      </c>
      <c r="N97" s="19" t="str">
        <f t="shared" si="44"/>
        <v/>
      </c>
      <c r="O97" s="19" t="str">
        <f t="shared" si="35"/>
        <v/>
      </c>
      <c r="P97" s="19" t="str">
        <f t="shared" si="36"/>
        <v/>
      </c>
      <c r="Q97" s="19" t="str">
        <f t="shared" si="37"/>
        <v/>
      </c>
      <c r="R97" s="19" t="str">
        <f t="shared" si="45"/>
        <v/>
      </c>
      <c r="S97" s="27" t="str">
        <f t="shared" ref="S97:X112" si="46">IF(C97="","",((C97-C96)*1000)/($B97-$B96))</f>
        <v/>
      </c>
      <c r="T97" s="28" t="str">
        <f t="shared" si="46"/>
        <v/>
      </c>
      <c r="U97" s="28" t="str">
        <f t="shared" si="46"/>
        <v/>
      </c>
      <c r="V97" s="28" t="str">
        <f t="shared" si="46"/>
        <v/>
      </c>
      <c r="W97" s="28" t="str">
        <f t="shared" si="46"/>
        <v/>
      </c>
      <c r="X97" s="29" t="str">
        <f t="shared" si="46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39"/>
        <v/>
      </c>
      <c r="M98" s="19" t="str">
        <f t="shared" si="34"/>
        <v/>
      </c>
      <c r="N98" s="19" t="str">
        <f t="shared" si="44"/>
        <v/>
      </c>
      <c r="O98" s="19" t="str">
        <f t="shared" si="35"/>
        <v/>
      </c>
      <c r="P98" s="19" t="str">
        <f t="shared" si="36"/>
        <v/>
      </c>
      <c r="Q98" s="19" t="str">
        <f t="shared" si="37"/>
        <v/>
      </c>
      <c r="R98" s="19" t="str">
        <f t="shared" si="45"/>
        <v/>
      </c>
      <c r="S98" s="27" t="str">
        <f t="shared" si="46"/>
        <v/>
      </c>
      <c r="T98" s="28" t="str">
        <f t="shared" si="46"/>
        <v/>
      </c>
      <c r="U98" s="28" t="str">
        <f t="shared" si="46"/>
        <v/>
      </c>
      <c r="V98" s="28" t="str">
        <f t="shared" si="46"/>
        <v/>
      </c>
      <c r="W98" s="28" t="str">
        <f t="shared" si="46"/>
        <v/>
      </c>
      <c r="X98" s="29" t="str">
        <f t="shared" si="46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39"/>
        <v/>
      </c>
      <c r="M99" s="19" t="str">
        <f t="shared" si="34"/>
        <v/>
      </c>
      <c r="N99" s="19" t="str">
        <f t="shared" si="44"/>
        <v/>
      </c>
      <c r="O99" s="19" t="str">
        <f t="shared" si="35"/>
        <v/>
      </c>
      <c r="P99" s="19" t="str">
        <f t="shared" si="36"/>
        <v/>
      </c>
      <c r="Q99" s="19" t="str">
        <f t="shared" si="37"/>
        <v/>
      </c>
      <c r="R99" s="19" t="str">
        <f t="shared" si="45"/>
        <v/>
      </c>
      <c r="S99" s="27" t="str">
        <f t="shared" si="46"/>
        <v/>
      </c>
      <c r="T99" s="28" t="str">
        <f t="shared" si="46"/>
        <v/>
      </c>
      <c r="U99" s="28" t="str">
        <f t="shared" si="46"/>
        <v/>
      </c>
      <c r="V99" s="28" t="str">
        <f t="shared" si="46"/>
        <v/>
      </c>
      <c r="W99" s="28" t="str">
        <f t="shared" si="46"/>
        <v/>
      </c>
      <c r="X99" s="29" t="str">
        <f t="shared" si="46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39"/>
        <v/>
      </c>
      <c r="M100" s="19" t="str">
        <f t="shared" si="34"/>
        <v/>
      </c>
      <c r="N100" s="19" t="str">
        <f t="shared" si="44"/>
        <v/>
      </c>
      <c r="O100" s="19" t="str">
        <f t="shared" si="35"/>
        <v/>
      </c>
      <c r="P100" s="19" t="str">
        <f t="shared" si="36"/>
        <v/>
      </c>
      <c r="Q100" s="19" t="str">
        <f t="shared" si="37"/>
        <v/>
      </c>
      <c r="R100" s="19" t="str">
        <f t="shared" si="45"/>
        <v/>
      </c>
      <c r="S100" s="27" t="str">
        <f t="shared" si="46"/>
        <v/>
      </c>
      <c r="T100" s="28" t="str">
        <f t="shared" si="46"/>
        <v/>
      </c>
      <c r="U100" s="28" t="str">
        <f t="shared" si="46"/>
        <v/>
      </c>
      <c r="V100" s="28" t="str">
        <f t="shared" si="46"/>
        <v/>
      </c>
      <c r="W100" s="28" t="str">
        <f t="shared" si="46"/>
        <v/>
      </c>
      <c r="X100" s="29" t="str">
        <f t="shared" si="46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39"/>
        <v/>
      </c>
      <c r="M101" s="19" t="str">
        <f t="shared" si="34"/>
        <v/>
      </c>
      <c r="N101" s="19" t="str">
        <f t="shared" si="44"/>
        <v/>
      </c>
      <c r="O101" s="19" t="str">
        <f t="shared" si="35"/>
        <v/>
      </c>
      <c r="P101" s="19" t="str">
        <f t="shared" si="36"/>
        <v/>
      </c>
      <c r="Q101" s="19" t="str">
        <f t="shared" si="37"/>
        <v/>
      </c>
      <c r="R101" s="19" t="str">
        <f t="shared" si="45"/>
        <v/>
      </c>
      <c r="S101" s="27" t="str">
        <f t="shared" si="46"/>
        <v/>
      </c>
      <c r="T101" s="28" t="str">
        <f t="shared" si="46"/>
        <v/>
      </c>
      <c r="U101" s="28" t="str">
        <f t="shared" si="46"/>
        <v/>
      </c>
      <c r="V101" s="28" t="str">
        <f t="shared" si="46"/>
        <v/>
      </c>
      <c r="W101" s="28" t="str">
        <f t="shared" si="46"/>
        <v/>
      </c>
      <c r="X101" s="29" t="str">
        <f t="shared" si="46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39"/>
        <v/>
      </c>
      <c r="M102" s="19" t="str">
        <f t="shared" si="34"/>
        <v/>
      </c>
      <c r="N102" s="19" t="str">
        <f t="shared" si="44"/>
        <v/>
      </c>
      <c r="O102" s="19" t="str">
        <f t="shared" si="35"/>
        <v/>
      </c>
      <c r="P102" s="19" t="str">
        <f t="shared" si="36"/>
        <v/>
      </c>
      <c r="Q102" s="19" t="str">
        <f t="shared" si="37"/>
        <v/>
      </c>
      <c r="R102" s="19" t="str">
        <f t="shared" si="45"/>
        <v/>
      </c>
      <c r="S102" s="27" t="str">
        <f t="shared" si="46"/>
        <v/>
      </c>
      <c r="T102" s="28" t="str">
        <f t="shared" si="46"/>
        <v/>
      </c>
      <c r="U102" s="28" t="str">
        <f t="shared" si="46"/>
        <v/>
      </c>
      <c r="V102" s="28" t="str">
        <f t="shared" si="46"/>
        <v/>
      </c>
      <c r="W102" s="28" t="str">
        <f t="shared" si="46"/>
        <v/>
      </c>
      <c r="X102" s="29" t="str">
        <f t="shared" si="46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39"/>
        <v/>
      </c>
      <c r="M103" s="19" t="str">
        <f t="shared" ref="M103:M153" si="47">IF(ISBLANK(D103),"",(D103-D$38)*1000)</f>
        <v/>
      </c>
      <c r="N103" s="19" t="str">
        <f t="shared" si="44"/>
        <v/>
      </c>
      <c r="O103" s="19" t="str">
        <f t="shared" ref="O103:O153" si="48">IF(ISBLANK(F103),"",(F103-F$38)*1000)</f>
        <v/>
      </c>
      <c r="P103" s="19" t="str">
        <f t="shared" ref="P103:P153" si="49">IF(ISBLANK(G103),"",(G103-G$38)*1000)</f>
        <v/>
      </c>
      <c r="Q103" s="19" t="str">
        <f t="shared" ref="Q103:Q153" si="50">IF(ISBLANK(H103),"",(H103-H$38)*1000)</f>
        <v/>
      </c>
      <c r="R103" s="19" t="str">
        <f t="shared" si="45"/>
        <v/>
      </c>
      <c r="S103" s="27" t="str">
        <f t="shared" si="46"/>
        <v/>
      </c>
      <c r="T103" s="28" t="str">
        <f t="shared" si="46"/>
        <v/>
      </c>
      <c r="U103" s="28" t="str">
        <f t="shared" si="46"/>
        <v/>
      </c>
      <c r="V103" s="28" t="str">
        <f t="shared" si="46"/>
        <v/>
      </c>
      <c r="W103" s="28" t="str">
        <f t="shared" si="46"/>
        <v/>
      </c>
      <c r="X103" s="29" t="str">
        <f t="shared" si="46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ref="L104:L153" si="51">IF(ISBLANK(C104),"",(C104-C$39)*1000)</f>
        <v/>
      </c>
      <c r="M104" s="19" t="str">
        <f t="shared" si="47"/>
        <v/>
      </c>
      <c r="N104" s="19" t="str">
        <f t="shared" si="44"/>
        <v/>
      </c>
      <c r="O104" s="19" t="str">
        <f t="shared" si="48"/>
        <v/>
      </c>
      <c r="P104" s="19" t="str">
        <f t="shared" si="49"/>
        <v/>
      </c>
      <c r="Q104" s="19" t="str">
        <f t="shared" si="50"/>
        <v/>
      </c>
      <c r="R104" s="19" t="str">
        <f t="shared" si="45"/>
        <v/>
      </c>
      <c r="S104" s="27" t="str">
        <f t="shared" si="46"/>
        <v/>
      </c>
      <c r="T104" s="28" t="str">
        <f t="shared" si="46"/>
        <v/>
      </c>
      <c r="U104" s="28" t="str">
        <f t="shared" si="46"/>
        <v/>
      </c>
      <c r="V104" s="28" t="str">
        <f t="shared" si="46"/>
        <v/>
      </c>
      <c r="W104" s="28" t="str">
        <f t="shared" si="46"/>
        <v/>
      </c>
      <c r="X104" s="29" t="str">
        <f t="shared" si="46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51"/>
        <v/>
      </c>
      <c r="M105" s="19" t="str">
        <f t="shared" si="47"/>
        <v/>
      </c>
      <c r="N105" s="19" t="str">
        <f t="shared" si="44"/>
        <v/>
      </c>
      <c r="O105" s="19" t="str">
        <f t="shared" si="48"/>
        <v/>
      </c>
      <c r="P105" s="19" t="str">
        <f t="shared" si="49"/>
        <v/>
      </c>
      <c r="Q105" s="19" t="str">
        <f t="shared" si="50"/>
        <v/>
      </c>
      <c r="R105" s="19" t="str">
        <f t="shared" si="45"/>
        <v/>
      </c>
      <c r="S105" s="27" t="str">
        <f t="shared" si="46"/>
        <v/>
      </c>
      <c r="T105" s="28" t="str">
        <f t="shared" si="46"/>
        <v/>
      </c>
      <c r="U105" s="28" t="str">
        <f t="shared" si="46"/>
        <v/>
      </c>
      <c r="V105" s="28" t="str">
        <f t="shared" si="46"/>
        <v/>
      </c>
      <c r="W105" s="28" t="str">
        <f t="shared" si="46"/>
        <v/>
      </c>
      <c r="X105" s="29" t="str">
        <f t="shared" si="46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51"/>
        <v/>
      </c>
      <c r="M106" s="19" t="str">
        <f t="shared" si="47"/>
        <v/>
      </c>
      <c r="N106" s="19" t="str">
        <f t="shared" si="44"/>
        <v/>
      </c>
      <c r="O106" s="19" t="str">
        <f t="shared" si="48"/>
        <v/>
      </c>
      <c r="P106" s="19" t="str">
        <f t="shared" si="49"/>
        <v/>
      </c>
      <c r="Q106" s="19" t="str">
        <f t="shared" si="50"/>
        <v/>
      </c>
      <c r="R106" s="19" t="str">
        <f t="shared" si="45"/>
        <v/>
      </c>
      <c r="S106" s="27" t="str">
        <f t="shared" si="46"/>
        <v/>
      </c>
      <c r="T106" s="28" t="str">
        <f t="shared" si="46"/>
        <v/>
      </c>
      <c r="U106" s="28" t="str">
        <f t="shared" si="46"/>
        <v/>
      </c>
      <c r="V106" s="28" t="str">
        <f t="shared" si="46"/>
        <v/>
      </c>
      <c r="W106" s="28" t="str">
        <f t="shared" si="46"/>
        <v/>
      </c>
      <c r="X106" s="29" t="str">
        <f t="shared" si="46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51"/>
        <v/>
      </c>
      <c r="M107" s="19" t="str">
        <f t="shared" si="47"/>
        <v/>
      </c>
      <c r="N107" s="19" t="str">
        <f t="shared" si="44"/>
        <v/>
      </c>
      <c r="O107" s="19" t="str">
        <f t="shared" si="48"/>
        <v/>
      </c>
      <c r="P107" s="19" t="str">
        <f t="shared" si="49"/>
        <v/>
      </c>
      <c r="Q107" s="19" t="str">
        <f t="shared" si="50"/>
        <v/>
      </c>
      <c r="R107" s="19" t="str">
        <f t="shared" si="45"/>
        <v/>
      </c>
      <c r="S107" s="27" t="str">
        <f t="shared" si="46"/>
        <v/>
      </c>
      <c r="T107" s="28" t="str">
        <f t="shared" si="46"/>
        <v/>
      </c>
      <c r="U107" s="28" t="str">
        <f t="shared" si="46"/>
        <v/>
      </c>
      <c r="V107" s="28" t="str">
        <f t="shared" si="46"/>
        <v/>
      </c>
      <c r="W107" s="28" t="str">
        <f t="shared" si="46"/>
        <v/>
      </c>
      <c r="X107" s="29" t="str">
        <f t="shared" si="46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51"/>
        <v/>
      </c>
      <c r="M108" s="19" t="str">
        <f t="shared" si="47"/>
        <v/>
      </c>
      <c r="N108" s="19" t="str">
        <f t="shared" si="44"/>
        <v/>
      </c>
      <c r="O108" s="19" t="str">
        <f t="shared" si="48"/>
        <v/>
      </c>
      <c r="P108" s="19" t="str">
        <f t="shared" si="49"/>
        <v/>
      </c>
      <c r="Q108" s="19" t="str">
        <f t="shared" si="50"/>
        <v/>
      </c>
      <c r="R108" s="19" t="str">
        <f t="shared" si="45"/>
        <v/>
      </c>
      <c r="S108" s="27" t="str">
        <f t="shared" si="46"/>
        <v/>
      </c>
      <c r="T108" s="28" t="str">
        <f t="shared" si="46"/>
        <v/>
      </c>
      <c r="U108" s="28" t="str">
        <f t="shared" si="46"/>
        <v/>
      </c>
      <c r="V108" s="28" t="str">
        <f t="shared" si="46"/>
        <v/>
      </c>
      <c r="W108" s="28" t="str">
        <f t="shared" si="46"/>
        <v/>
      </c>
      <c r="X108" s="29" t="str">
        <f t="shared" si="46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51"/>
        <v/>
      </c>
      <c r="M109" s="19" t="str">
        <f t="shared" si="47"/>
        <v/>
      </c>
      <c r="N109" s="19" t="str">
        <f t="shared" si="44"/>
        <v/>
      </c>
      <c r="O109" s="19" t="str">
        <f t="shared" si="48"/>
        <v/>
      </c>
      <c r="P109" s="19" t="str">
        <f t="shared" si="49"/>
        <v/>
      </c>
      <c r="Q109" s="19" t="str">
        <f t="shared" si="50"/>
        <v/>
      </c>
      <c r="R109" s="19" t="str">
        <f t="shared" si="45"/>
        <v/>
      </c>
      <c r="S109" s="27" t="str">
        <f t="shared" si="46"/>
        <v/>
      </c>
      <c r="T109" s="28" t="str">
        <f t="shared" si="46"/>
        <v/>
      </c>
      <c r="U109" s="28" t="str">
        <f t="shared" si="46"/>
        <v/>
      </c>
      <c r="V109" s="28" t="str">
        <f t="shared" si="46"/>
        <v/>
      </c>
      <c r="W109" s="28" t="str">
        <f t="shared" si="46"/>
        <v/>
      </c>
      <c r="X109" s="29" t="str">
        <f t="shared" si="46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51"/>
        <v/>
      </c>
      <c r="M110" s="19" t="str">
        <f t="shared" si="47"/>
        <v/>
      </c>
      <c r="N110" s="19" t="str">
        <f t="shared" si="44"/>
        <v/>
      </c>
      <c r="O110" s="19" t="str">
        <f t="shared" si="48"/>
        <v/>
      </c>
      <c r="P110" s="19" t="str">
        <f t="shared" si="49"/>
        <v/>
      </c>
      <c r="Q110" s="19" t="str">
        <f t="shared" si="50"/>
        <v/>
      </c>
      <c r="R110" s="19" t="str">
        <f t="shared" si="45"/>
        <v/>
      </c>
      <c r="S110" s="27" t="str">
        <f t="shared" si="46"/>
        <v/>
      </c>
      <c r="T110" s="28" t="str">
        <f t="shared" si="46"/>
        <v/>
      </c>
      <c r="U110" s="28" t="str">
        <f t="shared" si="46"/>
        <v/>
      </c>
      <c r="V110" s="28" t="str">
        <f t="shared" si="46"/>
        <v/>
      </c>
      <c r="W110" s="28" t="str">
        <f t="shared" si="46"/>
        <v/>
      </c>
      <c r="X110" s="29" t="str">
        <f t="shared" si="46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51"/>
        <v/>
      </c>
      <c r="M111" s="19" t="str">
        <f t="shared" si="47"/>
        <v/>
      </c>
      <c r="N111" s="19" t="str">
        <f t="shared" si="44"/>
        <v/>
      </c>
      <c r="O111" s="19" t="str">
        <f t="shared" si="48"/>
        <v/>
      </c>
      <c r="P111" s="19" t="str">
        <f t="shared" si="49"/>
        <v/>
      </c>
      <c r="Q111" s="19" t="str">
        <f t="shared" si="50"/>
        <v/>
      </c>
      <c r="R111" s="19" t="str">
        <f t="shared" si="45"/>
        <v/>
      </c>
      <c r="S111" s="27" t="str">
        <f t="shared" si="46"/>
        <v/>
      </c>
      <c r="T111" s="28" t="str">
        <f t="shared" si="46"/>
        <v/>
      </c>
      <c r="U111" s="28" t="str">
        <f t="shared" si="46"/>
        <v/>
      </c>
      <c r="V111" s="28" t="str">
        <f t="shared" si="46"/>
        <v/>
      </c>
      <c r="W111" s="28" t="str">
        <f t="shared" si="46"/>
        <v/>
      </c>
      <c r="X111" s="29" t="str">
        <f t="shared" si="46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51"/>
        <v/>
      </c>
      <c r="M112" s="19" t="str">
        <f t="shared" si="47"/>
        <v/>
      </c>
      <c r="N112" s="19" t="str">
        <f t="shared" si="44"/>
        <v/>
      </c>
      <c r="O112" s="19" t="str">
        <f t="shared" si="48"/>
        <v/>
      </c>
      <c r="P112" s="19" t="str">
        <f t="shared" si="49"/>
        <v/>
      </c>
      <c r="Q112" s="19" t="str">
        <f t="shared" si="50"/>
        <v/>
      </c>
      <c r="R112" s="19" t="str">
        <f t="shared" si="45"/>
        <v/>
      </c>
      <c r="S112" s="27" t="str">
        <f t="shared" si="46"/>
        <v/>
      </c>
      <c r="T112" s="28" t="str">
        <f t="shared" si="46"/>
        <v/>
      </c>
      <c r="U112" s="28" t="str">
        <f t="shared" si="46"/>
        <v/>
      </c>
      <c r="V112" s="28" t="str">
        <f t="shared" si="46"/>
        <v/>
      </c>
      <c r="W112" s="28" t="str">
        <f t="shared" si="46"/>
        <v/>
      </c>
      <c r="X112" s="29" t="str">
        <f t="shared" si="46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51"/>
        <v/>
      </c>
      <c r="M113" s="19" t="str">
        <f t="shared" si="47"/>
        <v/>
      </c>
      <c r="N113" s="19" t="str">
        <f t="shared" si="44"/>
        <v/>
      </c>
      <c r="O113" s="19" t="str">
        <f t="shared" si="48"/>
        <v/>
      </c>
      <c r="P113" s="19" t="str">
        <f t="shared" si="49"/>
        <v/>
      </c>
      <c r="Q113" s="19" t="str">
        <f t="shared" si="50"/>
        <v/>
      </c>
      <c r="R113" s="19" t="str">
        <f t="shared" si="45"/>
        <v/>
      </c>
      <c r="S113" s="27" t="str">
        <f t="shared" ref="S113:X128" si="52">IF(C113="","",((C113-C112)*1000)/($B113-$B112))</f>
        <v/>
      </c>
      <c r="T113" s="28" t="str">
        <f t="shared" si="52"/>
        <v/>
      </c>
      <c r="U113" s="28" t="str">
        <f t="shared" si="52"/>
        <v/>
      </c>
      <c r="V113" s="28" t="str">
        <f t="shared" si="52"/>
        <v/>
      </c>
      <c r="W113" s="28" t="str">
        <f t="shared" si="52"/>
        <v/>
      </c>
      <c r="X113" s="29" t="str">
        <f t="shared" si="52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51"/>
        <v/>
      </c>
      <c r="M114" s="19" t="str">
        <f t="shared" si="47"/>
        <v/>
      </c>
      <c r="N114" s="19" t="str">
        <f t="shared" si="44"/>
        <v/>
      </c>
      <c r="O114" s="19" t="str">
        <f t="shared" si="48"/>
        <v/>
      </c>
      <c r="P114" s="19" t="str">
        <f t="shared" si="49"/>
        <v/>
      </c>
      <c r="Q114" s="19" t="str">
        <f t="shared" si="50"/>
        <v/>
      </c>
      <c r="R114" s="19" t="str">
        <f t="shared" si="45"/>
        <v/>
      </c>
      <c r="S114" s="27" t="str">
        <f t="shared" si="52"/>
        <v/>
      </c>
      <c r="T114" s="28" t="str">
        <f t="shared" si="52"/>
        <v/>
      </c>
      <c r="U114" s="28" t="str">
        <f t="shared" si="52"/>
        <v/>
      </c>
      <c r="V114" s="28" t="str">
        <f t="shared" si="52"/>
        <v/>
      </c>
      <c r="W114" s="28" t="str">
        <f t="shared" si="52"/>
        <v/>
      </c>
      <c r="X114" s="29" t="str">
        <f t="shared" si="52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51"/>
        <v/>
      </c>
      <c r="M115" s="19" t="str">
        <f t="shared" si="47"/>
        <v/>
      </c>
      <c r="N115" s="19" t="str">
        <f t="shared" si="44"/>
        <v/>
      </c>
      <c r="O115" s="19" t="str">
        <f t="shared" si="48"/>
        <v/>
      </c>
      <c r="P115" s="19" t="str">
        <f t="shared" si="49"/>
        <v/>
      </c>
      <c r="Q115" s="19" t="str">
        <f t="shared" si="50"/>
        <v/>
      </c>
      <c r="R115" s="19" t="str">
        <f t="shared" si="45"/>
        <v/>
      </c>
      <c r="S115" s="27" t="str">
        <f t="shared" si="52"/>
        <v/>
      </c>
      <c r="T115" s="28" t="str">
        <f t="shared" si="52"/>
        <v/>
      </c>
      <c r="U115" s="28" t="str">
        <f t="shared" si="52"/>
        <v/>
      </c>
      <c r="V115" s="28" t="str">
        <f t="shared" si="52"/>
        <v/>
      </c>
      <c r="W115" s="28" t="str">
        <f t="shared" si="52"/>
        <v/>
      </c>
      <c r="X115" s="29" t="str">
        <f t="shared" si="52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51"/>
        <v/>
      </c>
      <c r="M116" s="19" t="str">
        <f t="shared" si="47"/>
        <v/>
      </c>
      <c r="N116" s="19" t="str">
        <f t="shared" si="44"/>
        <v/>
      </c>
      <c r="O116" s="19" t="str">
        <f t="shared" si="48"/>
        <v/>
      </c>
      <c r="P116" s="19" t="str">
        <f t="shared" si="49"/>
        <v/>
      </c>
      <c r="Q116" s="19" t="str">
        <f t="shared" si="50"/>
        <v/>
      </c>
      <c r="R116" s="19" t="str">
        <f t="shared" si="45"/>
        <v/>
      </c>
      <c r="S116" s="27" t="str">
        <f t="shared" si="52"/>
        <v/>
      </c>
      <c r="T116" s="28" t="str">
        <f t="shared" si="52"/>
        <v/>
      </c>
      <c r="U116" s="28" t="str">
        <f t="shared" si="52"/>
        <v/>
      </c>
      <c r="V116" s="28" t="str">
        <f t="shared" si="52"/>
        <v/>
      </c>
      <c r="W116" s="28" t="str">
        <f t="shared" si="52"/>
        <v/>
      </c>
      <c r="X116" s="29" t="str">
        <f t="shared" si="52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51"/>
        <v/>
      </c>
      <c r="M117" s="19" t="str">
        <f t="shared" si="47"/>
        <v/>
      </c>
      <c r="N117" s="19" t="str">
        <f t="shared" si="44"/>
        <v/>
      </c>
      <c r="O117" s="19" t="str">
        <f t="shared" si="48"/>
        <v/>
      </c>
      <c r="P117" s="19" t="str">
        <f t="shared" si="49"/>
        <v/>
      </c>
      <c r="Q117" s="19" t="str">
        <f t="shared" si="50"/>
        <v/>
      </c>
      <c r="R117" s="19" t="str">
        <f t="shared" si="45"/>
        <v/>
      </c>
      <c r="S117" s="27" t="str">
        <f t="shared" si="52"/>
        <v/>
      </c>
      <c r="T117" s="28" t="str">
        <f t="shared" si="52"/>
        <v/>
      </c>
      <c r="U117" s="28" t="str">
        <f t="shared" si="52"/>
        <v/>
      </c>
      <c r="V117" s="28" t="str">
        <f t="shared" si="52"/>
        <v/>
      </c>
      <c r="W117" s="28" t="str">
        <f t="shared" si="52"/>
        <v/>
      </c>
      <c r="X117" s="29" t="str">
        <f t="shared" si="52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51"/>
        <v/>
      </c>
      <c r="M118" s="19" t="str">
        <f t="shared" si="47"/>
        <v/>
      </c>
      <c r="N118" s="19" t="str">
        <f t="shared" si="44"/>
        <v/>
      </c>
      <c r="O118" s="19" t="str">
        <f t="shared" si="48"/>
        <v/>
      </c>
      <c r="P118" s="19" t="str">
        <f t="shared" si="49"/>
        <v/>
      </c>
      <c r="Q118" s="19" t="str">
        <f t="shared" si="50"/>
        <v/>
      </c>
      <c r="R118" s="19" t="str">
        <f t="shared" si="45"/>
        <v/>
      </c>
      <c r="S118" s="27" t="str">
        <f t="shared" si="52"/>
        <v/>
      </c>
      <c r="T118" s="28" t="str">
        <f t="shared" si="52"/>
        <v/>
      </c>
      <c r="U118" s="28" t="str">
        <f t="shared" si="52"/>
        <v/>
      </c>
      <c r="V118" s="28" t="str">
        <f t="shared" si="52"/>
        <v/>
      </c>
      <c r="W118" s="28" t="str">
        <f t="shared" si="52"/>
        <v/>
      </c>
      <c r="X118" s="29" t="str">
        <f t="shared" si="52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51"/>
        <v/>
      </c>
      <c r="M119" s="19" t="str">
        <f t="shared" si="47"/>
        <v/>
      </c>
      <c r="N119" s="19" t="str">
        <f t="shared" si="44"/>
        <v/>
      </c>
      <c r="O119" s="19" t="str">
        <f t="shared" si="48"/>
        <v/>
      </c>
      <c r="P119" s="19" t="str">
        <f t="shared" si="49"/>
        <v/>
      </c>
      <c r="Q119" s="19" t="str">
        <f t="shared" si="50"/>
        <v/>
      </c>
      <c r="R119" s="19" t="str">
        <f t="shared" si="45"/>
        <v/>
      </c>
      <c r="S119" s="27" t="str">
        <f t="shared" si="52"/>
        <v/>
      </c>
      <c r="T119" s="28" t="str">
        <f t="shared" si="52"/>
        <v/>
      </c>
      <c r="U119" s="28" t="str">
        <f t="shared" si="52"/>
        <v/>
      </c>
      <c r="V119" s="28" t="str">
        <f t="shared" si="52"/>
        <v/>
      </c>
      <c r="W119" s="28" t="str">
        <f t="shared" si="52"/>
        <v/>
      </c>
      <c r="X119" s="29" t="str">
        <f t="shared" si="52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51"/>
        <v/>
      </c>
      <c r="M120" s="19" t="str">
        <f t="shared" si="47"/>
        <v/>
      </c>
      <c r="N120" s="19" t="str">
        <f t="shared" si="44"/>
        <v/>
      </c>
      <c r="O120" s="19" t="str">
        <f t="shared" si="48"/>
        <v/>
      </c>
      <c r="P120" s="19" t="str">
        <f t="shared" si="49"/>
        <v/>
      </c>
      <c r="Q120" s="19" t="str">
        <f t="shared" si="50"/>
        <v/>
      </c>
      <c r="R120" s="19" t="str">
        <f t="shared" si="45"/>
        <v/>
      </c>
      <c r="S120" s="27" t="str">
        <f t="shared" si="52"/>
        <v/>
      </c>
      <c r="T120" s="28" t="str">
        <f t="shared" si="52"/>
        <v/>
      </c>
      <c r="U120" s="28" t="str">
        <f t="shared" si="52"/>
        <v/>
      </c>
      <c r="V120" s="28" t="str">
        <f t="shared" si="52"/>
        <v/>
      </c>
      <c r="W120" s="28" t="str">
        <f t="shared" si="52"/>
        <v/>
      </c>
      <c r="X120" s="29" t="str">
        <f t="shared" si="52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51"/>
        <v/>
      </c>
      <c r="M121" s="19" t="str">
        <f t="shared" si="47"/>
        <v/>
      </c>
      <c r="N121" s="19" t="str">
        <f t="shared" si="44"/>
        <v/>
      </c>
      <c r="O121" s="19" t="str">
        <f t="shared" si="48"/>
        <v/>
      </c>
      <c r="P121" s="19" t="str">
        <f t="shared" si="49"/>
        <v/>
      </c>
      <c r="Q121" s="19" t="str">
        <f t="shared" si="50"/>
        <v/>
      </c>
      <c r="R121" s="19" t="str">
        <f t="shared" si="45"/>
        <v/>
      </c>
      <c r="S121" s="27" t="str">
        <f t="shared" si="52"/>
        <v/>
      </c>
      <c r="T121" s="28" t="str">
        <f t="shared" si="52"/>
        <v/>
      </c>
      <c r="U121" s="28" t="str">
        <f t="shared" si="52"/>
        <v/>
      </c>
      <c r="V121" s="28" t="str">
        <f t="shared" si="52"/>
        <v/>
      </c>
      <c r="W121" s="28" t="str">
        <f t="shared" si="52"/>
        <v/>
      </c>
      <c r="X121" s="29" t="str">
        <f t="shared" si="52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51"/>
        <v/>
      </c>
      <c r="M122" s="19" t="str">
        <f t="shared" si="47"/>
        <v/>
      </c>
      <c r="N122" s="19" t="str">
        <f t="shared" si="44"/>
        <v/>
      </c>
      <c r="O122" s="19" t="str">
        <f t="shared" si="48"/>
        <v/>
      </c>
      <c r="P122" s="19" t="str">
        <f t="shared" si="49"/>
        <v/>
      </c>
      <c r="Q122" s="19" t="str">
        <f t="shared" si="50"/>
        <v/>
      </c>
      <c r="R122" s="19" t="str">
        <f t="shared" si="45"/>
        <v/>
      </c>
      <c r="S122" s="27" t="str">
        <f t="shared" si="52"/>
        <v/>
      </c>
      <c r="T122" s="28" t="str">
        <f t="shared" si="52"/>
        <v/>
      </c>
      <c r="U122" s="28" t="str">
        <f t="shared" si="52"/>
        <v/>
      </c>
      <c r="V122" s="28" t="str">
        <f t="shared" si="52"/>
        <v/>
      </c>
      <c r="W122" s="28" t="str">
        <f t="shared" si="52"/>
        <v/>
      </c>
      <c r="X122" s="29" t="str">
        <f t="shared" si="52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51"/>
        <v/>
      </c>
      <c r="M123" s="19" t="str">
        <f t="shared" si="47"/>
        <v/>
      </c>
      <c r="N123" s="19" t="str">
        <f t="shared" si="44"/>
        <v/>
      </c>
      <c r="O123" s="19" t="str">
        <f t="shared" si="48"/>
        <v/>
      </c>
      <c r="P123" s="19" t="str">
        <f t="shared" si="49"/>
        <v/>
      </c>
      <c r="Q123" s="19" t="str">
        <f t="shared" si="50"/>
        <v/>
      </c>
      <c r="R123" s="19" t="str">
        <f t="shared" si="45"/>
        <v/>
      </c>
      <c r="S123" s="27" t="str">
        <f t="shared" si="52"/>
        <v/>
      </c>
      <c r="T123" s="28" t="str">
        <f t="shared" si="52"/>
        <v/>
      </c>
      <c r="U123" s="28" t="str">
        <f t="shared" si="52"/>
        <v/>
      </c>
      <c r="V123" s="28" t="str">
        <f t="shared" si="52"/>
        <v/>
      </c>
      <c r="W123" s="28" t="str">
        <f t="shared" si="52"/>
        <v/>
      </c>
      <c r="X123" s="29" t="str">
        <f t="shared" si="52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51"/>
        <v/>
      </c>
      <c r="M124" s="19" t="str">
        <f t="shared" si="47"/>
        <v/>
      </c>
      <c r="N124" s="19" t="str">
        <f t="shared" si="44"/>
        <v/>
      </c>
      <c r="O124" s="19" t="str">
        <f t="shared" si="48"/>
        <v/>
      </c>
      <c r="P124" s="19" t="str">
        <f t="shared" si="49"/>
        <v/>
      </c>
      <c r="Q124" s="19" t="str">
        <f t="shared" si="50"/>
        <v/>
      </c>
      <c r="R124" s="19" t="str">
        <f t="shared" si="45"/>
        <v/>
      </c>
      <c r="S124" s="27" t="str">
        <f t="shared" si="52"/>
        <v/>
      </c>
      <c r="T124" s="28" t="str">
        <f t="shared" si="52"/>
        <v/>
      </c>
      <c r="U124" s="28" t="str">
        <f t="shared" si="52"/>
        <v/>
      </c>
      <c r="V124" s="28" t="str">
        <f t="shared" si="52"/>
        <v/>
      </c>
      <c r="W124" s="28" t="str">
        <f t="shared" si="52"/>
        <v/>
      </c>
      <c r="X124" s="29" t="str">
        <f t="shared" si="52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51"/>
        <v/>
      </c>
      <c r="M125" s="19" t="str">
        <f t="shared" si="47"/>
        <v/>
      </c>
      <c r="N125" s="19" t="str">
        <f t="shared" si="44"/>
        <v/>
      </c>
      <c r="O125" s="19" t="str">
        <f t="shared" si="48"/>
        <v/>
      </c>
      <c r="P125" s="19" t="str">
        <f t="shared" si="49"/>
        <v/>
      </c>
      <c r="Q125" s="19" t="str">
        <f t="shared" si="50"/>
        <v/>
      </c>
      <c r="R125" s="19" t="str">
        <f t="shared" si="45"/>
        <v/>
      </c>
      <c r="S125" s="27" t="str">
        <f t="shared" si="52"/>
        <v/>
      </c>
      <c r="T125" s="28" t="str">
        <f t="shared" si="52"/>
        <v/>
      </c>
      <c r="U125" s="28" t="str">
        <f t="shared" si="52"/>
        <v/>
      </c>
      <c r="V125" s="28" t="str">
        <f t="shared" si="52"/>
        <v/>
      </c>
      <c r="W125" s="28" t="str">
        <f t="shared" si="52"/>
        <v/>
      </c>
      <c r="X125" s="29" t="str">
        <f t="shared" si="52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51"/>
        <v/>
      </c>
      <c r="M126" s="19" t="str">
        <f t="shared" si="47"/>
        <v/>
      </c>
      <c r="N126" s="19" t="str">
        <f t="shared" si="44"/>
        <v/>
      </c>
      <c r="O126" s="19" t="str">
        <f t="shared" si="48"/>
        <v/>
      </c>
      <c r="P126" s="19" t="str">
        <f t="shared" si="49"/>
        <v/>
      </c>
      <c r="Q126" s="19" t="str">
        <f t="shared" si="50"/>
        <v/>
      </c>
      <c r="R126" s="19" t="str">
        <f t="shared" si="45"/>
        <v/>
      </c>
      <c r="S126" s="27" t="str">
        <f t="shared" si="52"/>
        <v/>
      </c>
      <c r="T126" s="28" t="str">
        <f t="shared" si="52"/>
        <v/>
      </c>
      <c r="U126" s="28" t="str">
        <f t="shared" si="52"/>
        <v/>
      </c>
      <c r="V126" s="28" t="str">
        <f t="shared" si="52"/>
        <v/>
      </c>
      <c r="W126" s="28" t="str">
        <f t="shared" si="52"/>
        <v/>
      </c>
      <c r="X126" s="29" t="str">
        <f t="shared" si="52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51"/>
        <v/>
      </c>
      <c r="M127" s="19" t="str">
        <f t="shared" si="47"/>
        <v/>
      </c>
      <c r="N127" s="19" t="str">
        <f t="shared" si="44"/>
        <v/>
      </c>
      <c r="O127" s="19" t="str">
        <f t="shared" si="48"/>
        <v/>
      </c>
      <c r="P127" s="19" t="str">
        <f t="shared" si="49"/>
        <v/>
      </c>
      <c r="Q127" s="19" t="str">
        <f t="shared" si="50"/>
        <v/>
      </c>
      <c r="R127" s="19" t="str">
        <f t="shared" si="45"/>
        <v/>
      </c>
      <c r="S127" s="27" t="str">
        <f t="shared" si="52"/>
        <v/>
      </c>
      <c r="T127" s="28" t="str">
        <f t="shared" si="52"/>
        <v/>
      </c>
      <c r="U127" s="28" t="str">
        <f t="shared" si="52"/>
        <v/>
      </c>
      <c r="V127" s="28" t="str">
        <f t="shared" si="52"/>
        <v/>
      </c>
      <c r="W127" s="28" t="str">
        <f t="shared" si="52"/>
        <v/>
      </c>
      <c r="X127" s="29" t="str">
        <f t="shared" si="52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51"/>
        <v/>
      </c>
      <c r="M128" s="19" t="str">
        <f t="shared" si="47"/>
        <v/>
      </c>
      <c r="N128" s="19" t="str">
        <f t="shared" si="44"/>
        <v/>
      </c>
      <c r="O128" s="19" t="str">
        <f t="shared" si="48"/>
        <v/>
      </c>
      <c r="P128" s="19" t="str">
        <f t="shared" si="49"/>
        <v/>
      </c>
      <c r="Q128" s="19" t="str">
        <f t="shared" si="50"/>
        <v/>
      </c>
      <c r="R128" s="19" t="str">
        <f t="shared" si="45"/>
        <v/>
      </c>
      <c r="S128" s="27" t="str">
        <f t="shared" si="52"/>
        <v/>
      </c>
      <c r="T128" s="28" t="str">
        <f t="shared" si="52"/>
        <v/>
      </c>
      <c r="U128" s="28" t="str">
        <f t="shared" si="52"/>
        <v/>
      </c>
      <c r="V128" s="28" t="str">
        <f t="shared" si="52"/>
        <v/>
      </c>
      <c r="W128" s="28" t="str">
        <f t="shared" si="52"/>
        <v/>
      </c>
      <c r="X128" s="29" t="str">
        <f t="shared" si="52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51"/>
        <v/>
      </c>
      <c r="M129" s="19" t="str">
        <f t="shared" si="47"/>
        <v/>
      </c>
      <c r="N129" s="19" t="str">
        <f t="shared" si="44"/>
        <v/>
      </c>
      <c r="O129" s="19" t="str">
        <f t="shared" si="48"/>
        <v/>
      </c>
      <c r="P129" s="19" t="str">
        <f t="shared" si="49"/>
        <v/>
      </c>
      <c r="Q129" s="19" t="str">
        <f t="shared" si="50"/>
        <v/>
      </c>
      <c r="R129" s="19" t="str">
        <f t="shared" si="45"/>
        <v/>
      </c>
      <c r="S129" s="27" t="str">
        <f t="shared" ref="S129:X144" si="53">IF(C129="","",((C129-C128)*1000)/($B129-$B128))</f>
        <v/>
      </c>
      <c r="T129" s="28" t="str">
        <f t="shared" si="53"/>
        <v/>
      </c>
      <c r="U129" s="28" t="str">
        <f t="shared" si="53"/>
        <v/>
      </c>
      <c r="V129" s="28" t="str">
        <f t="shared" si="53"/>
        <v/>
      </c>
      <c r="W129" s="28" t="str">
        <f t="shared" si="53"/>
        <v/>
      </c>
      <c r="X129" s="29" t="str">
        <f t="shared" si="53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51"/>
        <v/>
      </c>
      <c r="M130" s="19" t="str">
        <f t="shared" si="47"/>
        <v/>
      </c>
      <c r="N130" s="19" t="str">
        <f t="shared" si="44"/>
        <v/>
      </c>
      <c r="O130" s="19" t="str">
        <f t="shared" si="48"/>
        <v/>
      </c>
      <c r="P130" s="19" t="str">
        <f t="shared" si="49"/>
        <v/>
      </c>
      <c r="Q130" s="19" t="str">
        <f t="shared" si="50"/>
        <v/>
      </c>
      <c r="R130" s="19" t="str">
        <f t="shared" si="45"/>
        <v/>
      </c>
      <c r="S130" s="27" t="str">
        <f t="shared" si="53"/>
        <v/>
      </c>
      <c r="T130" s="28" t="str">
        <f t="shared" si="53"/>
        <v/>
      </c>
      <c r="U130" s="28" t="str">
        <f t="shared" si="53"/>
        <v/>
      </c>
      <c r="V130" s="28" t="str">
        <f t="shared" si="53"/>
        <v/>
      </c>
      <c r="W130" s="28" t="str">
        <f t="shared" si="53"/>
        <v/>
      </c>
      <c r="X130" s="29" t="str">
        <f t="shared" si="53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51"/>
        <v/>
      </c>
      <c r="M131" s="19" t="str">
        <f t="shared" si="47"/>
        <v/>
      </c>
      <c r="N131" s="19" t="str">
        <f t="shared" si="44"/>
        <v/>
      </c>
      <c r="O131" s="19" t="str">
        <f t="shared" si="48"/>
        <v/>
      </c>
      <c r="P131" s="19" t="str">
        <f t="shared" si="49"/>
        <v/>
      </c>
      <c r="Q131" s="19" t="str">
        <f t="shared" si="50"/>
        <v/>
      </c>
      <c r="R131" s="19" t="str">
        <f t="shared" si="45"/>
        <v/>
      </c>
      <c r="S131" s="27" t="str">
        <f t="shared" si="53"/>
        <v/>
      </c>
      <c r="T131" s="28" t="str">
        <f t="shared" si="53"/>
        <v/>
      </c>
      <c r="U131" s="28" t="str">
        <f t="shared" si="53"/>
        <v/>
      </c>
      <c r="V131" s="28" t="str">
        <f t="shared" si="53"/>
        <v/>
      </c>
      <c r="W131" s="28" t="str">
        <f t="shared" si="53"/>
        <v/>
      </c>
      <c r="X131" s="29" t="str">
        <f t="shared" si="53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51"/>
        <v/>
      </c>
      <c r="M132" s="19" t="str">
        <f t="shared" si="47"/>
        <v/>
      </c>
      <c r="N132" s="19" t="str">
        <f t="shared" si="44"/>
        <v/>
      </c>
      <c r="O132" s="19" t="str">
        <f t="shared" si="48"/>
        <v/>
      </c>
      <c r="P132" s="19" t="str">
        <f t="shared" si="49"/>
        <v/>
      </c>
      <c r="Q132" s="19" t="str">
        <f t="shared" si="50"/>
        <v/>
      </c>
      <c r="R132" s="19" t="str">
        <f t="shared" si="45"/>
        <v/>
      </c>
      <c r="S132" s="27" t="str">
        <f t="shared" si="53"/>
        <v/>
      </c>
      <c r="T132" s="28" t="str">
        <f t="shared" si="53"/>
        <v/>
      </c>
      <c r="U132" s="28" t="str">
        <f t="shared" si="53"/>
        <v/>
      </c>
      <c r="V132" s="28" t="str">
        <f t="shared" si="53"/>
        <v/>
      </c>
      <c r="W132" s="28" t="str">
        <f t="shared" si="53"/>
        <v/>
      </c>
      <c r="X132" s="29" t="str">
        <f t="shared" si="53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51"/>
        <v/>
      </c>
      <c r="M133" s="19" t="str">
        <f t="shared" si="47"/>
        <v/>
      </c>
      <c r="N133" s="19" t="str">
        <f t="shared" si="44"/>
        <v/>
      </c>
      <c r="O133" s="19" t="str">
        <f t="shared" si="48"/>
        <v/>
      </c>
      <c r="P133" s="19" t="str">
        <f t="shared" si="49"/>
        <v/>
      </c>
      <c r="Q133" s="19" t="str">
        <f t="shared" si="50"/>
        <v/>
      </c>
      <c r="R133" s="19" t="str">
        <f t="shared" si="45"/>
        <v/>
      </c>
      <c r="S133" s="27" t="str">
        <f t="shared" si="53"/>
        <v/>
      </c>
      <c r="T133" s="28" t="str">
        <f t="shared" si="53"/>
        <v/>
      </c>
      <c r="U133" s="28" t="str">
        <f t="shared" si="53"/>
        <v/>
      </c>
      <c r="V133" s="28" t="str">
        <f t="shared" si="53"/>
        <v/>
      </c>
      <c r="W133" s="28" t="str">
        <f t="shared" si="53"/>
        <v/>
      </c>
      <c r="X133" s="29" t="str">
        <f t="shared" si="53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51"/>
        <v/>
      </c>
      <c r="M134" s="19" t="str">
        <f t="shared" si="47"/>
        <v/>
      </c>
      <c r="N134" s="19" t="str">
        <f t="shared" si="44"/>
        <v/>
      </c>
      <c r="O134" s="19" t="str">
        <f t="shared" si="48"/>
        <v/>
      </c>
      <c r="P134" s="19" t="str">
        <f t="shared" si="49"/>
        <v/>
      </c>
      <c r="Q134" s="19" t="str">
        <f t="shared" si="50"/>
        <v/>
      </c>
      <c r="R134" s="19" t="str">
        <f t="shared" si="45"/>
        <v/>
      </c>
      <c r="S134" s="27" t="str">
        <f t="shared" si="53"/>
        <v/>
      </c>
      <c r="T134" s="28" t="str">
        <f t="shared" si="53"/>
        <v/>
      </c>
      <c r="U134" s="28" t="str">
        <f t="shared" si="53"/>
        <v/>
      </c>
      <c r="V134" s="28" t="str">
        <f t="shared" si="53"/>
        <v/>
      </c>
      <c r="W134" s="28" t="str">
        <f t="shared" si="53"/>
        <v/>
      </c>
      <c r="X134" s="29" t="str">
        <f t="shared" si="53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51"/>
        <v/>
      </c>
      <c r="M135" s="19" t="str">
        <f t="shared" si="47"/>
        <v/>
      </c>
      <c r="N135" s="19" t="str">
        <f t="shared" si="44"/>
        <v/>
      </c>
      <c r="O135" s="19" t="str">
        <f t="shared" si="48"/>
        <v/>
      </c>
      <c r="P135" s="19" t="str">
        <f t="shared" si="49"/>
        <v/>
      </c>
      <c r="Q135" s="19" t="str">
        <f t="shared" si="50"/>
        <v/>
      </c>
      <c r="R135" s="19" t="str">
        <f t="shared" si="45"/>
        <v/>
      </c>
      <c r="S135" s="27" t="str">
        <f t="shared" si="53"/>
        <v/>
      </c>
      <c r="T135" s="28" t="str">
        <f t="shared" si="53"/>
        <v/>
      </c>
      <c r="U135" s="28" t="str">
        <f t="shared" si="53"/>
        <v/>
      </c>
      <c r="V135" s="28" t="str">
        <f t="shared" si="53"/>
        <v/>
      </c>
      <c r="W135" s="28" t="str">
        <f t="shared" si="53"/>
        <v/>
      </c>
      <c r="X135" s="29" t="str">
        <f t="shared" si="53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51"/>
        <v/>
      </c>
      <c r="M136" s="19" t="str">
        <f t="shared" si="47"/>
        <v/>
      </c>
      <c r="N136" s="19" t="str">
        <f t="shared" si="44"/>
        <v/>
      </c>
      <c r="O136" s="19" t="str">
        <f t="shared" si="48"/>
        <v/>
      </c>
      <c r="P136" s="19" t="str">
        <f t="shared" si="49"/>
        <v/>
      </c>
      <c r="Q136" s="19" t="str">
        <f t="shared" si="50"/>
        <v/>
      </c>
      <c r="R136" s="19" t="str">
        <f t="shared" si="45"/>
        <v/>
      </c>
      <c r="S136" s="27" t="str">
        <f t="shared" si="53"/>
        <v/>
      </c>
      <c r="T136" s="28" t="str">
        <f t="shared" si="53"/>
        <v/>
      </c>
      <c r="U136" s="28" t="str">
        <f t="shared" si="53"/>
        <v/>
      </c>
      <c r="V136" s="28" t="str">
        <f t="shared" si="53"/>
        <v/>
      </c>
      <c r="W136" s="28" t="str">
        <f t="shared" si="53"/>
        <v/>
      </c>
      <c r="X136" s="29" t="str">
        <f t="shared" si="53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51"/>
        <v/>
      </c>
      <c r="M137" s="19" t="str">
        <f t="shared" si="47"/>
        <v/>
      </c>
      <c r="N137" s="19" t="str">
        <f t="shared" si="44"/>
        <v/>
      </c>
      <c r="O137" s="19" t="str">
        <f t="shared" si="48"/>
        <v/>
      </c>
      <c r="P137" s="19" t="str">
        <f t="shared" si="49"/>
        <v/>
      </c>
      <c r="Q137" s="19" t="str">
        <f t="shared" si="50"/>
        <v/>
      </c>
      <c r="R137" s="19" t="str">
        <f t="shared" si="45"/>
        <v/>
      </c>
      <c r="S137" s="27" t="str">
        <f t="shared" si="53"/>
        <v/>
      </c>
      <c r="T137" s="28" t="str">
        <f t="shared" si="53"/>
        <v/>
      </c>
      <c r="U137" s="28" t="str">
        <f t="shared" si="53"/>
        <v/>
      </c>
      <c r="V137" s="28" t="str">
        <f t="shared" si="53"/>
        <v/>
      </c>
      <c r="W137" s="28" t="str">
        <f t="shared" si="53"/>
        <v/>
      </c>
      <c r="X137" s="29" t="str">
        <f t="shared" si="53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51"/>
        <v/>
      </c>
      <c r="M138" s="19" t="str">
        <f t="shared" si="47"/>
        <v/>
      </c>
      <c r="N138" s="19" t="str">
        <f t="shared" si="44"/>
        <v/>
      </c>
      <c r="O138" s="19" t="str">
        <f t="shared" si="48"/>
        <v/>
      </c>
      <c r="P138" s="19" t="str">
        <f t="shared" si="49"/>
        <v/>
      </c>
      <c r="Q138" s="19" t="str">
        <f t="shared" si="50"/>
        <v/>
      </c>
      <c r="R138" s="19" t="str">
        <f t="shared" si="45"/>
        <v/>
      </c>
      <c r="S138" s="27" t="str">
        <f t="shared" si="53"/>
        <v/>
      </c>
      <c r="T138" s="28" t="str">
        <f t="shared" si="53"/>
        <v/>
      </c>
      <c r="U138" s="28" t="str">
        <f t="shared" si="53"/>
        <v/>
      </c>
      <c r="V138" s="28" t="str">
        <f t="shared" si="53"/>
        <v/>
      </c>
      <c r="W138" s="28" t="str">
        <f t="shared" si="53"/>
        <v/>
      </c>
      <c r="X138" s="29" t="str">
        <f t="shared" si="53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51"/>
        <v/>
      </c>
      <c r="M139" s="19" t="str">
        <f t="shared" si="47"/>
        <v/>
      </c>
      <c r="N139" s="19" t="str">
        <f t="shared" si="44"/>
        <v/>
      </c>
      <c r="O139" s="19" t="str">
        <f t="shared" si="48"/>
        <v/>
      </c>
      <c r="P139" s="19" t="str">
        <f t="shared" si="49"/>
        <v/>
      </c>
      <c r="Q139" s="19" t="str">
        <f t="shared" si="50"/>
        <v/>
      </c>
      <c r="R139" s="19" t="str">
        <f t="shared" si="45"/>
        <v/>
      </c>
      <c r="S139" s="27" t="str">
        <f t="shared" si="53"/>
        <v/>
      </c>
      <c r="T139" s="28" t="str">
        <f t="shared" si="53"/>
        <v/>
      </c>
      <c r="U139" s="28" t="str">
        <f t="shared" si="53"/>
        <v/>
      </c>
      <c r="V139" s="28" t="str">
        <f t="shared" si="53"/>
        <v/>
      </c>
      <c r="W139" s="28" t="str">
        <f t="shared" si="53"/>
        <v/>
      </c>
      <c r="X139" s="29" t="str">
        <f t="shared" si="53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51"/>
        <v/>
      </c>
      <c r="M140" s="19" t="str">
        <f t="shared" si="47"/>
        <v/>
      </c>
      <c r="N140" s="19" t="str">
        <f t="shared" si="44"/>
        <v/>
      </c>
      <c r="O140" s="19" t="str">
        <f t="shared" si="48"/>
        <v/>
      </c>
      <c r="P140" s="19" t="str">
        <f t="shared" si="49"/>
        <v/>
      </c>
      <c r="Q140" s="19" t="str">
        <f t="shared" si="50"/>
        <v/>
      </c>
      <c r="R140" s="19" t="str">
        <f t="shared" si="45"/>
        <v/>
      </c>
      <c r="S140" s="27" t="str">
        <f t="shared" si="53"/>
        <v/>
      </c>
      <c r="T140" s="28" t="str">
        <f t="shared" si="53"/>
        <v/>
      </c>
      <c r="U140" s="28" t="str">
        <f t="shared" si="53"/>
        <v/>
      </c>
      <c r="V140" s="28" t="str">
        <f t="shared" si="53"/>
        <v/>
      </c>
      <c r="W140" s="28" t="str">
        <f t="shared" si="53"/>
        <v/>
      </c>
      <c r="X140" s="29" t="str">
        <f t="shared" si="53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51"/>
        <v/>
      </c>
      <c r="M141" s="19" t="str">
        <f t="shared" si="47"/>
        <v/>
      </c>
      <c r="N141" s="19" t="str">
        <f t="shared" si="44"/>
        <v/>
      </c>
      <c r="O141" s="19" t="str">
        <f t="shared" si="48"/>
        <v/>
      </c>
      <c r="P141" s="19" t="str">
        <f t="shared" si="49"/>
        <v/>
      </c>
      <c r="Q141" s="19" t="str">
        <f t="shared" si="50"/>
        <v/>
      </c>
      <c r="R141" s="19" t="str">
        <f t="shared" si="45"/>
        <v/>
      </c>
      <c r="S141" s="27" t="str">
        <f t="shared" si="53"/>
        <v/>
      </c>
      <c r="T141" s="28" t="str">
        <f t="shared" si="53"/>
        <v/>
      </c>
      <c r="U141" s="28" t="str">
        <f t="shared" si="53"/>
        <v/>
      </c>
      <c r="V141" s="28" t="str">
        <f t="shared" si="53"/>
        <v/>
      </c>
      <c r="W141" s="28" t="str">
        <f t="shared" si="53"/>
        <v/>
      </c>
      <c r="X141" s="29" t="str">
        <f t="shared" si="53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51"/>
        <v/>
      </c>
      <c r="M142" s="19" t="str">
        <f t="shared" si="47"/>
        <v/>
      </c>
      <c r="N142" s="19" t="str">
        <f t="shared" si="44"/>
        <v/>
      </c>
      <c r="O142" s="19" t="str">
        <f t="shared" si="48"/>
        <v/>
      </c>
      <c r="P142" s="19" t="str">
        <f t="shared" si="49"/>
        <v/>
      </c>
      <c r="Q142" s="19" t="str">
        <f t="shared" si="50"/>
        <v/>
      </c>
      <c r="R142" s="19" t="str">
        <f t="shared" si="45"/>
        <v/>
      </c>
      <c r="S142" s="27" t="str">
        <f t="shared" si="53"/>
        <v/>
      </c>
      <c r="T142" s="28" t="str">
        <f t="shared" si="53"/>
        <v/>
      </c>
      <c r="U142" s="28" t="str">
        <f t="shared" si="53"/>
        <v/>
      </c>
      <c r="V142" s="28" t="str">
        <f t="shared" si="53"/>
        <v/>
      </c>
      <c r="W142" s="28" t="str">
        <f t="shared" si="53"/>
        <v/>
      </c>
      <c r="X142" s="29" t="str">
        <f t="shared" si="53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51"/>
        <v/>
      </c>
      <c r="M143" s="19" t="str">
        <f t="shared" si="47"/>
        <v/>
      </c>
      <c r="N143" s="19" t="str">
        <f t="shared" si="44"/>
        <v/>
      </c>
      <c r="O143" s="19" t="str">
        <f t="shared" si="48"/>
        <v/>
      </c>
      <c r="P143" s="19" t="str">
        <f t="shared" si="49"/>
        <v/>
      </c>
      <c r="Q143" s="19" t="str">
        <f t="shared" si="50"/>
        <v/>
      </c>
      <c r="R143" s="19" t="str">
        <f t="shared" si="45"/>
        <v/>
      </c>
      <c r="S143" s="27" t="str">
        <f t="shared" si="53"/>
        <v/>
      </c>
      <c r="T143" s="28" t="str">
        <f t="shared" si="53"/>
        <v/>
      </c>
      <c r="U143" s="28" t="str">
        <f t="shared" si="53"/>
        <v/>
      </c>
      <c r="V143" s="28" t="str">
        <f t="shared" si="53"/>
        <v/>
      </c>
      <c r="W143" s="28" t="str">
        <f t="shared" si="53"/>
        <v/>
      </c>
      <c r="X143" s="29" t="str">
        <f t="shared" si="53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51"/>
        <v/>
      </c>
      <c r="M144" s="19" t="str">
        <f t="shared" si="47"/>
        <v/>
      </c>
      <c r="N144" s="19" t="str">
        <f t="shared" si="44"/>
        <v/>
      </c>
      <c r="O144" s="19" t="str">
        <f t="shared" si="48"/>
        <v/>
      </c>
      <c r="P144" s="19" t="str">
        <f t="shared" si="49"/>
        <v/>
      </c>
      <c r="Q144" s="19" t="str">
        <f t="shared" si="50"/>
        <v/>
      </c>
      <c r="R144" s="19" t="str">
        <f t="shared" si="45"/>
        <v/>
      </c>
      <c r="S144" s="27" t="str">
        <f t="shared" si="53"/>
        <v/>
      </c>
      <c r="T144" s="28" t="str">
        <f t="shared" si="53"/>
        <v/>
      </c>
      <c r="U144" s="28" t="str">
        <f t="shared" si="53"/>
        <v/>
      </c>
      <c r="V144" s="28" t="str">
        <f t="shared" si="53"/>
        <v/>
      </c>
      <c r="W144" s="28" t="str">
        <f t="shared" si="53"/>
        <v/>
      </c>
      <c r="X144" s="29" t="str">
        <f t="shared" si="53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51"/>
        <v/>
      </c>
      <c r="M145" s="19" t="str">
        <f t="shared" si="47"/>
        <v/>
      </c>
      <c r="N145" s="19" t="str">
        <f t="shared" si="44"/>
        <v/>
      </c>
      <c r="O145" s="19" t="str">
        <f t="shared" si="48"/>
        <v/>
      </c>
      <c r="P145" s="19" t="str">
        <f t="shared" si="49"/>
        <v/>
      </c>
      <c r="Q145" s="19" t="str">
        <f t="shared" si="50"/>
        <v/>
      </c>
      <c r="R145" s="19" t="str">
        <f t="shared" si="45"/>
        <v/>
      </c>
      <c r="S145" s="27" t="str">
        <f t="shared" ref="S145:X153" si="54">IF(C145="","",((C145-C144)*1000)/($B145-$B144))</f>
        <v/>
      </c>
      <c r="T145" s="28" t="str">
        <f t="shared" si="54"/>
        <v/>
      </c>
      <c r="U145" s="28" t="str">
        <f t="shared" si="54"/>
        <v/>
      </c>
      <c r="V145" s="28" t="str">
        <f t="shared" si="54"/>
        <v/>
      </c>
      <c r="W145" s="28" t="str">
        <f t="shared" si="54"/>
        <v/>
      </c>
      <c r="X145" s="29" t="str">
        <f t="shared" si="5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51"/>
        <v/>
      </c>
      <c r="M146" s="19" t="str">
        <f t="shared" si="47"/>
        <v/>
      </c>
      <c r="N146" s="19" t="str">
        <f t="shared" ref="N146:N153" si="55">IF(ISBLANK(E146),"",(E146-E$17)*1000)</f>
        <v/>
      </c>
      <c r="O146" s="19" t="str">
        <f t="shared" si="48"/>
        <v/>
      </c>
      <c r="P146" s="19" t="str">
        <f t="shared" si="49"/>
        <v/>
      </c>
      <c r="Q146" s="19" t="str">
        <f t="shared" si="50"/>
        <v/>
      </c>
      <c r="R146" s="19" t="str">
        <f t="shared" ref="R146:R153" si="56">IF(ISBLANK(I146),"",(I146-I$17)*1000)</f>
        <v/>
      </c>
      <c r="S146" s="27" t="str">
        <f t="shared" si="54"/>
        <v/>
      </c>
      <c r="T146" s="28" t="str">
        <f t="shared" si="54"/>
        <v/>
      </c>
      <c r="U146" s="28" t="str">
        <f t="shared" si="54"/>
        <v/>
      </c>
      <c r="V146" s="28" t="str">
        <f t="shared" si="54"/>
        <v/>
      </c>
      <c r="W146" s="28" t="str">
        <f t="shared" si="54"/>
        <v/>
      </c>
      <c r="X146" s="29" t="str">
        <f t="shared" si="5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51"/>
        <v/>
      </c>
      <c r="M147" s="19" t="str">
        <f t="shared" si="47"/>
        <v/>
      </c>
      <c r="N147" s="19" t="str">
        <f t="shared" si="55"/>
        <v/>
      </c>
      <c r="O147" s="19" t="str">
        <f t="shared" si="48"/>
        <v/>
      </c>
      <c r="P147" s="19" t="str">
        <f t="shared" si="49"/>
        <v/>
      </c>
      <c r="Q147" s="19" t="str">
        <f t="shared" si="50"/>
        <v/>
      </c>
      <c r="R147" s="19" t="str">
        <f t="shared" si="56"/>
        <v/>
      </c>
      <c r="S147" s="27" t="str">
        <f t="shared" si="54"/>
        <v/>
      </c>
      <c r="T147" s="28" t="str">
        <f t="shared" si="54"/>
        <v/>
      </c>
      <c r="U147" s="28" t="str">
        <f t="shared" si="54"/>
        <v/>
      </c>
      <c r="V147" s="28" t="str">
        <f t="shared" si="54"/>
        <v/>
      </c>
      <c r="W147" s="28" t="str">
        <f t="shared" si="54"/>
        <v/>
      </c>
      <c r="X147" s="29" t="str">
        <f t="shared" si="5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51"/>
        <v/>
      </c>
      <c r="M148" s="19" t="str">
        <f t="shared" si="47"/>
        <v/>
      </c>
      <c r="N148" s="19" t="str">
        <f t="shared" si="55"/>
        <v/>
      </c>
      <c r="O148" s="19" t="str">
        <f t="shared" si="48"/>
        <v/>
      </c>
      <c r="P148" s="19" t="str">
        <f t="shared" si="49"/>
        <v/>
      </c>
      <c r="Q148" s="19" t="str">
        <f t="shared" si="50"/>
        <v/>
      </c>
      <c r="R148" s="19" t="str">
        <f t="shared" si="56"/>
        <v/>
      </c>
      <c r="S148" s="27" t="str">
        <f t="shared" si="54"/>
        <v/>
      </c>
      <c r="T148" s="28" t="str">
        <f t="shared" si="54"/>
        <v/>
      </c>
      <c r="U148" s="28" t="str">
        <f t="shared" si="54"/>
        <v/>
      </c>
      <c r="V148" s="28" t="str">
        <f t="shared" si="54"/>
        <v/>
      </c>
      <c r="W148" s="28" t="str">
        <f t="shared" si="54"/>
        <v/>
      </c>
      <c r="X148" s="29" t="str">
        <f t="shared" si="5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51"/>
        <v/>
      </c>
      <c r="M149" s="19" t="str">
        <f t="shared" si="47"/>
        <v/>
      </c>
      <c r="N149" s="19" t="str">
        <f t="shared" si="55"/>
        <v/>
      </c>
      <c r="O149" s="19" t="str">
        <f t="shared" si="48"/>
        <v/>
      </c>
      <c r="P149" s="19" t="str">
        <f t="shared" si="49"/>
        <v/>
      </c>
      <c r="Q149" s="19" t="str">
        <f t="shared" si="50"/>
        <v/>
      </c>
      <c r="R149" s="19" t="str">
        <f t="shared" si="56"/>
        <v/>
      </c>
      <c r="S149" s="27" t="str">
        <f t="shared" si="54"/>
        <v/>
      </c>
      <c r="T149" s="28" t="str">
        <f t="shared" si="54"/>
        <v/>
      </c>
      <c r="U149" s="28" t="str">
        <f t="shared" si="54"/>
        <v/>
      </c>
      <c r="V149" s="28" t="str">
        <f t="shared" si="54"/>
        <v/>
      </c>
      <c r="W149" s="28" t="str">
        <f t="shared" si="54"/>
        <v/>
      </c>
      <c r="X149" s="29" t="str">
        <f t="shared" si="5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51"/>
        <v/>
      </c>
      <c r="M150" s="19" t="str">
        <f t="shared" si="47"/>
        <v/>
      </c>
      <c r="N150" s="19" t="str">
        <f t="shared" si="55"/>
        <v/>
      </c>
      <c r="O150" s="19" t="str">
        <f t="shared" si="48"/>
        <v/>
      </c>
      <c r="P150" s="19" t="str">
        <f t="shared" si="49"/>
        <v/>
      </c>
      <c r="Q150" s="19" t="str">
        <f t="shared" si="50"/>
        <v/>
      </c>
      <c r="R150" s="19" t="str">
        <f t="shared" si="56"/>
        <v/>
      </c>
      <c r="S150" s="27" t="str">
        <f t="shared" si="54"/>
        <v/>
      </c>
      <c r="T150" s="28" t="str">
        <f t="shared" si="54"/>
        <v/>
      </c>
      <c r="U150" s="28" t="str">
        <f t="shared" si="54"/>
        <v/>
      </c>
      <c r="V150" s="28" t="str">
        <f t="shared" si="54"/>
        <v/>
      </c>
      <c r="W150" s="28" t="str">
        <f t="shared" si="54"/>
        <v/>
      </c>
      <c r="X150" s="29" t="str">
        <f t="shared" si="5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51"/>
        <v/>
      </c>
      <c r="M151" s="19" t="str">
        <f t="shared" si="47"/>
        <v/>
      </c>
      <c r="N151" s="19" t="str">
        <f t="shared" si="55"/>
        <v/>
      </c>
      <c r="O151" s="19" t="str">
        <f t="shared" si="48"/>
        <v/>
      </c>
      <c r="P151" s="19" t="str">
        <f t="shared" si="49"/>
        <v/>
      </c>
      <c r="Q151" s="19" t="str">
        <f t="shared" si="50"/>
        <v/>
      </c>
      <c r="R151" s="19" t="str">
        <f t="shared" si="56"/>
        <v/>
      </c>
      <c r="S151" s="27" t="str">
        <f t="shared" si="54"/>
        <v/>
      </c>
      <c r="T151" s="28" t="str">
        <f t="shared" si="54"/>
        <v/>
      </c>
      <c r="U151" s="28" t="str">
        <f t="shared" si="54"/>
        <v/>
      </c>
      <c r="V151" s="28" t="str">
        <f t="shared" si="54"/>
        <v/>
      </c>
      <c r="W151" s="28" t="str">
        <f t="shared" si="54"/>
        <v/>
      </c>
      <c r="X151" s="29" t="str">
        <f t="shared" si="5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51"/>
        <v/>
      </c>
      <c r="M152" s="19" t="str">
        <f t="shared" si="47"/>
        <v/>
      </c>
      <c r="N152" s="19" t="str">
        <f t="shared" si="55"/>
        <v/>
      </c>
      <c r="O152" s="19" t="str">
        <f t="shared" si="48"/>
        <v/>
      </c>
      <c r="P152" s="19" t="str">
        <f t="shared" si="49"/>
        <v/>
      </c>
      <c r="Q152" s="19" t="str">
        <f t="shared" si="50"/>
        <v/>
      </c>
      <c r="R152" s="19" t="str">
        <f t="shared" si="56"/>
        <v/>
      </c>
      <c r="S152" s="27" t="str">
        <f t="shared" si="54"/>
        <v/>
      </c>
      <c r="T152" s="28" t="str">
        <f t="shared" si="54"/>
        <v/>
      </c>
      <c r="U152" s="28" t="str">
        <f t="shared" si="54"/>
        <v/>
      </c>
      <c r="V152" s="28" t="str">
        <f t="shared" si="54"/>
        <v/>
      </c>
      <c r="W152" s="28" t="str">
        <f t="shared" si="54"/>
        <v/>
      </c>
      <c r="X152" s="29" t="str">
        <f t="shared" si="5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51"/>
        <v/>
      </c>
      <c r="M153" s="19" t="str">
        <f t="shared" si="47"/>
        <v/>
      </c>
      <c r="N153" s="19" t="str">
        <f t="shared" si="55"/>
        <v/>
      </c>
      <c r="O153" s="19" t="str">
        <f t="shared" si="48"/>
        <v/>
      </c>
      <c r="P153" s="19" t="str">
        <f t="shared" si="49"/>
        <v/>
      </c>
      <c r="Q153" s="19" t="str">
        <f t="shared" si="50"/>
        <v/>
      </c>
      <c r="R153" s="19" t="str">
        <f t="shared" si="56"/>
        <v/>
      </c>
      <c r="S153" s="27" t="str">
        <f t="shared" si="54"/>
        <v/>
      </c>
      <c r="T153" s="28" t="str">
        <f t="shared" si="54"/>
        <v/>
      </c>
      <c r="U153" s="28" t="str">
        <f t="shared" si="54"/>
        <v/>
      </c>
      <c r="V153" s="28" t="str">
        <f t="shared" si="54"/>
        <v/>
      </c>
      <c r="W153" s="28" t="str">
        <f t="shared" si="54"/>
        <v/>
      </c>
      <c r="X153" s="29" t="str">
        <f t="shared" si="5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  <ignoredErrors>
    <ignoredError sqref="M17:N17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17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24" activePane="bottomLeft" state="frozen"/>
      <selection activeCell="I28" sqref="I28"/>
      <selection pane="bottomLeft" activeCell="I28" sqref="I28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TZ-115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71" t="s">
        <v>58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42391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7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42396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 t="s">
        <v>59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2189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2447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60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4">
        <v>42397</v>
      </c>
      <c r="C16" s="35">
        <v>12.555</v>
      </c>
      <c r="D16" s="36">
        <v>8.0709999999999997</v>
      </c>
      <c r="E16" s="36">
        <v>7.5350000000000001</v>
      </c>
      <c r="F16" s="37"/>
      <c r="G16" s="37"/>
      <c r="H16" s="37"/>
      <c r="I16" s="38">
        <v>116.069</v>
      </c>
      <c r="J16" s="39">
        <v>2462</v>
      </c>
      <c r="K16" s="18">
        <f t="shared" ref="K16:K19" si="0">IF(ISBLANK(J16),"",(J16-$J$8))</f>
        <v>15</v>
      </c>
      <c r="L16" s="19">
        <f t="shared" ref="L16:R31" si="1">IF(ISBLANK(C16),"",(C16-C$16)*1000)</f>
        <v>0</v>
      </c>
      <c r="M16" s="19">
        <f t="shared" si="1"/>
        <v>0</v>
      </c>
      <c r="N16" s="19">
        <f t="shared" si="1"/>
        <v>0</v>
      </c>
      <c r="O16" s="20"/>
      <c r="P16" s="20"/>
      <c r="Q16" s="20"/>
      <c r="R16" s="21">
        <f t="shared" ref="R16" si="2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42398</v>
      </c>
      <c r="C17" s="25">
        <v>12.553000000000001</v>
      </c>
      <c r="D17" s="26">
        <v>8.07</v>
      </c>
      <c r="E17" s="26">
        <v>7.5339999999999998</v>
      </c>
      <c r="F17" s="16"/>
      <c r="G17" s="16"/>
      <c r="H17" s="16"/>
      <c r="I17" s="17">
        <v>116.06699999999999</v>
      </c>
      <c r="J17" s="32">
        <v>2466</v>
      </c>
      <c r="K17" s="18">
        <f t="shared" si="0"/>
        <v>19</v>
      </c>
      <c r="L17" s="19">
        <f t="shared" si="1"/>
        <v>-1.9999999999988916</v>
      </c>
      <c r="M17" s="19">
        <f>IF(ISBLANK(D17),"",(D17-D$16)*1000)</f>
        <v>-0.99999999999944578</v>
      </c>
      <c r="N17" s="19">
        <f>IF(ISBLANK(E17),"",(E17-E$16)*1000)</f>
        <v>-1.000000000000334</v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>
        <f>IF(ISBLANK(I17),"",(I17-I$16)*1000)</f>
        <v>-2.0000000000095497</v>
      </c>
      <c r="S17" s="27">
        <f t="shared" ref="S17:X32" si="3">IF(C17="","",((C17-C16)*1000)/($B17-$B16))</f>
        <v>-1.9999999999988916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42401</v>
      </c>
      <c r="C18" s="25">
        <v>12.554</v>
      </c>
      <c r="D18" s="26">
        <v>8.07</v>
      </c>
      <c r="E18" s="26">
        <v>7.5339999999999998</v>
      </c>
      <c r="F18" s="16"/>
      <c r="G18" s="16"/>
      <c r="H18" s="16"/>
      <c r="I18" s="17">
        <v>116.06699999999999</v>
      </c>
      <c r="J18" s="58">
        <v>2471</v>
      </c>
      <c r="K18" s="18">
        <f t="shared" si="0"/>
        <v>24</v>
      </c>
      <c r="L18" s="19">
        <f t="shared" si="1"/>
        <v>-0.99999999999944578</v>
      </c>
      <c r="M18" s="19">
        <f t="shared" si="1"/>
        <v>-0.99999999999944578</v>
      </c>
      <c r="N18" s="19">
        <f t="shared" si="1"/>
        <v>-1.000000000000334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 t="shared" si="1"/>
        <v>-2.0000000000095497</v>
      </c>
      <c r="S18" s="27">
        <f t="shared" si="3"/>
        <v>0.33333333333314857</v>
      </c>
      <c r="T18" s="28">
        <f t="shared" si="3"/>
        <v>0</v>
      </c>
      <c r="U18" s="28">
        <f t="shared" si="3"/>
        <v>0</v>
      </c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42402</v>
      </c>
      <c r="C19" s="25">
        <v>12.554</v>
      </c>
      <c r="D19" s="26">
        <v>8.07</v>
      </c>
      <c r="E19" s="26">
        <v>7.5339999999999998</v>
      </c>
      <c r="F19" s="16"/>
      <c r="G19" s="16"/>
      <c r="H19" s="16"/>
      <c r="I19" s="17">
        <v>116.06699999999999</v>
      </c>
      <c r="J19" s="58">
        <v>2474</v>
      </c>
      <c r="K19" s="18">
        <f t="shared" si="0"/>
        <v>27</v>
      </c>
      <c r="L19" s="19">
        <f t="shared" si="1"/>
        <v>-0.99999999999944578</v>
      </c>
      <c r="M19" s="19">
        <f t="shared" si="1"/>
        <v>-0.99999999999944578</v>
      </c>
      <c r="N19" s="19">
        <f t="shared" si="1"/>
        <v>-1.000000000000334</v>
      </c>
      <c r="O19" s="19" t="str">
        <f t="shared" si="1"/>
        <v/>
      </c>
      <c r="P19" s="19" t="str">
        <f t="shared" si="1"/>
        <v/>
      </c>
      <c r="Q19" s="19" t="str">
        <f t="shared" si="1"/>
        <v/>
      </c>
      <c r="R19" s="19">
        <f t="shared" si="1"/>
        <v>-2.0000000000095497</v>
      </c>
      <c r="S19" s="27">
        <f t="shared" si="3"/>
        <v>0</v>
      </c>
      <c r="T19" s="28">
        <f t="shared" si="3"/>
        <v>0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42403</v>
      </c>
      <c r="C20" s="25">
        <v>12.553000000000001</v>
      </c>
      <c r="D20" s="26">
        <v>8.0690000000000008</v>
      </c>
      <c r="E20" s="26">
        <v>7.5339999999999998</v>
      </c>
      <c r="F20" s="16"/>
      <c r="G20" s="16"/>
      <c r="H20" s="16"/>
      <c r="I20" s="17">
        <v>116.066</v>
      </c>
      <c r="J20" s="58">
        <v>2479</v>
      </c>
      <c r="K20" s="18">
        <f t="shared" ref="K20" si="4">IF(ISBLANK(J20),"",(J20-$J$8))</f>
        <v>32</v>
      </c>
      <c r="L20" s="19">
        <f t="shared" si="1"/>
        <v>-1.9999999999988916</v>
      </c>
      <c r="M20" s="19">
        <f t="shared" si="1"/>
        <v>-1.9999999999988916</v>
      </c>
      <c r="N20" s="19">
        <f t="shared" si="1"/>
        <v>-1.000000000000334</v>
      </c>
      <c r="O20" s="19" t="str">
        <f t="shared" si="1"/>
        <v/>
      </c>
      <c r="P20" s="19" t="str">
        <f t="shared" si="1"/>
        <v/>
      </c>
      <c r="Q20" s="19" t="str">
        <f t="shared" si="1"/>
        <v/>
      </c>
      <c r="R20" s="19">
        <f t="shared" si="1"/>
        <v>-3.0000000000001137</v>
      </c>
      <c r="S20" s="27">
        <f t="shared" si="3"/>
        <v>-0.99999999999944578</v>
      </c>
      <c r="T20" s="28">
        <f t="shared" si="3"/>
        <v>-0.99999999999944578</v>
      </c>
      <c r="U20" s="28">
        <f t="shared" si="3"/>
        <v>0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42404</v>
      </c>
      <c r="C21" s="25">
        <v>12.553000000000001</v>
      </c>
      <c r="D21" s="26">
        <v>8.0690000000000008</v>
      </c>
      <c r="E21" s="26">
        <v>7.5339999999999998</v>
      </c>
      <c r="F21" s="16"/>
      <c r="G21" s="16"/>
      <c r="H21" s="16"/>
      <c r="I21" s="17">
        <v>116.066</v>
      </c>
      <c r="J21" s="58">
        <v>2484</v>
      </c>
      <c r="K21" s="18">
        <f t="shared" ref="K21" si="5">IF(ISBLANK(J21),"",(J21-$J$8))</f>
        <v>37</v>
      </c>
      <c r="L21" s="19">
        <f t="shared" si="1"/>
        <v>-1.9999999999988916</v>
      </c>
      <c r="M21" s="19">
        <f t="shared" si="1"/>
        <v>-1.9999999999988916</v>
      </c>
      <c r="N21" s="19">
        <f t="shared" si="1"/>
        <v>-1.000000000000334</v>
      </c>
      <c r="O21" s="19" t="str">
        <f t="shared" si="1"/>
        <v/>
      </c>
      <c r="P21" s="19" t="str">
        <f t="shared" si="1"/>
        <v/>
      </c>
      <c r="Q21" s="19" t="str">
        <f t="shared" si="1"/>
        <v/>
      </c>
      <c r="R21" s="19">
        <f t="shared" si="1"/>
        <v>-3.0000000000001137</v>
      </c>
      <c r="S21" s="27">
        <f t="shared" si="3"/>
        <v>0</v>
      </c>
      <c r="T21" s="28">
        <f t="shared" si="3"/>
        <v>0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42405</v>
      </c>
      <c r="C22" s="25">
        <v>12.553000000000001</v>
      </c>
      <c r="D22" s="26">
        <v>8.0690000000000008</v>
      </c>
      <c r="E22" s="26">
        <v>7.5330000000000004</v>
      </c>
      <c r="F22" s="16"/>
      <c r="G22" s="16"/>
      <c r="H22" s="16"/>
      <c r="I22" s="17">
        <v>116.065</v>
      </c>
      <c r="J22" s="58">
        <v>2488</v>
      </c>
      <c r="K22" s="18">
        <f t="shared" ref="K22" si="6">IF(ISBLANK(J22),"",(J22-$J$8))</f>
        <v>41</v>
      </c>
      <c r="L22" s="19">
        <f t="shared" si="1"/>
        <v>-1.9999999999988916</v>
      </c>
      <c r="M22" s="19">
        <f t="shared" si="1"/>
        <v>-1.9999999999988916</v>
      </c>
      <c r="N22" s="19">
        <f t="shared" si="1"/>
        <v>-1.9999999999997797</v>
      </c>
      <c r="O22" s="19" t="str">
        <f t="shared" si="1"/>
        <v/>
      </c>
      <c r="P22" s="19" t="str">
        <f t="shared" si="1"/>
        <v/>
      </c>
      <c r="Q22" s="19" t="str">
        <f t="shared" si="1"/>
        <v/>
      </c>
      <c r="R22" s="19">
        <f t="shared" si="1"/>
        <v>-4.0000000000048885</v>
      </c>
      <c r="S22" s="27">
        <f t="shared" si="3"/>
        <v>0</v>
      </c>
      <c r="T22" s="28">
        <f t="shared" si="3"/>
        <v>0</v>
      </c>
      <c r="U22" s="28">
        <f t="shared" si="3"/>
        <v>-0.99999999999944578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42408</v>
      </c>
      <c r="C23" s="25">
        <v>12.552</v>
      </c>
      <c r="D23" s="26">
        <v>8.0679999999999996</v>
      </c>
      <c r="E23" s="26">
        <v>7.5339999999999998</v>
      </c>
      <c r="F23" s="16"/>
      <c r="G23" s="16"/>
      <c r="H23" s="16"/>
      <c r="I23" s="17">
        <v>116.066</v>
      </c>
      <c r="J23" s="58">
        <v>2493</v>
      </c>
      <c r="K23" s="18">
        <f t="shared" ref="K23" si="7">IF(ISBLANK(J23),"",(J23-$J$8))</f>
        <v>46</v>
      </c>
      <c r="L23" s="19">
        <f t="shared" si="1"/>
        <v>-3.0000000000001137</v>
      </c>
      <c r="M23" s="19">
        <f t="shared" si="1"/>
        <v>-3.0000000000001137</v>
      </c>
      <c r="N23" s="19">
        <f t="shared" si="1"/>
        <v>-1.000000000000334</v>
      </c>
      <c r="O23" s="19" t="str">
        <f t="shared" si="1"/>
        <v/>
      </c>
      <c r="P23" s="19" t="str">
        <f t="shared" si="1"/>
        <v/>
      </c>
      <c r="Q23" s="19" t="str">
        <f t="shared" si="1"/>
        <v/>
      </c>
      <c r="R23" s="19">
        <f t="shared" si="1"/>
        <v>-3.0000000000001137</v>
      </c>
      <c r="S23" s="27">
        <f t="shared" si="3"/>
        <v>-0.33333333333374071</v>
      </c>
      <c r="T23" s="28">
        <f t="shared" si="3"/>
        <v>-0.33333333333374071</v>
      </c>
      <c r="U23" s="28">
        <f t="shared" si="3"/>
        <v>0.33333333333314857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42409</v>
      </c>
      <c r="C24" s="25">
        <v>12.552</v>
      </c>
      <c r="D24" s="26">
        <v>8.0690000000000008</v>
      </c>
      <c r="E24" s="26">
        <v>7.5339999999999998</v>
      </c>
      <c r="F24" s="16"/>
      <c r="G24" s="16"/>
      <c r="H24" s="16"/>
      <c r="I24" s="17">
        <v>116.066</v>
      </c>
      <c r="J24" s="58">
        <v>2496</v>
      </c>
      <c r="K24" s="18">
        <f t="shared" ref="K24" si="8">IF(ISBLANK(J24),"",(J24-$J$8))</f>
        <v>49</v>
      </c>
      <c r="L24" s="19">
        <f t="shared" si="1"/>
        <v>-3.0000000000001137</v>
      </c>
      <c r="M24" s="19">
        <f t="shared" si="1"/>
        <v>-1.9999999999988916</v>
      </c>
      <c r="N24" s="19">
        <f t="shared" si="1"/>
        <v>-1.000000000000334</v>
      </c>
      <c r="O24" s="19" t="str">
        <f t="shared" si="1"/>
        <v/>
      </c>
      <c r="P24" s="19" t="str">
        <f t="shared" si="1"/>
        <v/>
      </c>
      <c r="Q24" s="19" t="str">
        <f t="shared" si="1"/>
        <v/>
      </c>
      <c r="R24" s="19">
        <f t="shared" si="1"/>
        <v>-3.0000000000001137</v>
      </c>
      <c r="S24" s="27">
        <f t="shared" si="3"/>
        <v>0</v>
      </c>
      <c r="T24" s="28">
        <f t="shared" si="3"/>
        <v>1.0000000000012221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42410</v>
      </c>
      <c r="C25" s="25">
        <v>12.553000000000001</v>
      </c>
      <c r="D25" s="26">
        <v>8.0690000000000008</v>
      </c>
      <c r="E25" s="26">
        <v>7.5339999999999998</v>
      </c>
      <c r="F25" s="16"/>
      <c r="G25" s="16"/>
      <c r="H25" s="16"/>
      <c r="I25" s="17">
        <v>116.06699999999999</v>
      </c>
      <c r="J25" s="58">
        <v>2500</v>
      </c>
      <c r="K25" s="18">
        <f t="shared" ref="K25" si="9">IF(ISBLANK(J25),"",(J25-$J$8))</f>
        <v>53</v>
      </c>
      <c r="L25" s="19">
        <f t="shared" si="1"/>
        <v>-1.9999999999988916</v>
      </c>
      <c r="M25" s="19">
        <f t="shared" si="1"/>
        <v>-1.9999999999988916</v>
      </c>
      <c r="N25" s="19">
        <f t="shared" si="1"/>
        <v>-1.000000000000334</v>
      </c>
      <c r="O25" s="19" t="str">
        <f t="shared" si="1"/>
        <v/>
      </c>
      <c r="P25" s="19" t="str">
        <f t="shared" si="1"/>
        <v/>
      </c>
      <c r="Q25" s="19" t="str">
        <f t="shared" si="1"/>
        <v/>
      </c>
      <c r="R25" s="19">
        <f t="shared" si="1"/>
        <v>-2.0000000000095497</v>
      </c>
      <c r="S25" s="27">
        <f t="shared" si="3"/>
        <v>1.0000000000012221</v>
      </c>
      <c r="T25" s="28">
        <f t="shared" si="3"/>
        <v>0</v>
      </c>
      <c r="U25" s="28">
        <f t="shared" si="3"/>
        <v>0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42411</v>
      </c>
      <c r="C26" s="25">
        <v>12.552</v>
      </c>
      <c r="D26" s="26">
        <v>8.0690000000000008</v>
      </c>
      <c r="E26" s="26">
        <v>7.5339999999999998</v>
      </c>
      <c r="F26" s="16"/>
      <c r="G26" s="16"/>
      <c r="H26" s="16"/>
      <c r="I26" s="17">
        <v>116.066</v>
      </c>
      <c r="J26" s="58">
        <v>2504</v>
      </c>
      <c r="K26" s="18">
        <f t="shared" ref="K26:K31" si="10">IF(ISBLANK(J26),"",(J26-$J$8))</f>
        <v>57</v>
      </c>
      <c r="L26" s="19">
        <f t="shared" si="1"/>
        <v>-3.0000000000001137</v>
      </c>
      <c r="M26" s="19">
        <f t="shared" si="1"/>
        <v>-1.9999999999988916</v>
      </c>
      <c r="N26" s="19">
        <f t="shared" si="1"/>
        <v>-1.000000000000334</v>
      </c>
      <c r="O26" s="19" t="str">
        <f t="shared" si="1"/>
        <v/>
      </c>
      <c r="P26" s="19" t="str">
        <f t="shared" si="1"/>
        <v/>
      </c>
      <c r="Q26" s="19" t="str">
        <f t="shared" si="1"/>
        <v/>
      </c>
      <c r="R26" s="19">
        <f t="shared" si="1"/>
        <v>-3.0000000000001137</v>
      </c>
      <c r="S26" s="27">
        <f t="shared" si="3"/>
        <v>-1.0000000000012221</v>
      </c>
      <c r="T26" s="28">
        <f t="shared" si="3"/>
        <v>0</v>
      </c>
      <c r="U26" s="28">
        <f t="shared" si="3"/>
        <v>0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42417</v>
      </c>
      <c r="C27" s="25">
        <v>12.553000000000001</v>
      </c>
      <c r="D27" s="26">
        <v>8.0690000000000008</v>
      </c>
      <c r="E27" s="26">
        <v>7.5339999999999998</v>
      </c>
      <c r="F27" s="16"/>
      <c r="G27" s="16"/>
      <c r="H27" s="16"/>
      <c r="I27" s="17">
        <v>116.066</v>
      </c>
      <c r="J27" s="58">
        <v>2521</v>
      </c>
      <c r="K27" s="18">
        <f t="shared" si="10"/>
        <v>74</v>
      </c>
      <c r="L27" s="19">
        <f t="shared" si="1"/>
        <v>-1.9999999999988916</v>
      </c>
      <c r="M27" s="19">
        <f t="shared" si="1"/>
        <v>-1.9999999999988916</v>
      </c>
      <c r="N27" s="19">
        <f t="shared" si="1"/>
        <v>-1.000000000000334</v>
      </c>
      <c r="O27" s="19" t="str">
        <f t="shared" si="1"/>
        <v/>
      </c>
      <c r="P27" s="19" t="str">
        <f t="shared" si="1"/>
        <v/>
      </c>
      <c r="Q27" s="19" t="str">
        <f t="shared" si="1"/>
        <v/>
      </c>
      <c r="R27" s="19">
        <f t="shared" si="1"/>
        <v>-3.0000000000001137</v>
      </c>
      <c r="S27" s="27">
        <f t="shared" si="3"/>
        <v>0.16666666666687036</v>
      </c>
      <c r="T27" s="28">
        <f t="shared" si="3"/>
        <v>0</v>
      </c>
      <c r="U27" s="28">
        <f t="shared" si="3"/>
        <v>0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42424</v>
      </c>
      <c r="C28" s="25">
        <v>12.552</v>
      </c>
      <c r="D28" s="26">
        <v>8.0679999999999996</v>
      </c>
      <c r="E28" s="26">
        <v>7.5330000000000004</v>
      </c>
      <c r="F28" s="16"/>
      <c r="G28" s="16"/>
      <c r="H28" s="16"/>
      <c r="I28" s="17">
        <v>116.065</v>
      </c>
      <c r="J28" s="58">
        <v>2540.5</v>
      </c>
      <c r="K28" s="18">
        <f t="shared" si="10"/>
        <v>93.5</v>
      </c>
      <c r="L28" s="19">
        <f t="shared" si="1"/>
        <v>-3.0000000000001137</v>
      </c>
      <c r="M28" s="19">
        <f t="shared" si="1"/>
        <v>-3.0000000000001137</v>
      </c>
      <c r="N28" s="19">
        <f t="shared" si="1"/>
        <v>-1.9999999999997797</v>
      </c>
      <c r="O28" s="19" t="str">
        <f t="shared" si="1"/>
        <v/>
      </c>
      <c r="P28" s="19" t="str">
        <f t="shared" si="1"/>
        <v/>
      </c>
      <c r="Q28" s="19" t="str">
        <f t="shared" si="1"/>
        <v/>
      </c>
      <c r="R28" s="19">
        <f t="shared" si="1"/>
        <v>-4.0000000000048885</v>
      </c>
      <c r="S28" s="27">
        <f t="shared" si="3"/>
        <v>-0.14285714285731746</v>
      </c>
      <c r="T28" s="28">
        <f t="shared" si="3"/>
        <v>-0.14285714285731746</v>
      </c>
      <c r="U28" s="28">
        <f t="shared" si="3"/>
        <v>-0.14285714285706369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42430</v>
      </c>
      <c r="C29" s="25">
        <v>12.552</v>
      </c>
      <c r="D29" s="26">
        <v>8.0679999999999996</v>
      </c>
      <c r="E29" s="26">
        <v>7.5339999999999998</v>
      </c>
      <c r="F29" s="16"/>
      <c r="G29" s="16"/>
      <c r="H29" s="16"/>
      <c r="I29" s="17">
        <v>116.065</v>
      </c>
      <c r="J29" s="58">
        <v>2540.5</v>
      </c>
      <c r="K29" s="18">
        <f t="shared" si="10"/>
        <v>93.5</v>
      </c>
      <c r="L29" s="19">
        <f t="shared" si="1"/>
        <v>-3.0000000000001137</v>
      </c>
      <c r="M29" s="19">
        <f t="shared" si="1"/>
        <v>-3.0000000000001137</v>
      </c>
      <c r="N29" s="19">
        <f t="shared" si="1"/>
        <v>-1.000000000000334</v>
      </c>
      <c r="O29" s="19" t="str">
        <f t="shared" si="1"/>
        <v/>
      </c>
      <c r="P29" s="19" t="str">
        <f t="shared" si="1"/>
        <v/>
      </c>
      <c r="Q29" s="19" t="str">
        <f t="shared" si="1"/>
        <v/>
      </c>
      <c r="R29" s="19">
        <f t="shared" si="1"/>
        <v>-4.0000000000048885</v>
      </c>
      <c r="S29" s="27">
        <f t="shared" si="3"/>
        <v>0</v>
      </c>
      <c r="T29" s="28">
        <f t="shared" si="3"/>
        <v>0</v>
      </c>
      <c r="U29" s="28">
        <f t="shared" si="3"/>
        <v>0.16666666666657429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42458</v>
      </c>
      <c r="C30" s="25">
        <v>12.55</v>
      </c>
      <c r="D30" s="71">
        <v>8.0679999999999996</v>
      </c>
      <c r="E30" s="71">
        <v>7.532</v>
      </c>
      <c r="F30" s="16"/>
      <c r="G30" s="16"/>
      <c r="H30" s="16"/>
      <c r="I30" s="72">
        <v>116.065</v>
      </c>
      <c r="J30" s="58">
        <v>2571</v>
      </c>
      <c r="K30" s="18">
        <f t="shared" si="10"/>
        <v>124</v>
      </c>
      <c r="L30" s="19">
        <f t="shared" si="1"/>
        <v>-4.9999999999990052</v>
      </c>
      <c r="M30" s="19">
        <f t="shared" si="1"/>
        <v>-3.0000000000001137</v>
      </c>
      <c r="N30" s="19">
        <f t="shared" si="1"/>
        <v>-3.0000000000001137</v>
      </c>
      <c r="O30" s="19" t="str">
        <f t="shared" si="1"/>
        <v/>
      </c>
      <c r="P30" s="19" t="str">
        <f t="shared" si="1"/>
        <v/>
      </c>
      <c r="Q30" s="19" t="str">
        <f t="shared" si="1"/>
        <v/>
      </c>
      <c r="R30" s="19">
        <f t="shared" si="1"/>
        <v>-4.0000000000048885</v>
      </c>
      <c r="S30" s="27">
        <f t="shared" si="3"/>
        <v>-7.1428571428531845E-2</v>
      </c>
      <c r="T30" s="28">
        <f t="shared" si="3"/>
        <v>0</v>
      </c>
      <c r="U30" s="28">
        <f t="shared" si="3"/>
        <v>-7.1428571428563556E-2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 t="s">
        <v>63</v>
      </c>
    </row>
    <row r="31" spans="2:25" ht="15" customHeight="1" x14ac:dyDescent="0.2">
      <c r="B31" s="31">
        <v>42506</v>
      </c>
      <c r="C31" s="73">
        <v>12.55</v>
      </c>
      <c r="D31" s="71">
        <v>8.0679999999999996</v>
      </c>
      <c r="E31" s="26">
        <v>7.532</v>
      </c>
      <c r="F31" s="16"/>
      <c r="G31" s="16"/>
      <c r="H31" s="16"/>
      <c r="I31" s="57">
        <v>116.06100000000001</v>
      </c>
      <c r="J31" s="58">
        <v>2450</v>
      </c>
      <c r="K31" s="18">
        <f t="shared" si="10"/>
        <v>3</v>
      </c>
      <c r="L31" s="19">
        <f t="shared" si="1"/>
        <v>-4.9999999999990052</v>
      </c>
      <c r="M31" s="19">
        <f t="shared" si="1"/>
        <v>-3.0000000000001137</v>
      </c>
      <c r="N31" s="19">
        <f t="shared" si="1"/>
        <v>-3.0000000000001137</v>
      </c>
      <c r="O31" s="19" t="str">
        <f t="shared" si="1"/>
        <v/>
      </c>
      <c r="P31" s="19" t="str">
        <f t="shared" si="1"/>
        <v/>
      </c>
      <c r="Q31" s="19" t="str">
        <f t="shared" si="1"/>
        <v/>
      </c>
      <c r="R31" s="19">
        <f t="shared" si="1"/>
        <v>-7.9999999999955662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42507</v>
      </c>
      <c r="C32" s="73">
        <v>12.55</v>
      </c>
      <c r="D32" s="71">
        <v>8.0679999999999996</v>
      </c>
      <c r="E32" s="71">
        <v>7.532</v>
      </c>
      <c r="F32" s="16"/>
      <c r="G32" s="16"/>
      <c r="H32" s="16"/>
      <c r="I32" s="57">
        <v>116.06100000000001</v>
      </c>
      <c r="J32" s="58">
        <v>2467</v>
      </c>
      <c r="K32" s="18">
        <f t="shared" ref="K32:K35" si="11">IF(ISBLANK(J32),"",(J32-$J$8))</f>
        <v>20</v>
      </c>
      <c r="L32" s="19">
        <f t="shared" ref="L32:R68" si="12">IF(ISBLANK(C32),"",(C32-C$16)*1000)</f>
        <v>-4.9999999999990052</v>
      </c>
      <c r="M32" s="19">
        <f t="shared" si="12"/>
        <v>-3.0000000000001137</v>
      </c>
      <c r="N32" s="19">
        <f t="shared" si="12"/>
        <v>-3.0000000000001137</v>
      </c>
      <c r="O32" s="19" t="str">
        <f t="shared" si="12"/>
        <v/>
      </c>
      <c r="P32" s="19" t="str">
        <f t="shared" si="12"/>
        <v/>
      </c>
      <c r="Q32" s="19" t="str">
        <f t="shared" si="12"/>
        <v/>
      </c>
      <c r="R32" s="19">
        <f t="shared" si="12"/>
        <v>-7.9999999999955662</v>
      </c>
      <c r="S32" s="27">
        <f t="shared" si="3"/>
        <v>0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42508</v>
      </c>
      <c r="C33" s="73">
        <v>12.55</v>
      </c>
      <c r="D33" s="71">
        <v>8.0679999999999996</v>
      </c>
      <c r="E33" s="71">
        <v>7.532</v>
      </c>
      <c r="F33" s="16"/>
      <c r="G33" s="16"/>
      <c r="H33" s="16"/>
      <c r="I33" s="79">
        <v>116.06100000000001</v>
      </c>
      <c r="J33" s="58">
        <v>2467</v>
      </c>
      <c r="K33" s="18">
        <f t="shared" si="11"/>
        <v>20</v>
      </c>
      <c r="L33" s="19">
        <f t="shared" si="12"/>
        <v>-4.9999999999990052</v>
      </c>
      <c r="M33" s="19">
        <f t="shared" si="12"/>
        <v>-3.0000000000001137</v>
      </c>
      <c r="N33" s="19">
        <f t="shared" si="12"/>
        <v>-3.0000000000001137</v>
      </c>
      <c r="O33" s="19" t="str">
        <f t="shared" si="12"/>
        <v/>
      </c>
      <c r="P33" s="19" t="str">
        <f t="shared" si="12"/>
        <v/>
      </c>
      <c r="Q33" s="19" t="str">
        <f t="shared" si="12"/>
        <v/>
      </c>
      <c r="R33" s="19">
        <f t="shared" si="12"/>
        <v>-7.9999999999955662</v>
      </c>
      <c r="S33" s="27">
        <f t="shared" ref="S33:X48" si="13">IF(C33="","",((C33-C32)*1000)/($B33-$B32))</f>
        <v>0</v>
      </c>
      <c r="T33" s="28">
        <f t="shared" si="13"/>
        <v>0</v>
      </c>
      <c r="U33" s="28">
        <f t="shared" si="13"/>
        <v>0</v>
      </c>
      <c r="V33" s="28" t="str">
        <f t="shared" si="13"/>
        <v/>
      </c>
      <c r="W33" s="28" t="str">
        <f t="shared" si="13"/>
        <v/>
      </c>
      <c r="X33" s="29" t="str">
        <f t="shared" si="13"/>
        <v/>
      </c>
      <c r="Y33" s="24"/>
    </row>
    <row r="34" spans="2:25" ht="15" customHeight="1" x14ac:dyDescent="0.2">
      <c r="B34" s="31">
        <v>42509</v>
      </c>
      <c r="C34" s="73">
        <v>12.55</v>
      </c>
      <c r="D34" s="71">
        <v>8.0679999999999996</v>
      </c>
      <c r="E34" s="71">
        <v>7.532</v>
      </c>
      <c r="F34" s="16"/>
      <c r="G34" s="16"/>
      <c r="H34" s="16"/>
      <c r="I34" s="79">
        <v>116.06100000000001</v>
      </c>
      <c r="J34" s="58">
        <v>2479</v>
      </c>
      <c r="K34" s="18">
        <f t="shared" si="11"/>
        <v>32</v>
      </c>
      <c r="L34" s="19">
        <f t="shared" si="12"/>
        <v>-4.9999999999990052</v>
      </c>
      <c r="M34" s="19">
        <f t="shared" si="12"/>
        <v>-3.0000000000001137</v>
      </c>
      <c r="N34" s="19">
        <f t="shared" si="12"/>
        <v>-3.0000000000001137</v>
      </c>
      <c r="O34" s="19" t="str">
        <f t="shared" si="12"/>
        <v/>
      </c>
      <c r="P34" s="19" t="str">
        <f t="shared" si="12"/>
        <v/>
      </c>
      <c r="Q34" s="19" t="str">
        <f t="shared" si="12"/>
        <v/>
      </c>
      <c r="R34" s="19">
        <f t="shared" si="12"/>
        <v>-7.9999999999955662</v>
      </c>
      <c r="S34" s="27">
        <f t="shared" si="13"/>
        <v>0</v>
      </c>
      <c r="T34" s="28">
        <f t="shared" si="13"/>
        <v>0</v>
      </c>
      <c r="U34" s="28">
        <f t="shared" si="13"/>
        <v>0</v>
      </c>
      <c r="V34" s="28" t="str">
        <f t="shared" si="13"/>
        <v/>
      </c>
      <c r="W34" s="28" t="str">
        <f t="shared" si="13"/>
        <v/>
      </c>
      <c r="X34" s="29" t="str">
        <f t="shared" si="13"/>
        <v/>
      </c>
      <c r="Y34" s="24"/>
    </row>
    <row r="35" spans="2:25" ht="15" customHeight="1" x14ac:dyDescent="0.2">
      <c r="B35" s="31">
        <v>42510</v>
      </c>
      <c r="C35" s="73">
        <v>12.55</v>
      </c>
      <c r="D35" s="71">
        <v>8.0679999999999996</v>
      </c>
      <c r="E35" s="71">
        <v>7.532</v>
      </c>
      <c r="F35" s="16"/>
      <c r="G35" s="16"/>
      <c r="H35" s="16"/>
      <c r="I35" s="79">
        <v>116.06100000000001</v>
      </c>
      <c r="J35" s="58">
        <v>2490</v>
      </c>
      <c r="K35" s="18">
        <f t="shared" si="11"/>
        <v>43</v>
      </c>
      <c r="L35" s="19">
        <f t="shared" si="12"/>
        <v>-4.9999999999990052</v>
      </c>
      <c r="M35" s="19">
        <f t="shared" si="12"/>
        <v>-3.0000000000001137</v>
      </c>
      <c r="N35" s="19">
        <f t="shared" si="12"/>
        <v>-3.0000000000001137</v>
      </c>
      <c r="O35" s="19" t="str">
        <f t="shared" si="12"/>
        <v/>
      </c>
      <c r="P35" s="19" t="str">
        <f t="shared" si="12"/>
        <v/>
      </c>
      <c r="Q35" s="19" t="str">
        <f t="shared" si="12"/>
        <v/>
      </c>
      <c r="R35" s="19">
        <f t="shared" si="12"/>
        <v>-7.9999999999955662</v>
      </c>
      <c r="S35" s="27">
        <f t="shared" si="13"/>
        <v>0</v>
      </c>
      <c r="T35" s="28">
        <f t="shared" si="13"/>
        <v>0</v>
      </c>
      <c r="U35" s="28">
        <f t="shared" si="13"/>
        <v>0</v>
      </c>
      <c r="V35" s="28" t="str">
        <f t="shared" si="13"/>
        <v/>
      </c>
      <c r="W35" s="28" t="str">
        <f t="shared" si="13"/>
        <v/>
      </c>
      <c r="X35" s="29" t="str">
        <f t="shared" si="13"/>
        <v/>
      </c>
      <c r="Y35" s="24"/>
    </row>
    <row r="36" spans="2:25" ht="15" customHeight="1" x14ac:dyDescent="0.2">
      <c r="B36" s="31"/>
      <c r="C36" s="25"/>
      <c r="D36" s="26"/>
      <c r="E36" s="26"/>
      <c r="F36" s="47"/>
      <c r="G36" s="47"/>
      <c r="H36" s="47"/>
      <c r="I36" s="57"/>
      <c r="J36" s="58"/>
      <c r="K36" s="18"/>
      <c r="L36" s="19" t="str">
        <f t="shared" si="12"/>
        <v/>
      </c>
      <c r="M36" s="19" t="str">
        <f t="shared" si="12"/>
        <v/>
      </c>
      <c r="N36" s="19" t="str">
        <f t="shared" si="12"/>
        <v/>
      </c>
      <c r="O36" s="19" t="str">
        <f t="shared" si="12"/>
        <v/>
      </c>
      <c r="P36" s="19" t="str">
        <f t="shared" si="12"/>
        <v/>
      </c>
      <c r="Q36" s="19" t="str">
        <f t="shared" si="12"/>
        <v/>
      </c>
      <c r="R36" s="19" t="str">
        <f t="shared" si="12"/>
        <v/>
      </c>
      <c r="S36" s="27" t="str">
        <f t="shared" si="13"/>
        <v/>
      </c>
      <c r="T36" s="28" t="str">
        <f t="shared" si="13"/>
        <v/>
      </c>
      <c r="U36" s="28" t="str">
        <f t="shared" si="13"/>
        <v/>
      </c>
      <c r="V36" s="28" t="str">
        <f t="shared" si="13"/>
        <v/>
      </c>
      <c r="W36" s="28" t="str">
        <f t="shared" si="13"/>
        <v/>
      </c>
      <c r="X36" s="29" t="str">
        <f t="shared" si="13"/>
        <v/>
      </c>
      <c r="Y36" s="24"/>
    </row>
    <row r="37" spans="2:25" ht="15" customHeight="1" x14ac:dyDescent="0.2">
      <c r="B37" s="31"/>
      <c r="C37" s="25"/>
      <c r="D37" s="26"/>
      <c r="E37" s="26"/>
      <c r="F37" s="47"/>
      <c r="G37" s="47"/>
      <c r="H37" s="47"/>
      <c r="I37" s="57"/>
      <c r="J37" s="58"/>
      <c r="K37" s="18"/>
      <c r="L37" s="19" t="str">
        <f t="shared" si="12"/>
        <v/>
      </c>
      <c r="M37" s="19" t="str">
        <f t="shared" si="12"/>
        <v/>
      </c>
      <c r="N37" s="19" t="str">
        <f t="shared" si="12"/>
        <v/>
      </c>
      <c r="O37" s="19" t="str">
        <f t="shared" si="12"/>
        <v/>
      </c>
      <c r="P37" s="19" t="str">
        <f t="shared" si="12"/>
        <v/>
      </c>
      <c r="Q37" s="19" t="str">
        <f t="shared" si="12"/>
        <v/>
      </c>
      <c r="R37" s="19" t="str">
        <f t="shared" si="12"/>
        <v/>
      </c>
      <c r="S37" s="27" t="str">
        <f t="shared" si="13"/>
        <v/>
      </c>
      <c r="T37" s="28" t="str">
        <f t="shared" si="13"/>
        <v/>
      </c>
      <c r="U37" s="28" t="str">
        <f t="shared" si="13"/>
        <v/>
      </c>
      <c r="V37" s="28" t="str">
        <f t="shared" si="13"/>
        <v/>
      </c>
      <c r="W37" s="28" t="str">
        <f t="shared" si="13"/>
        <v/>
      </c>
      <c r="X37" s="29" t="str">
        <f t="shared" si="13"/>
        <v/>
      </c>
      <c r="Y37" s="24"/>
    </row>
    <row r="38" spans="2:25" ht="15" customHeight="1" x14ac:dyDescent="0.2">
      <c r="B38" s="31"/>
      <c r="C38" s="25"/>
      <c r="D38" s="26"/>
      <c r="E38" s="26"/>
      <c r="F38" s="47"/>
      <c r="G38" s="47"/>
      <c r="H38" s="47"/>
      <c r="I38" s="57"/>
      <c r="J38" s="58"/>
      <c r="K38" s="18"/>
      <c r="L38" s="19" t="str">
        <f t="shared" si="12"/>
        <v/>
      </c>
      <c r="M38" s="19" t="str">
        <f t="shared" si="12"/>
        <v/>
      </c>
      <c r="N38" s="19" t="str">
        <f t="shared" si="12"/>
        <v/>
      </c>
      <c r="O38" s="19" t="str">
        <f t="shared" si="12"/>
        <v/>
      </c>
      <c r="P38" s="19" t="str">
        <f t="shared" si="12"/>
        <v/>
      </c>
      <c r="Q38" s="19" t="str">
        <f t="shared" si="12"/>
        <v/>
      </c>
      <c r="R38" s="19" t="str">
        <f t="shared" si="12"/>
        <v/>
      </c>
      <c r="S38" s="27" t="str">
        <f t="shared" si="13"/>
        <v/>
      </c>
      <c r="T38" s="28" t="str">
        <f t="shared" si="13"/>
        <v/>
      </c>
      <c r="U38" s="28" t="str">
        <f t="shared" si="13"/>
        <v/>
      </c>
      <c r="V38" s="28" t="str">
        <f t="shared" si="13"/>
        <v/>
      </c>
      <c r="W38" s="28" t="str">
        <f t="shared" si="13"/>
        <v/>
      </c>
      <c r="X38" s="29" t="str">
        <f t="shared" si="13"/>
        <v/>
      </c>
      <c r="Y38" s="24"/>
    </row>
    <row r="39" spans="2:25" ht="15" customHeight="1" x14ac:dyDescent="0.2">
      <c r="B39" s="31"/>
      <c r="C39" s="25"/>
      <c r="D39" s="26"/>
      <c r="E39" s="26"/>
      <c r="F39" s="47"/>
      <c r="G39" s="47"/>
      <c r="H39" s="47"/>
      <c r="I39" s="57"/>
      <c r="J39" s="58"/>
      <c r="K39" s="18"/>
      <c r="L39" s="19" t="str">
        <f t="shared" si="12"/>
        <v/>
      </c>
      <c r="M39" s="19" t="str">
        <f t="shared" si="12"/>
        <v/>
      </c>
      <c r="N39" s="19" t="str">
        <f t="shared" si="12"/>
        <v/>
      </c>
      <c r="O39" s="19" t="str">
        <f t="shared" si="12"/>
        <v/>
      </c>
      <c r="P39" s="19" t="str">
        <f t="shared" si="12"/>
        <v/>
      </c>
      <c r="Q39" s="19" t="str">
        <f t="shared" si="12"/>
        <v/>
      </c>
      <c r="R39" s="19" t="str">
        <f t="shared" si="12"/>
        <v/>
      </c>
      <c r="S39" s="27" t="str">
        <f t="shared" si="13"/>
        <v/>
      </c>
      <c r="T39" s="28" t="str">
        <f t="shared" si="13"/>
        <v/>
      </c>
      <c r="U39" s="28" t="str">
        <f t="shared" si="13"/>
        <v/>
      </c>
      <c r="V39" s="28" t="str">
        <f t="shared" si="13"/>
        <v/>
      </c>
      <c r="W39" s="28" t="str">
        <f t="shared" si="13"/>
        <v/>
      </c>
      <c r="X39" s="29" t="str">
        <f t="shared" si="13"/>
        <v/>
      </c>
      <c r="Y39" s="24"/>
    </row>
    <row r="40" spans="2:25" ht="15" customHeight="1" x14ac:dyDescent="0.2">
      <c r="B40" s="31"/>
      <c r="C40" s="25"/>
      <c r="D40" s="26"/>
      <c r="E40" s="26"/>
      <c r="F40" s="47"/>
      <c r="G40" s="47"/>
      <c r="H40" s="47"/>
      <c r="I40" s="57"/>
      <c r="J40" s="58"/>
      <c r="K40" s="18"/>
      <c r="L40" s="19" t="str">
        <f t="shared" si="12"/>
        <v/>
      </c>
      <c r="M40" s="19" t="str">
        <f t="shared" si="12"/>
        <v/>
      </c>
      <c r="N40" s="19" t="str">
        <f t="shared" si="12"/>
        <v/>
      </c>
      <c r="O40" s="19" t="str">
        <f t="shared" si="12"/>
        <v/>
      </c>
      <c r="P40" s="19" t="str">
        <f t="shared" si="12"/>
        <v/>
      </c>
      <c r="Q40" s="19" t="str">
        <f t="shared" si="12"/>
        <v/>
      </c>
      <c r="R40" s="19" t="str">
        <f t="shared" si="12"/>
        <v/>
      </c>
      <c r="S40" s="27" t="str">
        <f t="shared" si="13"/>
        <v/>
      </c>
      <c r="T40" s="28" t="str">
        <f t="shared" si="13"/>
        <v/>
      </c>
      <c r="U40" s="28" t="str">
        <f t="shared" si="13"/>
        <v/>
      </c>
      <c r="V40" s="28" t="str">
        <f t="shared" si="13"/>
        <v/>
      </c>
      <c r="W40" s="28" t="str">
        <f t="shared" si="13"/>
        <v/>
      </c>
      <c r="X40" s="29" t="str">
        <f t="shared" si="13"/>
        <v/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2"/>
        <v/>
      </c>
      <c r="M41" s="19" t="str">
        <f t="shared" si="12"/>
        <v/>
      </c>
      <c r="N41" s="19" t="str">
        <f t="shared" si="12"/>
        <v/>
      </c>
      <c r="O41" s="19" t="str">
        <f t="shared" si="12"/>
        <v/>
      </c>
      <c r="P41" s="19" t="str">
        <f t="shared" si="12"/>
        <v/>
      </c>
      <c r="Q41" s="19" t="str">
        <f t="shared" si="12"/>
        <v/>
      </c>
      <c r="R41" s="19" t="str">
        <f t="shared" si="12"/>
        <v/>
      </c>
      <c r="S41" s="27" t="str">
        <f t="shared" si="13"/>
        <v/>
      </c>
      <c r="T41" s="28" t="str">
        <f t="shared" si="13"/>
        <v/>
      </c>
      <c r="U41" s="28" t="str">
        <f t="shared" si="13"/>
        <v/>
      </c>
      <c r="V41" s="28" t="str">
        <f t="shared" si="13"/>
        <v/>
      </c>
      <c r="W41" s="28" t="str">
        <f t="shared" si="13"/>
        <v/>
      </c>
      <c r="X41" s="29" t="str">
        <f t="shared" si="13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2"/>
        <v/>
      </c>
      <c r="M42" s="19" t="str">
        <f t="shared" si="12"/>
        <v/>
      </c>
      <c r="N42" s="19" t="str">
        <f t="shared" si="12"/>
        <v/>
      </c>
      <c r="O42" s="19" t="str">
        <f t="shared" si="12"/>
        <v/>
      </c>
      <c r="P42" s="19" t="str">
        <f t="shared" si="12"/>
        <v/>
      </c>
      <c r="Q42" s="19" t="str">
        <f t="shared" si="12"/>
        <v/>
      </c>
      <c r="R42" s="19" t="str">
        <f t="shared" si="12"/>
        <v/>
      </c>
      <c r="S42" s="27" t="str">
        <f t="shared" si="13"/>
        <v/>
      </c>
      <c r="T42" s="28" t="str">
        <f t="shared" si="13"/>
        <v/>
      </c>
      <c r="U42" s="28" t="str">
        <f t="shared" si="13"/>
        <v/>
      </c>
      <c r="V42" s="28" t="str">
        <f t="shared" si="13"/>
        <v/>
      </c>
      <c r="W42" s="28" t="str">
        <f t="shared" si="13"/>
        <v/>
      </c>
      <c r="X42" s="29" t="str">
        <f t="shared" si="13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2"/>
        <v/>
      </c>
      <c r="M43" s="19" t="str">
        <f t="shared" si="12"/>
        <v/>
      </c>
      <c r="N43" s="19" t="str">
        <f t="shared" si="12"/>
        <v/>
      </c>
      <c r="O43" s="19" t="str">
        <f t="shared" si="12"/>
        <v/>
      </c>
      <c r="P43" s="19" t="str">
        <f t="shared" si="12"/>
        <v/>
      </c>
      <c r="Q43" s="19" t="str">
        <f t="shared" si="12"/>
        <v/>
      </c>
      <c r="R43" s="19" t="str">
        <f t="shared" si="12"/>
        <v/>
      </c>
      <c r="S43" s="27" t="str">
        <f t="shared" si="13"/>
        <v/>
      </c>
      <c r="T43" s="28" t="str">
        <f t="shared" si="13"/>
        <v/>
      </c>
      <c r="U43" s="28" t="str">
        <f t="shared" si="13"/>
        <v/>
      </c>
      <c r="V43" s="28" t="str">
        <f t="shared" si="13"/>
        <v/>
      </c>
      <c r="W43" s="28" t="str">
        <f t="shared" si="13"/>
        <v/>
      </c>
      <c r="X43" s="29" t="str">
        <f t="shared" si="13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2"/>
        <v/>
      </c>
      <c r="M44" s="19" t="str">
        <f t="shared" si="12"/>
        <v/>
      </c>
      <c r="N44" s="19" t="str">
        <f t="shared" si="12"/>
        <v/>
      </c>
      <c r="O44" s="19" t="str">
        <f t="shared" si="12"/>
        <v/>
      </c>
      <c r="P44" s="19" t="str">
        <f t="shared" si="12"/>
        <v/>
      </c>
      <c r="Q44" s="19" t="str">
        <f t="shared" si="12"/>
        <v/>
      </c>
      <c r="R44" s="19" t="str">
        <f t="shared" si="12"/>
        <v/>
      </c>
      <c r="S44" s="27" t="str">
        <f t="shared" si="13"/>
        <v/>
      </c>
      <c r="T44" s="28" t="str">
        <f t="shared" si="13"/>
        <v/>
      </c>
      <c r="U44" s="28" t="str">
        <f t="shared" si="13"/>
        <v/>
      </c>
      <c r="V44" s="28" t="str">
        <f t="shared" si="13"/>
        <v/>
      </c>
      <c r="W44" s="28" t="str">
        <f t="shared" si="13"/>
        <v/>
      </c>
      <c r="X44" s="29" t="str">
        <f t="shared" si="13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2"/>
        <v/>
      </c>
      <c r="M45" s="19" t="str">
        <f t="shared" si="12"/>
        <v/>
      </c>
      <c r="N45" s="19" t="str">
        <f t="shared" si="12"/>
        <v/>
      </c>
      <c r="O45" s="19" t="str">
        <f t="shared" si="12"/>
        <v/>
      </c>
      <c r="P45" s="19" t="str">
        <f t="shared" si="12"/>
        <v/>
      </c>
      <c r="Q45" s="19" t="str">
        <f t="shared" si="12"/>
        <v/>
      </c>
      <c r="R45" s="19" t="str">
        <f t="shared" si="12"/>
        <v/>
      </c>
      <c r="S45" s="27" t="str">
        <f t="shared" si="13"/>
        <v/>
      </c>
      <c r="T45" s="28" t="str">
        <f t="shared" si="13"/>
        <v/>
      </c>
      <c r="U45" s="28" t="str">
        <f t="shared" si="13"/>
        <v/>
      </c>
      <c r="V45" s="28" t="str">
        <f t="shared" si="13"/>
        <v/>
      </c>
      <c r="W45" s="28" t="str">
        <f t="shared" si="13"/>
        <v/>
      </c>
      <c r="X45" s="29" t="str">
        <f t="shared" si="13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2"/>
        <v/>
      </c>
      <c r="M46" s="19" t="str">
        <f t="shared" si="12"/>
        <v/>
      </c>
      <c r="N46" s="19" t="str">
        <f t="shared" si="12"/>
        <v/>
      </c>
      <c r="O46" s="19" t="str">
        <f t="shared" si="12"/>
        <v/>
      </c>
      <c r="P46" s="19" t="str">
        <f t="shared" si="12"/>
        <v/>
      </c>
      <c r="Q46" s="19" t="str">
        <f t="shared" si="12"/>
        <v/>
      </c>
      <c r="R46" s="19" t="str">
        <f t="shared" si="12"/>
        <v/>
      </c>
      <c r="S46" s="27" t="str">
        <f t="shared" si="13"/>
        <v/>
      </c>
      <c r="T46" s="28" t="str">
        <f t="shared" si="13"/>
        <v/>
      </c>
      <c r="U46" s="28" t="str">
        <f t="shared" si="13"/>
        <v/>
      </c>
      <c r="V46" s="28" t="str">
        <f t="shared" si="13"/>
        <v/>
      </c>
      <c r="W46" s="28" t="str">
        <f t="shared" si="13"/>
        <v/>
      </c>
      <c r="X46" s="29" t="str">
        <f t="shared" si="13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2"/>
        <v/>
      </c>
      <c r="M47" s="19" t="str">
        <f t="shared" si="12"/>
        <v/>
      </c>
      <c r="N47" s="19" t="str">
        <f t="shared" si="12"/>
        <v/>
      </c>
      <c r="O47" s="19" t="str">
        <f t="shared" si="12"/>
        <v/>
      </c>
      <c r="P47" s="19" t="str">
        <f t="shared" si="12"/>
        <v/>
      </c>
      <c r="Q47" s="19" t="str">
        <f t="shared" si="12"/>
        <v/>
      </c>
      <c r="R47" s="19" t="str">
        <f t="shared" si="12"/>
        <v/>
      </c>
      <c r="S47" s="27" t="str">
        <f t="shared" si="13"/>
        <v/>
      </c>
      <c r="T47" s="28" t="str">
        <f t="shared" si="13"/>
        <v/>
      </c>
      <c r="U47" s="28" t="str">
        <f t="shared" si="13"/>
        <v/>
      </c>
      <c r="V47" s="28" t="str">
        <f t="shared" si="13"/>
        <v/>
      </c>
      <c r="W47" s="28" t="str">
        <f t="shared" si="13"/>
        <v/>
      </c>
      <c r="X47" s="29" t="str">
        <f t="shared" si="13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2"/>
        <v/>
      </c>
      <c r="M48" s="19" t="str">
        <f t="shared" si="12"/>
        <v/>
      </c>
      <c r="N48" s="19" t="str">
        <f t="shared" si="12"/>
        <v/>
      </c>
      <c r="O48" s="19" t="str">
        <f t="shared" si="12"/>
        <v/>
      </c>
      <c r="P48" s="19" t="str">
        <f t="shared" si="12"/>
        <v/>
      </c>
      <c r="Q48" s="19" t="str">
        <f t="shared" si="12"/>
        <v/>
      </c>
      <c r="R48" s="19" t="str">
        <f t="shared" si="12"/>
        <v/>
      </c>
      <c r="S48" s="27" t="str">
        <f t="shared" si="13"/>
        <v/>
      </c>
      <c r="T48" s="28" t="str">
        <f t="shared" si="13"/>
        <v/>
      </c>
      <c r="U48" s="28" t="str">
        <f t="shared" si="13"/>
        <v/>
      </c>
      <c r="V48" s="28" t="str">
        <f t="shared" si="13"/>
        <v/>
      </c>
      <c r="W48" s="28" t="str">
        <f t="shared" si="13"/>
        <v/>
      </c>
      <c r="X48" s="29" t="str">
        <f t="shared" si="13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2"/>
        <v/>
      </c>
      <c r="M49" s="19" t="str">
        <f t="shared" si="12"/>
        <v/>
      </c>
      <c r="N49" s="19" t="str">
        <f t="shared" si="12"/>
        <v/>
      </c>
      <c r="O49" s="19" t="str">
        <f t="shared" si="12"/>
        <v/>
      </c>
      <c r="P49" s="19" t="str">
        <f t="shared" si="12"/>
        <v/>
      </c>
      <c r="Q49" s="19" t="str">
        <f t="shared" si="12"/>
        <v/>
      </c>
      <c r="R49" s="19" t="str">
        <f t="shared" si="12"/>
        <v/>
      </c>
      <c r="S49" s="27" t="str">
        <f t="shared" ref="S49:X64" si="14">IF(C49="","",((C49-C48)*1000)/($B49-$B48))</f>
        <v/>
      </c>
      <c r="T49" s="28" t="str">
        <f t="shared" si="14"/>
        <v/>
      </c>
      <c r="U49" s="28" t="str">
        <f t="shared" si="14"/>
        <v/>
      </c>
      <c r="V49" s="28" t="str">
        <f t="shared" si="14"/>
        <v/>
      </c>
      <c r="W49" s="28" t="str">
        <f t="shared" si="14"/>
        <v/>
      </c>
      <c r="X49" s="29" t="str">
        <f t="shared" si="14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2"/>
        <v/>
      </c>
      <c r="M50" s="19" t="str">
        <f t="shared" si="12"/>
        <v/>
      </c>
      <c r="N50" s="19" t="str">
        <f t="shared" si="12"/>
        <v/>
      </c>
      <c r="O50" s="19" t="str">
        <f t="shared" si="12"/>
        <v/>
      </c>
      <c r="P50" s="19" t="str">
        <f t="shared" si="12"/>
        <v/>
      </c>
      <c r="Q50" s="19" t="str">
        <f t="shared" si="12"/>
        <v/>
      </c>
      <c r="R50" s="19" t="str">
        <f t="shared" si="12"/>
        <v/>
      </c>
      <c r="S50" s="27" t="str">
        <f t="shared" si="14"/>
        <v/>
      </c>
      <c r="T50" s="28" t="str">
        <f t="shared" si="14"/>
        <v/>
      </c>
      <c r="U50" s="28" t="str">
        <f t="shared" si="14"/>
        <v/>
      </c>
      <c r="V50" s="28" t="str">
        <f t="shared" si="14"/>
        <v/>
      </c>
      <c r="W50" s="28" t="str">
        <f t="shared" si="14"/>
        <v/>
      </c>
      <c r="X50" s="29" t="str">
        <f t="shared" si="14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2"/>
        <v/>
      </c>
      <c r="M51" s="19" t="str">
        <f t="shared" si="12"/>
        <v/>
      </c>
      <c r="N51" s="19" t="str">
        <f t="shared" si="12"/>
        <v/>
      </c>
      <c r="O51" s="19" t="str">
        <f t="shared" si="12"/>
        <v/>
      </c>
      <c r="P51" s="19" t="str">
        <f t="shared" si="12"/>
        <v/>
      </c>
      <c r="Q51" s="19" t="str">
        <f t="shared" si="12"/>
        <v/>
      </c>
      <c r="R51" s="19" t="str">
        <f t="shared" si="12"/>
        <v/>
      </c>
      <c r="S51" s="27" t="str">
        <f t="shared" si="14"/>
        <v/>
      </c>
      <c r="T51" s="28" t="str">
        <f t="shared" si="14"/>
        <v/>
      </c>
      <c r="U51" s="28" t="str">
        <f t="shared" si="14"/>
        <v/>
      </c>
      <c r="V51" s="28" t="str">
        <f t="shared" si="14"/>
        <v/>
      </c>
      <c r="W51" s="28" t="str">
        <f t="shared" si="14"/>
        <v/>
      </c>
      <c r="X51" s="29" t="str">
        <f t="shared" si="14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2"/>
        <v/>
      </c>
      <c r="M52" s="19" t="str">
        <f t="shared" si="12"/>
        <v/>
      </c>
      <c r="N52" s="19" t="str">
        <f t="shared" si="12"/>
        <v/>
      </c>
      <c r="O52" s="19" t="str">
        <f t="shared" si="12"/>
        <v/>
      </c>
      <c r="P52" s="19" t="str">
        <f t="shared" si="12"/>
        <v/>
      </c>
      <c r="Q52" s="19" t="str">
        <f t="shared" si="12"/>
        <v/>
      </c>
      <c r="R52" s="19" t="str">
        <f t="shared" si="12"/>
        <v/>
      </c>
      <c r="S52" s="27" t="str">
        <f t="shared" si="14"/>
        <v/>
      </c>
      <c r="T52" s="28" t="str">
        <f t="shared" si="14"/>
        <v/>
      </c>
      <c r="U52" s="28" t="str">
        <f t="shared" si="14"/>
        <v/>
      </c>
      <c r="V52" s="28" t="str">
        <f t="shared" si="14"/>
        <v/>
      </c>
      <c r="W52" s="28" t="str">
        <f t="shared" si="14"/>
        <v/>
      </c>
      <c r="X52" s="29" t="str">
        <f t="shared" si="14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2"/>
        <v/>
      </c>
      <c r="M53" s="19" t="str">
        <f t="shared" si="12"/>
        <v/>
      </c>
      <c r="N53" s="19" t="str">
        <f t="shared" si="12"/>
        <v/>
      </c>
      <c r="O53" s="19" t="str">
        <f t="shared" si="12"/>
        <v/>
      </c>
      <c r="P53" s="19" t="str">
        <f t="shared" si="12"/>
        <v/>
      </c>
      <c r="Q53" s="19" t="str">
        <f t="shared" si="12"/>
        <v/>
      </c>
      <c r="R53" s="19" t="str">
        <f t="shared" si="12"/>
        <v/>
      </c>
      <c r="S53" s="27" t="str">
        <f t="shared" si="14"/>
        <v/>
      </c>
      <c r="T53" s="28" t="str">
        <f t="shared" si="14"/>
        <v/>
      </c>
      <c r="U53" s="28" t="str">
        <f t="shared" si="14"/>
        <v/>
      </c>
      <c r="V53" s="28" t="str">
        <f t="shared" si="14"/>
        <v/>
      </c>
      <c r="W53" s="28" t="str">
        <f t="shared" si="14"/>
        <v/>
      </c>
      <c r="X53" s="29" t="str">
        <f t="shared" si="14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2"/>
        <v/>
      </c>
      <c r="M54" s="19" t="str">
        <f t="shared" si="12"/>
        <v/>
      </c>
      <c r="N54" s="19" t="str">
        <f t="shared" si="12"/>
        <v/>
      </c>
      <c r="O54" s="19" t="str">
        <f t="shared" si="12"/>
        <v/>
      </c>
      <c r="P54" s="19" t="str">
        <f t="shared" si="12"/>
        <v/>
      </c>
      <c r="Q54" s="19" t="str">
        <f t="shared" si="12"/>
        <v/>
      </c>
      <c r="R54" s="19" t="str">
        <f t="shared" si="12"/>
        <v/>
      </c>
      <c r="S54" s="27" t="str">
        <f t="shared" si="14"/>
        <v/>
      </c>
      <c r="T54" s="28" t="str">
        <f t="shared" si="14"/>
        <v/>
      </c>
      <c r="U54" s="28" t="str">
        <f t="shared" si="14"/>
        <v/>
      </c>
      <c r="V54" s="28" t="str">
        <f t="shared" si="14"/>
        <v/>
      </c>
      <c r="W54" s="28" t="str">
        <f t="shared" si="14"/>
        <v/>
      </c>
      <c r="X54" s="29" t="str">
        <f t="shared" si="14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2"/>
        <v/>
      </c>
      <c r="M55" s="19" t="str">
        <f t="shared" si="12"/>
        <v/>
      </c>
      <c r="N55" s="19" t="str">
        <f t="shared" si="12"/>
        <v/>
      </c>
      <c r="O55" s="19" t="str">
        <f t="shared" si="12"/>
        <v/>
      </c>
      <c r="P55" s="19" t="str">
        <f t="shared" si="12"/>
        <v/>
      </c>
      <c r="Q55" s="19" t="str">
        <f t="shared" si="12"/>
        <v/>
      </c>
      <c r="R55" s="19" t="str">
        <f t="shared" si="12"/>
        <v/>
      </c>
      <c r="S55" s="27" t="str">
        <f t="shared" si="14"/>
        <v/>
      </c>
      <c r="T55" s="28" t="str">
        <f t="shared" si="14"/>
        <v/>
      </c>
      <c r="U55" s="28" t="str">
        <f t="shared" si="14"/>
        <v/>
      </c>
      <c r="V55" s="28" t="str">
        <f t="shared" si="14"/>
        <v/>
      </c>
      <c r="W55" s="28" t="str">
        <f t="shared" si="14"/>
        <v/>
      </c>
      <c r="X55" s="29" t="str">
        <f t="shared" si="14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2"/>
        <v/>
      </c>
      <c r="M56" s="19" t="str">
        <f t="shared" si="12"/>
        <v/>
      </c>
      <c r="N56" s="19" t="str">
        <f t="shared" si="12"/>
        <v/>
      </c>
      <c r="O56" s="19" t="str">
        <f t="shared" si="12"/>
        <v/>
      </c>
      <c r="P56" s="19" t="str">
        <f t="shared" si="12"/>
        <v/>
      </c>
      <c r="Q56" s="19" t="str">
        <f t="shared" si="12"/>
        <v/>
      </c>
      <c r="R56" s="19" t="str">
        <f t="shared" si="12"/>
        <v/>
      </c>
      <c r="S56" s="27" t="str">
        <f t="shared" si="14"/>
        <v/>
      </c>
      <c r="T56" s="28" t="str">
        <f t="shared" si="14"/>
        <v/>
      </c>
      <c r="U56" s="28" t="str">
        <f t="shared" si="14"/>
        <v/>
      </c>
      <c r="V56" s="28" t="str">
        <f t="shared" si="14"/>
        <v/>
      </c>
      <c r="W56" s="28" t="str">
        <f t="shared" si="14"/>
        <v/>
      </c>
      <c r="X56" s="29" t="str">
        <f t="shared" si="14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2"/>
        <v/>
      </c>
      <c r="M57" s="19" t="str">
        <f t="shared" si="12"/>
        <v/>
      </c>
      <c r="N57" s="19" t="str">
        <f t="shared" si="12"/>
        <v/>
      </c>
      <c r="O57" s="19" t="str">
        <f t="shared" si="12"/>
        <v/>
      </c>
      <c r="P57" s="19" t="str">
        <f t="shared" si="12"/>
        <v/>
      </c>
      <c r="Q57" s="19" t="str">
        <f t="shared" si="12"/>
        <v/>
      </c>
      <c r="R57" s="19" t="str">
        <f t="shared" si="12"/>
        <v/>
      </c>
      <c r="S57" s="27" t="str">
        <f t="shared" si="14"/>
        <v/>
      </c>
      <c r="T57" s="28" t="str">
        <f t="shared" si="14"/>
        <v/>
      </c>
      <c r="U57" s="28" t="str">
        <f t="shared" si="14"/>
        <v/>
      </c>
      <c r="V57" s="28" t="str">
        <f t="shared" si="14"/>
        <v/>
      </c>
      <c r="W57" s="28" t="str">
        <f t="shared" si="14"/>
        <v/>
      </c>
      <c r="X57" s="29" t="str">
        <f t="shared" si="14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2"/>
        <v/>
      </c>
      <c r="M58" s="19" t="str">
        <f t="shared" si="12"/>
        <v/>
      </c>
      <c r="N58" s="19" t="str">
        <f t="shared" si="12"/>
        <v/>
      </c>
      <c r="O58" s="19" t="str">
        <f t="shared" si="12"/>
        <v/>
      </c>
      <c r="P58" s="19" t="str">
        <f t="shared" si="12"/>
        <v/>
      </c>
      <c r="Q58" s="19" t="str">
        <f t="shared" si="12"/>
        <v/>
      </c>
      <c r="R58" s="19" t="str">
        <f t="shared" si="12"/>
        <v/>
      </c>
      <c r="S58" s="27" t="str">
        <f t="shared" si="14"/>
        <v/>
      </c>
      <c r="T58" s="28" t="str">
        <f t="shared" si="14"/>
        <v/>
      </c>
      <c r="U58" s="28" t="str">
        <f t="shared" si="14"/>
        <v/>
      </c>
      <c r="V58" s="28" t="str">
        <f t="shared" si="14"/>
        <v/>
      </c>
      <c r="W58" s="28" t="str">
        <f t="shared" si="14"/>
        <v/>
      </c>
      <c r="X58" s="29" t="str">
        <f t="shared" si="14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2"/>
        <v/>
      </c>
      <c r="M59" s="19" t="str">
        <f t="shared" si="12"/>
        <v/>
      </c>
      <c r="N59" s="19" t="str">
        <f t="shared" si="12"/>
        <v/>
      </c>
      <c r="O59" s="19" t="str">
        <f t="shared" si="12"/>
        <v/>
      </c>
      <c r="P59" s="19" t="str">
        <f t="shared" si="12"/>
        <v/>
      </c>
      <c r="Q59" s="19" t="str">
        <f t="shared" si="12"/>
        <v/>
      </c>
      <c r="R59" s="19" t="str">
        <f t="shared" si="12"/>
        <v/>
      </c>
      <c r="S59" s="27" t="str">
        <f t="shared" si="14"/>
        <v/>
      </c>
      <c r="T59" s="28" t="str">
        <f t="shared" si="14"/>
        <v/>
      </c>
      <c r="U59" s="28" t="str">
        <f t="shared" si="14"/>
        <v/>
      </c>
      <c r="V59" s="28" t="str">
        <f t="shared" si="14"/>
        <v/>
      </c>
      <c r="W59" s="28" t="str">
        <f t="shared" si="14"/>
        <v/>
      </c>
      <c r="X59" s="29" t="str">
        <f t="shared" si="14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2"/>
        <v/>
      </c>
      <c r="M60" s="19" t="str">
        <f t="shared" si="12"/>
        <v/>
      </c>
      <c r="N60" s="19" t="str">
        <f t="shared" si="12"/>
        <v/>
      </c>
      <c r="O60" s="19" t="str">
        <f t="shared" si="12"/>
        <v/>
      </c>
      <c r="P60" s="19" t="str">
        <f t="shared" si="12"/>
        <v/>
      </c>
      <c r="Q60" s="19" t="str">
        <f t="shared" si="12"/>
        <v/>
      </c>
      <c r="R60" s="19" t="str">
        <f t="shared" si="12"/>
        <v/>
      </c>
      <c r="S60" s="27" t="str">
        <f t="shared" si="14"/>
        <v/>
      </c>
      <c r="T60" s="28" t="str">
        <f t="shared" si="14"/>
        <v/>
      </c>
      <c r="U60" s="28" t="str">
        <f t="shared" si="14"/>
        <v/>
      </c>
      <c r="V60" s="28" t="str">
        <f t="shared" si="14"/>
        <v/>
      </c>
      <c r="W60" s="28" t="str">
        <f t="shared" si="14"/>
        <v/>
      </c>
      <c r="X60" s="29" t="str">
        <f t="shared" si="14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2"/>
        <v/>
      </c>
      <c r="M61" s="19" t="str">
        <f t="shared" si="12"/>
        <v/>
      </c>
      <c r="N61" s="19" t="str">
        <f t="shared" si="12"/>
        <v/>
      </c>
      <c r="O61" s="19" t="str">
        <f t="shared" si="12"/>
        <v/>
      </c>
      <c r="P61" s="19" t="str">
        <f t="shared" si="12"/>
        <v/>
      </c>
      <c r="Q61" s="19" t="str">
        <f t="shared" si="12"/>
        <v/>
      </c>
      <c r="R61" s="19" t="str">
        <f t="shared" si="12"/>
        <v/>
      </c>
      <c r="S61" s="27" t="str">
        <f t="shared" si="14"/>
        <v/>
      </c>
      <c r="T61" s="28" t="str">
        <f t="shared" si="14"/>
        <v/>
      </c>
      <c r="U61" s="28" t="str">
        <f t="shared" si="14"/>
        <v/>
      </c>
      <c r="V61" s="28" t="str">
        <f t="shared" si="14"/>
        <v/>
      </c>
      <c r="W61" s="28" t="str">
        <f t="shared" si="14"/>
        <v/>
      </c>
      <c r="X61" s="29" t="str">
        <f t="shared" si="14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2"/>
        <v/>
      </c>
      <c r="M62" s="19" t="str">
        <f t="shared" si="12"/>
        <v/>
      </c>
      <c r="N62" s="19" t="str">
        <f t="shared" si="12"/>
        <v/>
      </c>
      <c r="O62" s="19" t="str">
        <f t="shared" si="12"/>
        <v/>
      </c>
      <c r="P62" s="19" t="str">
        <f t="shared" si="12"/>
        <v/>
      </c>
      <c r="Q62" s="19" t="str">
        <f t="shared" si="12"/>
        <v/>
      </c>
      <c r="R62" s="19" t="str">
        <f t="shared" si="12"/>
        <v/>
      </c>
      <c r="S62" s="27" t="str">
        <f t="shared" si="14"/>
        <v/>
      </c>
      <c r="T62" s="28" t="str">
        <f t="shared" si="14"/>
        <v/>
      </c>
      <c r="U62" s="28" t="str">
        <f t="shared" si="14"/>
        <v/>
      </c>
      <c r="V62" s="28" t="str">
        <f t="shared" si="14"/>
        <v/>
      </c>
      <c r="W62" s="28" t="str">
        <f t="shared" si="14"/>
        <v/>
      </c>
      <c r="X62" s="29" t="str">
        <f t="shared" si="14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2"/>
        <v/>
      </c>
      <c r="M63" s="19" t="str">
        <f t="shared" si="12"/>
        <v/>
      </c>
      <c r="N63" s="19" t="str">
        <f t="shared" si="12"/>
        <v/>
      </c>
      <c r="O63" s="19" t="str">
        <f t="shared" si="12"/>
        <v/>
      </c>
      <c r="P63" s="19" t="str">
        <f t="shared" si="12"/>
        <v/>
      </c>
      <c r="Q63" s="19" t="str">
        <f t="shared" si="12"/>
        <v/>
      </c>
      <c r="R63" s="19" t="str">
        <f t="shared" si="12"/>
        <v/>
      </c>
      <c r="S63" s="27" t="str">
        <f t="shared" si="14"/>
        <v/>
      </c>
      <c r="T63" s="28" t="str">
        <f t="shared" si="14"/>
        <v/>
      </c>
      <c r="U63" s="28" t="str">
        <f t="shared" si="14"/>
        <v/>
      </c>
      <c r="V63" s="28" t="str">
        <f t="shared" si="14"/>
        <v/>
      </c>
      <c r="W63" s="28" t="str">
        <f t="shared" si="14"/>
        <v/>
      </c>
      <c r="X63" s="29" t="str">
        <f t="shared" si="14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2"/>
        <v/>
      </c>
      <c r="M64" s="19" t="str">
        <f t="shared" si="12"/>
        <v/>
      </c>
      <c r="N64" s="19" t="str">
        <f t="shared" si="12"/>
        <v/>
      </c>
      <c r="O64" s="19" t="str">
        <f t="shared" si="12"/>
        <v/>
      </c>
      <c r="P64" s="19" t="str">
        <f t="shared" si="12"/>
        <v/>
      </c>
      <c r="Q64" s="19" t="str">
        <f t="shared" si="12"/>
        <v/>
      </c>
      <c r="R64" s="19" t="str">
        <f t="shared" si="12"/>
        <v/>
      </c>
      <c r="S64" s="27" t="str">
        <f t="shared" si="14"/>
        <v/>
      </c>
      <c r="T64" s="28" t="str">
        <f t="shared" si="14"/>
        <v/>
      </c>
      <c r="U64" s="28" t="str">
        <f t="shared" si="14"/>
        <v/>
      </c>
      <c r="V64" s="28" t="str">
        <f t="shared" si="14"/>
        <v/>
      </c>
      <c r="W64" s="28" t="str">
        <f t="shared" si="14"/>
        <v/>
      </c>
      <c r="X64" s="29" t="str">
        <f t="shared" si="14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2"/>
        <v/>
      </c>
      <c r="M65" s="19" t="str">
        <f t="shared" si="12"/>
        <v/>
      </c>
      <c r="N65" s="19" t="str">
        <f t="shared" si="12"/>
        <v/>
      </c>
      <c r="O65" s="19" t="str">
        <f t="shared" si="12"/>
        <v/>
      </c>
      <c r="P65" s="19" t="str">
        <f t="shared" si="12"/>
        <v/>
      </c>
      <c r="Q65" s="19" t="str">
        <f t="shared" si="12"/>
        <v/>
      </c>
      <c r="R65" s="19" t="str">
        <f t="shared" si="12"/>
        <v/>
      </c>
      <c r="S65" s="27" t="str">
        <f t="shared" ref="S65:X80" si="15">IF(C65="","",((C65-C64)*1000)/($B65-$B64))</f>
        <v/>
      </c>
      <c r="T65" s="28" t="str">
        <f t="shared" si="15"/>
        <v/>
      </c>
      <c r="U65" s="28" t="str">
        <f t="shared" si="15"/>
        <v/>
      </c>
      <c r="V65" s="28" t="str">
        <f t="shared" si="15"/>
        <v/>
      </c>
      <c r="W65" s="28" t="str">
        <f t="shared" si="15"/>
        <v/>
      </c>
      <c r="X65" s="29" t="str">
        <f t="shared" si="15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2"/>
        <v/>
      </c>
      <c r="M66" s="19" t="str">
        <f t="shared" si="12"/>
        <v/>
      </c>
      <c r="N66" s="19" t="str">
        <f t="shared" si="12"/>
        <v/>
      </c>
      <c r="O66" s="19" t="str">
        <f t="shared" si="12"/>
        <v/>
      </c>
      <c r="P66" s="19" t="str">
        <f t="shared" si="12"/>
        <v/>
      </c>
      <c r="Q66" s="19" t="str">
        <f t="shared" si="12"/>
        <v/>
      </c>
      <c r="R66" s="19" t="str">
        <f t="shared" si="12"/>
        <v/>
      </c>
      <c r="S66" s="27" t="str">
        <f t="shared" si="15"/>
        <v/>
      </c>
      <c r="T66" s="28" t="str">
        <f t="shared" si="15"/>
        <v/>
      </c>
      <c r="U66" s="28" t="str">
        <f t="shared" si="15"/>
        <v/>
      </c>
      <c r="V66" s="28" t="str">
        <f t="shared" si="15"/>
        <v/>
      </c>
      <c r="W66" s="28" t="str">
        <f t="shared" si="15"/>
        <v/>
      </c>
      <c r="X66" s="29" t="str">
        <f t="shared" si="15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2"/>
        <v/>
      </c>
      <c r="M67" s="19" t="str">
        <f t="shared" si="12"/>
        <v/>
      </c>
      <c r="N67" s="19" t="str">
        <f t="shared" si="12"/>
        <v/>
      </c>
      <c r="O67" s="19" t="str">
        <f t="shared" si="12"/>
        <v/>
      </c>
      <c r="P67" s="19" t="str">
        <f t="shared" si="12"/>
        <v/>
      </c>
      <c r="Q67" s="19" t="str">
        <f t="shared" si="12"/>
        <v/>
      </c>
      <c r="R67" s="19" t="str">
        <f t="shared" si="12"/>
        <v/>
      </c>
      <c r="S67" s="27" t="str">
        <f t="shared" si="15"/>
        <v/>
      </c>
      <c r="T67" s="28" t="str">
        <f t="shared" si="15"/>
        <v/>
      </c>
      <c r="U67" s="28" t="str">
        <f t="shared" si="15"/>
        <v/>
      </c>
      <c r="V67" s="28" t="str">
        <f t="shared" si="15"/>
        <v/>
      </c>
      <c r="W67" s="28" t="str">
        <f t="shared" si="15"/>
        <v/>
      </c>
      <c r="X67" s="29" t="str">
        <f t="shared" si="15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2"/>
        <v/>
      </c>
      <c r="M68" s="19" t="str">
        <f t="shared" si="12"/>
        <v/>
      </c>
      <c r="N68" s="19" t="str">
        <f t="shared" si="12"/>
        <v/>
      </c>
      <c r="O68" s="19" t="str">
        <f t="shared" ref="O68:R131" si="16">IF(ISBLANK(F68),"",(F68-F$16)*1000)</f>
        <v/>
      </c>
      <c r="P68" s="19" t="str">
        <f t="shared" si="16"/>
        <v/>
      </c>
      <c r="Q68" s="19" t="str">
        <f t="shared" si="16"/>
        <v/>
      </c>
      <c r="R68" s="19" t="str">
        <f t="shared" si="16"/>
        <v/>
      </c>
      <c r="S68" s="27" t="str">
        <f t="shared" si="15"/>
        <v/>
      </c>
      <c r="T68" s="28" t="str">
        <f t="shared" si="15"/>
        <v/>
      </c>
      <c r="U68" s="28" t="str">
        <f t="shared" si="15"/>
        <v/>
      </c>
      <c r="V68" s="28" t="str">
        <f t="shared" si="15"/>
        <v/>
      </c>
      <c r="W68" s="28" t="str">
        <f t="shared" si="15"/>
        <v/>
      </c>
      <c r="X68" s="29" t="str">
        <f t="shared" si="15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Q132" si="17">IF(ISBLANK(C69),"",(C69-C$16)*1000)</f>
        <v/>
      </c>
      <c r="M69" s="19" t="str">
        <f t="shared" si="17"/>
        <v/>
      </c>
      <c r="N69" s="19" t="str">
        <f t="shared" si="17"/>
        <v/>
      </c>
      <c r="O69" s="19" t="str">
        <f t="shared" si="16"/>
        <v/>
      </c>
      <c r="P69" s="19" t="str">
        <f t="shared" si="16"/>
        <v/>
      </c>
      <c r="Q69" s="19" t="str">
        <f t="shared" si="16"/>
        <v/>
      </c>
      <c r="R69" s="19" t="str">
        <f t="shared" si="16"/>
        <v/>
      </c>
      <c r="S69" s="27" t="str">
        <f t="shared" si="15"/>
        <v/>
      </c>
      <c r="T69" s="28" t="str">
        <f t="shared" si="15"/>
        <v/>
      </c>
      <c r="U69" s="28" t="str">
        <f t="shared" si="15"/>
        <v/>
      </c>
      <c r="V69" s="28" t="str">
        <f t="shared" si="15"/>
        <v/>
      </c>
      <c r="W69" s="28" t="str">
        <f t="shared" si="15"/>
        <v/>
      </c>
      <c r="X69" s="29" t="str">
        <f t="shared" si="15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7"/>
        <v/>
      </c>
      <c r="M70" s="19" t="str">
        <f t="shared" si="17"/>
        <v/>
      </c>
      <c r="N70" s="19" t="str">
        <f t="shared" si="17"/>
        <v/>
      </c>
      <c r="O70" s="19" t="str">
        <f t="shared" si="16"/>
        <v/>
      </c>
      <c r="P70" s="19" t="str">
        <f t="shared" si="16"/>
        <v/>
      </c>
      <c r="Q70" s="19" t="str">
        <f t="shared" si="16"/>
        <v/>
      </c>
      <c r="R70" s="19" t="str">
        <f t="shared" si="16"/>
        <v/>
      </c>
      <c r="S70" s="27" t="str">
        <f t="shared" si="15"/>
        <v/>
      </c>
      <c r="T70" s="28" t="str">
        <f t="shared" si="15"/>
        <v/>
      </c>
      <c r="U70" s="28" t="str">
        <f t="shared" si="15"/>
        <v/>
      </c>
      <c r="V70" s="28" t="str">
        <f t="shared" si="15"/>
        <v/>
      </c>
      <c r="W70" s="28" t="str">
        <f t="shared" si="15"/>
        <v/>
      </c>
      <c r="X70" s="29" t="str">
        <f t="shared" si="15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7"/>
        <v/>
      </c>
      <c r="M71" s="19" t="str">
        <f t="shared" si="17"/>
        <v/>
      </c>
      <c r="N71" s="19" t="str">
        <f t="shared" si="17"/>
        <v/>
      </c>
      <c r="O71" s="19" t="str">
        <f t="shared" si="16"/>
        <v/>
      </c>
      <c r="P71" s="19" t="str">
        <f t="shared" si="16"/>
        <v/>
      </c>
      <c r="Q71" s="19" t="str">
        <f t="shared" si="16"/>
        <v/>
      </c>
      <c r="R71" s="19" t="str">
        <f t="shared" si="16"/>
        <v/>
      </c>
      <c r="S71" s="27" t="str">
        <f t="shared" si="15"/>
        <v/>
      </c>
      <c r="T71" s="28" t="str">
        <f t="shared" si="15"/>
        <v/>
      </c>
      <c r="U71" s="28" t="str">
        <f t="shared" si="15"/>
        <v/>
      </c>
      <c r="V71" s="28" t="str">
        <f t="shared" si="15"/>
        <v/>
      </c>
      <c r="W71" s="28" t="str">
        <f t="shared" si="15"/>
        <v/>
      </c>
      <c r="X71" s="29" t="str">
        <f t="shared" si="15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7"/>
        <v/>
      </c>
      <c r="M72" s="19" t="str">
        <f t="shared" si="17"/>
        <v/>
      </c>
      <c r="N72" s="19" t="str">
        <f t="shared" si="17"/>
        <v/>
      </c>
      <c r="O72" s="19" t="str">
        <f t="shared" si="16"/>
        <v/>
      </c>
      <c r="P72" s="19" t="str">
        <f t="shared" si="16"/>
        <v/>
      </c>
      <c r="Q72" s="19" t="str">
        <f t="shared" si="16"/>
        <v/>
      </c>
      <c r="R72" s="19" t="str">
        <f t="shared" si="16"/>
        <v/>
      </c>
      <c r="S72" s="27" t="str">
        <f t="shared" si="15"/>
        <v/>
      </c>
      <c r="T72" s="28" t="str">
        <f t="shared" si="15"/>
        <v/>
      </c>
      <c r="U72" s="28" t="str">
        <f t="shared" si="15"/>
        <v/>
      </c>
      <c r="V72" s="28" t="str">
        <f t="shared" si="15"/>
        <v/>
      </c>
      <c r="W72" s="28" t="str">
        <f t="shared" si="15"/>
        <v/>
      </c>
      <c r="X72" s="29" t="str">
        <f t="shared" si="15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7"/>
        <v/>
      </c>
      <c r="M73" s="19" t="str">
        <f t="shared" si="17"/>
        <v/>
      </c>
      <c r="N73" s="19" t="str">
        <f t="shared" si="17"/>
        <v/>
      </c>
      <c r="O73" s="19" t="str">
        <f t="shared" si="16"/>
        <v/>
      </c>
      <c r="P73" s="19" t="str">
        <f t="shared" si="16"/>
        <v/>
      </c>
      <c r="Q73" s="19" t="str">
        <f t="shared" si="16"/>
        <v/>
      </c>
      <c r="R73" s="19" t="str">
        <f t="shared" si="16"/>
        <v/>
      </c>
      <c r="S73" s="27" t="str">
        <f t="shared" si="15"/>
        <v/>
      </c>
      <c r="T73" s="28" t="str">
        <f t="shared" si="15"/>
        <v/>
      </c>
      <c r="U73" s="28" t="str">
        <f t="shared" si="15"/>
        <v/>
      </c>
      <c r="V73" s="28" t="str">
        <f t="shared" si="15"/>
        <v/>
      </c>
      <c r="W73" s="28" t="str">
        <f t="shared" si="15"/>
        <v/>
      </c>
      <c r="X73" s="29" t="str">
        <f t="shared" si="15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7"/>
        <v/>
      </c>
      <c r="M74" s="19" t="str">
        <f t="shared" si="17"/>
        <v/>
      </c>
      <c r="N74" s="19" t="str">
        <f t="shared" si="17"/>
        <v/>
      </c>
      <c r="O74" s="19" t="str">
        <f t="shared" si="16"/>
        <v/>
      </c>
      <c r="P74" s="19" t="str">
        <f t="shared" si="16"/>
        <v/>
      </c>
      <c r="Q74" s="19" t="str">
        <f t="shared" si="16"/>
        <v/>
      </c>
      <c r="R74" s="19" t="str">
        <f t="shared" si="16"/>
        <v/>
      </c>
      <c r="S74" s="27" t="str">
        <f t="shared" si="15"/>
        <v/>
      </c>
      <c r="T74" s="28" t="str">
        <f t="shared" si="15"/>
        <v/>
      </c>
      <c r="U74" s="28" t="str">
        <f t="shared" si="15"/>
        <v/>
      </c>
      <c r="V74" s="28" t="str">
        <f t="shared" si="15"/>
        <v/>
      </c>
      <c r="W74" s="28" t="str">
        <f t="shared" si="15"/>
        <v/>
      </c>
      <c r="X74" s="29" t="str">
        <f t="shared" si="15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7"/>
        <v/>
      </c>
      <c r="M75" s="19" t="str">
        <f t="shared" si="17"/>
        <v/>
      </c>
      <c r="N75" s="19" t="str">
        <f t="shared" si="17"/>
        <v/>
      </c>
      <c r="O75" s="19" t="str">
        <f t="shared" si="16"/>
        <v/>
      </c>
      <c r="P75" s="19" t="str">
        <f t="shared" si="16"/>
        <v/>
      </c>
      <c r="Q75" s="19" t="str">
        <f t="shared" si="16"/>
        <v/>
      </c>
      <c r="R75" s="19" t="str">
        <f t="shared" si="16"/>
        <v/>
      </c>
      <c r="S75" s="27" t="str">
        <f t="shared" si="15"/>
        <v/>
      </c>
      <c r="T75" s="28" t="str">
        <f t="shared" si="15"/>
        <v/>
      </c>
      <c r="U75" s="28" t="str">
        <f t="shared" si="15"/>
        <v/>
      </c>
      <c r="V75" s="28" t="str">
        <f t="shared" si="15"/>
        <v/>
      </c>
      <c r="W75" s="28" t="str">
        <f t="shared" si="15"/>
        <v/>
      </c>
      <c r="X75" s="29" t="str">
        <f t="shared" si="15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7"/>
        <v/>
      </c>
      <c r="M76" s="19" t="str">
        <f t="shared" si="17"/>
        <v/>
      </c>
      <c r="N76" s="19" t="str">
        <f t="shared" si="17"/>
        <v/>
      </c>
      <c r="O76" s="19" t="str">
        <f t="shared" si="16"/>
        <v/>
      </c>
      <c r="P76" s="19" t="str">
        <f t="shared" si="16"/>
        <v/>
      </c>
      <c r="Q76" s="19" t="str">
        <f t="shared" si="16"/>
        <v/>
      </c>
      <c r="R76" s="19" t="str">
        <f t="shared" si="16"/>
        <v/>
      </c>
      <c r="S76" s="27" t="str">
        <f t="shared" si="15"/>
        <v/>
      </c>
      <c r="T76" s="28" t="str">
        <f t="shared" si="15"/>
        <v/>
      </c>
      <c r="U76" s="28" t="str">
        <f t="shared" si="15"/>
        <v/>
      </c>
      <c r="V76" s="28" t="str">
        <f t="shared" si="15"/>
        <v/>
      </c>
      <c r="W76" s="28" t="str">
        <f t="shared" si="15"/>
        <v/>
      </c>
      <c r="X76" s="29" t="str">
        <f t="shared" si="15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7"/>
        <v/>
      </c>
      <c r="M77" s="19" t="str">
        <f t="shared" si="17"/>
        <v/>
      </c>
      <c r="N77" s="19" t="str">
        <f t="shared" si="17"/>
        <v/>
      </c>
      <c r="O77" s="19" t="str">
        <f t="shared" si="16"/>
        <v/>
      </c>
      <c r="P77" s="19" t="str">
        <f t="shared" si="16"/>
        <v/>
      </c>
      <c r="Q77" s="19" t="str">
        <f t="shared" si="16"/>
        <v/>
      </c>
      <c r="R77" s="19" t="str">
        <f t="shared" si="16"/>
        <v/>
      </c>
      <c r="S77" s="27" t="str">
        <f t="shared" si="15"/>
        <v/>
      </c>
      <c r="T77" s="28" t="str">
        <f t="shared" si="15"/>
        <v/>
      </c>
      <c r="U77" s="28" t="str">
        <f t="shared" si="15"/>
        <v/>
      </c>
      <c r="V77" s="28" t="str">
        <f t="shared" si="15"/>
        <v/>
      </c>
      <c r="W77" s="28" t="str">
        <f t="shared" si="15"/>
        <v/>
      </c>
      <c r="X77" s="29" t="str">
        <f t="shared" si="15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7"/>
        <v/>
      </c>
      <c r="M78" s="19" t="str">
        <f t="shared" si="17"/>
        <v/>
      </c>
      <c r="N78" s="19" t="str">
        <f t="shared" si="17"/>
        <v/>
      </c>
      <c r="O78" s="19" t="str">
        <f t="shared" si="16"/>
        <v/>
      </c>
      <c r="P78" s="19" t="str">
        <f t="shared" si="16"/>
        <v/>
      </c>
      <c r="Q78" s="19" t="str">
        <f t="shared" si="16"/>
        <v/>
      </c>
      <c r="R78" s="19" t="str">
        <f t="shared" si="16"/>
        <v/>
      </c>
      <c r="S78" s="27" t="str">
        <f t="shared" si="15"/>
        <v/>
      </c>
      <c r="T78" s="28" t="str">
        <f t="shared" si="15"/>
        <v/>
      </c>
      <c r="U78" s="28" t="str">
        <f t="shared" si="15"/>
        <v/>
      </c>
      <c r="V78" s="28" t="str">
        <f t="shared" si="15"/>
        <v/>
      </c>
      <c r="W78" s="28" t="str">
        <f t="shared" si="15"/>
        <v/>
      </c>
      <c r="X78" s="29" t="str">
        <f t="shared" si="15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7"/>
        <v/>
      </c>
      <c r="M79" s="19" t="str">
        <f t="shared" si="17"/>
        <v/>
      </c>
      <c r="N79" s="19" t="str">
        <f t="shared" si="17"/>
        <v/>
      </c>
      <c r="O79" s="19" t="str">
        <f t="shared" si="16"/>
        <v/>
      </c>
      <c r="P79" s="19" t="str">
        <f t="shared" si="16"/>
        <v/>
      </c>
      <c r="Q79" s="19" t="str">
        <f t="shared" si="16"/>
        <v/>
      </c>
      <c r="R79" s="19" t="str">
        <f t="shared" si="16"/>
        <v/>
      </c>
      <c r="S79" s="27" t="str">
        <f t="shared" si="15"/>
        <v/>
      </c>
      <c r="T79" s="28" t="str">
        <f t="shared" si="15"/>
        <v/>
      </c>
      <c r="U79" s="28" t="str">
        <f t="shared" si="15"/>
        <v/>
      </c>
      <c r="V79" s="28" t="str">
        <f t="shared" si="15"/>
        <v/>
      </c>
      <c r="W79" s="28" t="str">
        <f t="shared" si="15"/>
        <v/>
      </c>
      <c r="X79" s="29" t="str">
        <f t="shared" si="15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7"/>
        <v/>
      </c>
      <c r="M80" s="19" t="str">
        <f t="shared" si="17"/>
        <v/>
      </c>
      <c r="N80" s="19" t="str">
        <f t="shared" si="17"/>
        <v/>
      </c>
      <c r="O80" s="19" t="str">
        <f t="shared" si="16"/>
        <v/>
      </c>
      <c r="P80" s="19" t="str">
        <f t="shared" si="16"/>
        <v/>
      </c>
      <c r="Q80" s="19" t="str">
        <f t="shared" si="16"/>
        <v/>
      </c>
      <c r="R80" s="19" t="str">
        <f t="shared" si="16"/>
        <v/>
      </c>
      <c r="S80" s="27" t="str">
        <f t="shared" si="15"/>
        <v/>
      </c>
      <c r="T80" s="28" t="str">
        <f t="shared" si="15"/>
        <v/>
      </c>
      <c r="U80" s="28" t="str">
        <f t="shared" si="15"/>
        <v/>
      </c>
      <c r="V80" s="28" t="str">
        <f t="shared" si="15"/>
        <v/>
      </c>
      <c r="W80" s="28" t="str">
        <f t="shared" si="15"/>
        <v/>
      </c>
      <c r="X80" s="29" t="str">
        <f t="shared" si="15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7"/>
        <v/>
      </c>
      <c r="M81" s="19" t="str">
        <f t="shared" si="17"/>
        <v/>
      </c>
      <c r="N81" s="19" t="str">
        <f t="shared" si="17"/>
        <v/>
      </c>
      <c r="O81" s="19" t="str">
        <f t="shared" si="16"/>
        <v/>
      </c>
      <c r="P81" s="19" t="str">
        <f t="shared" si="16"/>
        <v/>
      </c>
      <c r="Q81" s="19" t="str">
        <f t="shared" si="16"/>
        <v/>
      </c>
      <c r="R81" s="19" t="str">
        <f t="shared" si="16"/>
        <v/>
      </c>
      <c r="S81" s="27" t="str">
        <f t="shared" ref="S81:X96" si="18">IF(C81="","",((C81-C80)*1000)/($B81-$B80))</f>
        <v/>
      </c>
      <c r="T81" s="28" t="str">
        <f t="shared" si="18"/>
        <v/>
      </c>
      <c r="U81" s="28" t="str">
        <f t="shared" si="18"/>
        <v/>
      </c>
      <c r="V81" s="28" t="str">
        <f t="shared" si="18"/>
        <v/>
      </c>
      <c r="W81" s="28" t="str">
        <f t="shared" si="18"/>
        <v/>
      </c>
      <c r="X81" s="29" t="str">
        <f t="shared" si="18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7"/>
        <v/>
      </c>
      <c r="M82" s="19" t="str">
        <f t="shared" si="17"/>
        <v/>
      </c>
      <c r="N82" s="19" t="str">
        <f t="shared" si="17"/>
        <v/>
      </c>
      <c r="O82" s="19" t="str">
        <f t="shared" si="16"/>
        <v/>
      </c>
      <c r="P82" s="19" t="str">
        <f t="shared" si="16"/>
        <v/>
      </c>
      <c r="Q82" s="19" t="str">
        <f t="shared" si="16"/>
        <v/>
      </c>
      <c r="R82" s="19" t="str">
        <f t="shared" si="16"/>
        <v/>
      </c>
      <c r="S82" s="27" t="str">
        <f t="shared" si="18"/>
        <v/>
      </c>
      <c r="T82" s="28" t="str">
        <f t="shared" si="18"/>
        <v/>
      </c>
      <c r="U82" s="28" t="str">
        <f t="shared" si="18"/>
        <v/>
      </c>
      <c r="V82" s="28" t="str">
        <f t="shared" si="18"/>
        <v/>
      </c>
      <c r="W82" s="28" t="str">
        <f t="shared" si="18"/>
        <v/>
      </c>
      <c r="X82" s="29" t="str">
        <f t="shared" si="18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7"/>
        <v/>
      </c>
      <c r="M83" s="19" t="str">
        <f t="shared" si="17"/>
        <v/>
      </c>
      <c r="N83" s="19" t="str">
        <f t="shared" si="17"/>
        <v/>
      </c>
      <c r="O83" s="19" t="str">
        <f t="shared" si="16"/>
        <v/>
      </c>
      <c r="P83" s="19" t="str">
        <f t="shared" si="16"/>
        <v/>
      </c>
      <c r="Q83" s="19" t="str">
        <f t="shared" si="16"/>
        <v/>
      </c>
      <c r="R83" s="19" t="str">
        <f t="shared" si="16"/>
        <v/>
      </c>
      <c r="S83" s="27" t="str">
        <f t="shared" si="18"/>
        <v/>
      </c>
      <c r="T83" s="28" t="str">
        <f t="shared" si="18"/>
        <v/>
      </c>
      <c r="U83" s="28" t="str">
        <f t="shared" si="18"/>
        <v/>
      </c>
      <c r="V83" s="28" t="str">
        <f t="shared" si="18"/>
        <v/>
      </c>
      <c r="W83" s="28" t="str">
        <f t="shared" si="18"/>
        <v/>
      </c>
      <c r="X83" s="29" t="str">
        <f t="shared" si="18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7"/>
        <v/>
      </c>
      <c r="M84" s="19" t="str">
        <f t="shared" si="17"/>
        <v/>
      </c>
      <c r="N84" s="19" t="str">
        <f t="shared" si="17"/>
        <v/>
      </c>
      <c r="O84" s="19" t="str">
        <f t="shared" si="16"/>
        <v/>
      </c>
      <c r="P84" s="19" t="str">
        <f t="shared" si="16"/>
        <v/>
      </c>
      <c r="Q84" s="19" t="str">
        <f t="shared" si="16"/>
        <v/>
      </c>
      <c r="R84" s="19" t="str">
        <f t="shared" si="16"/>
        <v/>
      </c>
      <c r="S84" s="27" t="str">
        <f t="shared" si="18"/>
        <v/>
      </c>
      <c r="T84" s="28" t="str">
        <f t="shared" si="18"/>
        <v/>
      </c>
      <c r="U84" s="28" t="str">
        <f t="shared" si="18"/>
        <v/>
      </c>
      <c r="V84" s="28" t="str">
        <f t="shared" si="18"/>
        <v/>
      </c>
      <c r="W84" s="28" t="str">
        <f t="shared" si="18"/>
        <v/>
      </c>
      <c r="X84" s="29" t="str">
        <f t="shared" si="18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7"/>
        <v/>
      </c>
      <c r="M85" s="19" t="str">
        <f t="shared" si="17"/>
        <v/>
      </c>
      <c r="N85" s="19" t="str">
        <f t="shared" si="17"/>
        <v/>
      </c>
      <c r="O85" s="19" t="str">
        <f t="shared" si="16"/>
        <v/>
      </c>
      <c r="P85" s="19" t="str">
        <f t="shared" si="16"/>
        <v/>
      </c>
      <c r="Q85" s="19" t="str">
        <f t="shared" si="16"/>
        <v/>
      </c>
      <c r="R85" s="19" t="str">
        <f t="shared" si="16"/>
        <v/>
      </c>
      <c r="S85" s="27" t="str">
        <f t="shared" si="18"/>
        <v/>
      </c>
      <c r="T85" s="28" t="str">
        <f t="shared" si="18"/>
        <v/>
      </c>
      <c r="U85" s="28" t="str">
        <f t="shared" si="18"/>
        <v/>
      </c>
      <c r="V85" s="28" t="str">
        <f t="shared" si="18"/>
        <v/>
      </c>
      <c r="W85" s="28" t="str">
        <f t="shared" si="18"/>
        <v/>
      </c>
      <c r="X85" s="29" t="str">
        <f t="shared" si="18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7"/>
        <v/>
      </c>
      <c r="M86" s="19" t="str">
        <f t="shared" si="17"/>
        <v/>
      </c>
      <c r="N86" s="19" t="str">
        <f t="shared" si="17"/>
        <v/>
      </c>
      <c r="O86" s="19" t="str">
        <f t="shared" si="16"/>
        <v/>
      </c>
      <c r="P86" s="19" t="str">
        <f t="shared" si="16"/>
        <v/>
      </c>
      <c r="Q86" s="19" t="str">
        <f t="shared" si="16"/>
        <v/>
      </c>
      <c r="R86" s="19" t="str">
        <f t="shared" si="16"/>
        <v/>
      </c>
      <c r="S86" s="27" t="str">
        <f t="shared" si="18"/>
        <v/>
      </c>
      <c r="T86" s="28" t="str">
        <f t="shared" si="18"/>
        <v/>
      </c>
      <c r="U86" s="28" t="str">
        <f t="shared" si="18"/>
        <v/>
      </c>
      <c r="V86" s="28" t="str">
        <f t="shared" si="18"/>
        <v/>
      </c>
      <c r="W86" s="28" t="str">
        <f t="shared" si="18"/>
        <v/>
      </c>
      <c r="X86" s="29" t="str">
        <f t="shared" si="18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7"/>
        <v/>
      </c>
      <c r="M87" s="19" t="str">
        <f t="shared" si="17"/>
        <v/>
      </c>
      <c r="N87" s="19" t="str">
        <f t="shared" si="17"/>
        <v/>
      </c>
      <c r="O87" s="19" t="str">
        <f t="shared" si="16"/>
        <v/>
      </c>
      <c r="P87" s="19" t="str">
        <f t="shared" si="16"/>
        <v/>
      </c>
      <c r="Q87" s="19" t="str">
        <f t="shared" si="16"/>
        <v/>
      </c>
      <c r="R87" s="19" t="str">
        <f t="shared" si="16"/>
        <v/>
      </c>
      <c r="S87" s="27" t="str">
        <f t="shared" si="18"/>
        <v/>
      </c>
      <c r="T87" s="28" t="str">
        <f t="shared" si="18"/>
        <v/>
      </c>
      <c r="U87" s="28" t="str">
        <f t="shared" si="18"/>
        <v/>
      </c>
      <c r="V87" s="28" t="str">
        <f t="shared" si="18"/>
        <v/>
      </c>
      <c r="W87" s="28" t="str">
        <f t="shared" si="18"/>
        <v/>
      </c>
      <c r="X87" s="29" t="str">
        <f t="shared" si="18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7"/>
        <v/>
      </c>
      <c r="M88" s="19" t="str">
        <f t="shared" si="17"/>
        <v/>
      </c>
      <c r="N88" s="19" t="str">
        <f t="shared" si="17"/>
        <v/>
      </c>
      <c r="O88" s="19" t="str">
        <f t="shared" si="16"/>
        <v/>
      </c>
      <c r="P88" s="19" t="str">
        <f t="shared" si="16"/>
        <v/>
      </c>
      <c r="Q88" s="19" t="str">
        <f t="shared" si="16"/>
        <v/>
      </c>
      <c r="R88" s="19" t="str">
        <f t="shared" si="16"/>
        <v/>
      </c>
      <c r="S88" s="27" t="str">
        <f t="shared" si="18"/>
        <v/>
      </c>
      <c r="T88" s="28" t="str">
        <f t="shared" si="18"/>
        <v/>
      </c>
      <c r="U88" s="28" t="str">
        <f t="shared" si="18"/>
        <v/>
      </c>
      <c r="V88" s="28" t="str">
        <f t="shared" si="18"/>
        <v/>
      </c>
      <c r="W88" s="28" t="str">
        <f t="shared" si="18"/>
        <v/>
      </c>
      <c r="X88" s="29" t="str">
        <f t="shared" si="18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7"/>
        <v/>
      </c>
      <c r="M89" s="19" t="str">
        <f t="shared" si="17"/>
        <v/>
      </c>
      <c r="N89" s="19" t="str">
        <f t="shared" si="17"/>
        <v/>
      </c>
      <c r="O89" s="19" t="str">
        <f t="shared" si="16"/>
        <v/>
      </c>
      <c r="P89" s="19" t="str">
        <f t="shared" si="16"/>
        <v/>
      </c>
      <c r="Q89" s="19" t="str">
        <f t="shared" si="16"/>
        <v/>
      </c>
      <c r="R89" s="19" t="str">
        <f t="shared" si="16"/>
        <v/>
      </c>
      <c r="S89" s="27" t="str">
        <f t="shared" si="18"/>
        <v/>
      </c>
      <c r="T89" s="28" t="str">
        <f t="shared" si="18"/>
        <v/>
      </c>
      <c r="U89" s="28" t="str">
        <f t="shared" si="18"/>
        <v/>
      </c>
      <c r="V89" s="28" t="str">
        <f t="shared" si="18"/>
        <v/>
      </c>
      <c r="W89" s="28" t="str">
        <f t="shared" si="18"/>
        <v/>
      </c>
      <c r="X89" s="29" t="str">
        <f t="shared" si="18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7"/>
        <v/>
      </c>
      <c r="M90" s="19" t="str">
        <f t="shared" si="17"/>
        <v/>
      </c>
      <c r="N90" s="19" t="str">
        <f t="shared" si="17"/>
        <v/>
      </c>
      <c r="O90" s="19" t="str">
        <f t="shared" si="16"/>
        <v/>
      </c>
      <c r="P90" s="19" t="str">
        <f t="shared" si="16"/>
        <v/>
      </c>
      <c r="Q90" s="19" t="str">
        <f t="shared" si="16"/>
        <v/>
      </c>
      <c r="R90" s="19" t="str">
        <f t="shared" si="16"/>
        <v/>
      </c>
      <c r="S90" s="27" t="str">
        <f t="shared" si="18"/>
        <v/>
      </c>
      <c r="T90" s="28" t="str">
        <f t="shared" si="18"/>
        <v/>
      </c>
      <c r="U90" s="28" t="str">
        <f t="shared" si="18"/>
        <v/>
      </c>
      <c r="V90" s="28" t="str">
        <f t="shared" si="18"/>
        <v/>
      </c>
      <c r="W90" s="28" t="str">
        <f t="shared" si="18"/>
        <v/>
      </c>
      <c r="X90" s="29" t="str">
        <f t="shared" si="18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7"/>
        <v/>
      </c>
      <c r="M91" s="19" t="str">
        <f t="shared" si="17"/>
        <v/>
      </c>
      <c r="N91" s="19" t="str">
        <f t="shared" si="17"/>
        <v/>
      </c>
      <c r="O91" s="19" t="str">
        <f t="shared" si="16"/>
        <v/>
      </c>
      <c r="P91" s="19" t="str">
        <f t="shared" si="16"/>
        <v/>
      </c>
      <c r="Q91" s="19" t="str">
        <f t="shared" si="16"/>
        <v/>
      </c>
      <c r="R91" s="19" t="str">
        <f t="shared" si="16"/>
        <v/>
      </c>
      <c r="S91" s="27" t="str">
        <f t="shared" si="18"/>
        <v/>
      </c>
      <c r="T91" s="28" t="str">
        <f t="shared" si="18"/>
        <v/>
      </c>
      <c r="U91" s="28" t="str">
        <f t="shared" si="18"/>
        <v/>
      </c>
      <c r="V91" s="28" t="str">
        <f t="shared" si="18"/>
        <v/>
      </c>
      <c r="W91" s="28" t="str">
        <f t="shared" si="18"/>
        <v/>
      </c>
      <c r="X91" s="29" t="str">
        <f t="shared" si="18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7"/>
        <v/>
      </c>
      <c r="M92" s="19" t="str">
        <f t="shared" si="17"/>
        <v/>
      </c>
      <c r="N92" s="19" t="str">
        <f t="shared" si="17"/>
        <v/>
      </c>
      <c r="O92" s="19" t="str">
        <f t="shared" si="16"/>
        <v/>
      </c>
      <c r="P92" s="19" t="str">
        <f t="shared" si="16"/>
        <v/>
      </c>
      <c r="Q92" s="19" t="str">
        <f t="shared" si="16"/>
        <v/>
      </c>
      <c r="R92" s="19" t="str">
        <f t="shared" si="16"/>
        <v/>
      </c>
      <c r="S92" s="27" t="str">
        <f t="shared" si="18"/>
        <v/>
      </c>
      <c r="T92" s="28" t="str">
        <f t="shared" si="18"/>
        <v/>
      </c>
      <c r="U92" s="28" t="str">
        <f t="shared" si="18"/>
        <v/>
      </c>
      <c r="V92" s="28" t="str">
        <f t="shared" si="18"/>
        <v/>
      </c>
      <c r="W92" s="28" t="str">
        <f t="shared" si="18"/>
        <v/>
      </c>
      <c r="X92" s="29" t="str">
        <f t="shared" si="18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7"/>
        <v/>
      </c>
      <c r="M93" s="19" t="str">
        <f t="shared" si="17"/>
        <v/>
      </c>
      <c r="N93" s="19" t="str">
        <f t="shared" si="17"/>
        <v/>
      </c>
      <c r="O93" s="19" t="str">
        <f t="shared" si="16"/>
        <v/>
      </c>
      <c r="P93" s="19" t="str">
        <f t="shared" si="16"/>
        <v/>
      </c>
      <c r="Q93" s="19" t="str">
        <f t="shared" si="16"/>
        <v/>
      </c>
      <c r="R93" s="19" t="str">
        <f t="shared" si="16"/>
        <v/>
      </c>
      <c r="S93" s="27" t="str">
        <f t="shared" si="18"/>
        <v/>
      </c>
      <c r="T93" s="28" t="str">
        <f t="shared" si="18"/>
        <v/>
      </c>
      <c r="U93" s="28" t="str">
        <f t="shared" si="18"/>
        <v/>
      </c>
      <c r="V93" s="28" t="str">
        <f t="shared" si="18"/>
        <v/>
      </c>
      <c r="W93" s="28" t="str">
        <f t="shared" si="18"/>
        <v/>
      </c>
      <c r="X93" s="29" t="str">
        <f t="shared" si="18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7"/>
        <v/>
      </c>
      <c r="M94" s="19" t="str">
        <f t="shared" si="17"/>
        <v/>
      </c>
      <c r="N94" s="19" t="str">
        <f t="shared" si="17"/>
        <v/>
      </c>
      <c r="O94" s="19" t="str">
        <f t="shared" si="16"/>
        <v/>
      </c>
      <c r="P94" s="19" t="str">
        <f t="shared" si="16"/>
        <v/>
      </c>
      <c r="Q94" s="19" t="str">
        <f t="shared" si="16"/>
        <v/>
      </c>
      <c r="R94" s="19" t="str">
        <f t="shared" si="16"/>
        <v/>
      </c>
      <c r="S94" s="27" t="str">
        <f t="shared" si="18"/>
        <v/>
      </c>
      <c r="T94" s="28" t="str">
        <f t="shared" si="18"/>
        <v/>
      </c>
      <c r="U94" s="28" t="str">
        <f t="shared" si="18"/>
        <v/>
      </c>
      <c r="V94" s="28" t="str">
        <f t="shared" si="18"/>
        <v/>
      </c>
      <c r="W94" s="28" t="str">
        <f t="shared" si="18"/>
        <v/>
      </c>
      <c r="X94" s="29" t="str">
        <f t="shared" si="18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7"/>
        <v/>
      </c>
      <c r="M95" s="19" t="str">
        <f t="shared" si="17"/>
        <v/>
      </c>
      <c r="N95" s="19" t="str">
        <f t="shared" si="17"/>
        <v/>
      </c>
      <c r="O95" s="19" t="str">
        <f t="shared" si="16"/>
        <v/>
      </c>
      <c r="P95" s="19" t="str">
        <f t="shared" si="16"/>
        <v/>
      </c>
      <c r="Q95" s="19" t="str">
        <f t="shared" si="16"/>
        <v/>
      </c>
      <c r="R95" s="19" t="str">
        <f t="shared" si="16"/>
        <v/>
      </c>
      <c r="S95" s="27" t="str">
        <f t="shared" si="18"/>
        <v/>
      </c>
      <c r="T95" s="28" t="str">
        <f t="shared" si="18"/>
        <v/>
      </c>
      <c r="U95" s="28" t="str">
        <f t="shared" si="18"/>
        <v/>
      </c>
      <c r="V95" s="28" t="str">
        <f t="shared" si="18"/>
        <v/>
      </c>
      <c r="W95" s="28" t="str">
        <f t="shared" si="18"/>
        <v/>
      </c>
      <c r="X95" s="29" t="str">
        <f t="shared" si="18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7"/>
        <v/>
      </c>
      <c r="M96" s="19" t="str">
        <f t="shared" si="17"/>
        <v/>
      </c>
      <c r="N96" s="19" t="str">
        <f t="shared" si="17"/>
        <v/>
      </c>
      <c r="O96" s="19" t="str">
        <f t="shared" si="16"/>
        <v/>
      </c>
      <c r="P96" s="19" t="str">
        <f t="shared" si="16"/>
        <v/>
      </c>
      <c r="Q96" s="19" t="str">
        <f t="shared" si="16"/>
        <v/>
      </c>
      <c r="R96" s="19" t="str">
        <f t="shared" si="16"/>
        <v/>
      </c>
      <c r="S96" s="27" t="str">
        <f t="shared" si="18"/>
        <v/>
      </c>
      <c r="T96" s="28" t="str">
        <f t="shared" si="18"/>
        <v/>
      </c>
      <c r="U96" s="28" t="str">
        <f t="shared" si="18"/>
        <v/>
      </c>
      <c r="V96" s="28" t="str">
        <f t="shared" si="18"/>
        <v/>
      </c>
      <c r="W96" s="28" t="str">
        <f t="shared" si="18"/>
        <v/>
      </c>
      <c r="X96" s="29" t="str">
        <f t="shared" si="18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7"/>
        <v/>
      </c>
      <c r="M97" s="19" t="str">
        <f t="shared" si="17"/>
        <v/>
      </c>
      <c r="N97" s="19" t="str">
        <f t="shared" si="17"/>
        <v/>
      </c>
      <c r="O97" s="19" t="str">
        <f t="shared" si="16"/>
        <v/>
      </c>
      <c r="P97" s="19" t="str">
        <f t="shared" si="16"/>
        <v/>
      </c>
      <c r="Q97" s="19" t="str">
        <f t="shared" si="16"/>
        <v/>
      </c>
      <c r="R97" s="19" t="str">
        <f t="shared" si="16"/>
        <v/>
      </c>
      <c r="S97" s="27" t="str">
        <f t="shared" ref="S97:X112" si="19">IF(C97="","",((C97-C96)*1000)/($B97-$B96))</f>
        <v/>
      </c>
      <c r="T97" s="28" t="str">
        <f t="shared" si="19"/>
        <v/>
      </c>
      <c r="U97" s="28" t="str">
        <f t="shared" si="19"/>
        <v/>
      </c>
      <c r="V97" s="28" t="str">
        <f t="shared" si="19"/>
        <v/>
      </c>
      <c r="W97" s="28" t="str">
        <f t="shared" si="19"/>
        <v/>
      </c>
      <c r="X97" s="29" t="str">
        <f t="shared" si="19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7"/>
        <v/>
      </c>
      <c r="M98" s="19" t="str">
        <f t="shared" si="17"/>
        <v/>
      </c>
      <c r="N98" s="19" t="str">
        <f t="shared" si="17"/>
        <v/>
      </c>
      <c r="O98" s="19" t="str">
        <f t="shared" si="16"/>
        <v/>
      </c>
      <c r="P98" s="19" t="str">
        <f t="shared" si="16"/>
        <v/>
      </c>
      <c r="Q98" s="19" t="str">
        <f t="shared" si="16"/>
        <v/>
      </c>
      <c r="R98" s="19" t="str">
        <f t="shared" si="16"/>
        <v/>
      </c>
      <c r="S98" s="27" t="str">
        <f t="shared" si="19"/>
        <v/>
      </c>
      <c r="T98" s="28" t="str">
        <f t="shared" si="19"/>
        <v/>
      </c>
      <c r="U98" s="28" t="str">
        <f t="shared" si="19"/>
        <v/>
      </c>
      <c r="V98" s="28" t="str">
        <f t="shared" si="19"/>
        <v/>
      </c>
      <c r="W98" s="28" t="str">
        <f t="shared" si="19"/>
        <v/>
      </c>
      <c r="X98" s="29" t="str">
        <f t="shared" si="19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7"/>
        <v/>
      </c>
      <c r="M99" s="19" t="str">
        <f t="shared" si="17"/>
        <v/>
      </c>
      <c r="N99" s="19" t="str">
        <f t="shared" si="17"/>
        <v/>
      </c>
      <c r="O99" s="19" t="str">
        <f t="shared" si="16"/>
        <v/>
      </c>
      <c r="P99" s="19" t="str">
        <f t="shared" si="16"/>
        <v/>
      </c>
      <c r="Q99" s="19" t="str">
        <f t="shared" si="16"/>
        <v/>
      </c>
      <c r="R99" s="19" t="str">
        <f t="shared" si="16"/>
        <v/>
      </c>
      <c r="S99" s="27" t="str">
        <f t="shared" si="19"/>
        <v/>
      </c>
      <c r="T99" s="28" t="str">
        <f t="shared" si="19"/>
        <v/>
      </c>
      <c r="U99" s="28" t="str">
        <f t="shared" si="19"/>
        <v/>
      </c>
      <c r="V99" s="28" t="str">
        <f t="shared" si="19"/>
        <v/>
      </c>
      <c r="W99" s="28" t="str">
        <f t="shared" si="19"/>
        <v/>
      </c>
      <c r="X99" s="29" t="str">
        <f t="shared" si="19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7"/>
        <v/>
      </c>
      <c r="M100" s="19" t="str">
        <f t="shared" si="17"/>
        <v/>
      </c>
      <c r="N100" s="19" t="str">
        <f t="shared" si="17"/>
        <v/>
      </c>
      <c r="O100" s="19" t="str">
        <f t="shared" si="16"/>
        <v/>
      </c>
      <c r="P100" s="19" t="str">
        <f t="shared" si="16"/>
        <v/>
      </c>
      <c r="Q100" s="19" t="str">
        <f t="shared" si="16"/>
        <v/>
      </c>
      <c r="R100" s="19" t="str">
        <f t="shared" si="16"/>
        <v/>
      </c>
      <c r="S100" s="27" t="str">
        <f t="shared" si="19"/>
        <v/>
      </c>
      <c r="T100" s="28" t="str">
        <f t="shared" si="19"/>
        <v/>
      </c>
      <c r="U100" s="28" t="str">
        <f t="shared" si="19"/>
        <v/>
      </c>
      <c r="V100" s="28" t="str">
        <f t="shared" si="19"/>
        <v/>
      </c>
      <c r="W100" s="28" t="str">
        <f t="shared" si="19"/>
        <v/>
      </c>
      <c r="X100" s="29" t="str">
        <f t="shared" si="19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7"/>
        <v/>
      </c>
      <c r="M101" s="19" t="str">
        <f t="shared" si="17"/>
        <v/>
      </c>
      <c r="N101" s="19" t="str">
        <f t="shared" si="17"/>
        <v/>
      </c>
      <c r="O101" s="19" t="str">
        <f t="shared" si="16"/>
        <v/>
      </c>
      <c r="P101" s="19" t="str">
        <f t="shared" si="16"/>
        <v/>
      </c>
      <c r="Q101" s="19" t="str">
        <f t="shared" si="16"/>
        <v/>
      </c>
      <c r="R101" s="19" t="str">
        <f t="shared" si="16"/>
        <v/>
      </c>
      <c r="S101" s="27" t="str">
        <f t="shared" si="19"/>
        <v/>
      </c>
      <c r="T101" s="28" t="str">
        <f t="shared" si="19"/>
        <v/>
      </c>
      <c r="U101" s="28" t="str">
        <f t="shared" si="19"/>
        <v/>
      </c>
      <c r="V101" s="28" t="str">
        <f t="shared" si="19"/>
        <v/>
      </c>
      <c r="W101" s="28" t="str">
        <f t="shared" si="19"/>
        <v/>
      </c>
      <c r="X101" s="29" t="str">
        <f t="shared" si="19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7"/>
        <v/>
      </c>
      <c r="M102" s="19" t="str">
        <f t="shared" si="17"/>
        <v/>
      </c>
      <c r="N102" s="19" t="str">
        <f t="shared" si="17"/>
        <v/>
      </c>
      <c r="O102" s="19" t="str">
        <f t="shared" si="16"/>
        <v/>
      </c>
      <c r="P102" s="19" t="str">
        <f t="shared" si="16"/>
        <v/>
      </c>
      <c r="Q102" s="19" t="str">
        <f t="shared" si="16"/>
        <v/>
      </c>
      <c r="R102" s="19" t="str">
        <f t="shared" si="16"/>
        <v/>
      </c>
      <c r="S102" s="27" t="str">
        <f t="shared" si="19"/>
        <v/>
      </c>
      <c r="T102" s="28" t="str">
        <f t="shared" si="19"/>
        <v/>
      </c>
      <c r="U102" s="28" t="str">
        <f t="shared" si="19"/>
        <v/>
      </c>
      <c r="V102" s="28" t="str">
        <f t="shared" si="19"/>
        <v/>
      </c>
      <c r="W102" s="28" t="str">
        <f t="shared" si="19"/>
        <v/>
      </c>
      <c r="X102" s="29" t="str">
        <f t="shared" si="19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7"/>
        <v/>
      </c>
      <c r="M103" s="19" t="str">
        <f t="shared" si="17"/>
        <v/>
      </c>
      <c r="N103" s="19" t="str">
        <f t="shared" si="17"/>
        <v/>
      </c>
      <c r="O103" s="19" t="str">
        <f t="shared" si="16"/>
        <v/>
      </c>
      <c r="P103" s="19" t="str">
        <f t="shared" si="16"/>
        <v/>
      </c>
      <c r="Q103" s="19" t="str">
        <f t="shared" si="16"/>
        <v/>
      </c>
      <c r="R103" s="19" t="str">
        <f t="shared" si="16"/>
        <v/>
      </c>
      <c r="S103" s="27" t="str">
        <f t="shared" si="19"/>
        <v/>
      </c>
      <c r="T103" s="28" t="str">
        <f t="shared" si="19"/>
        <v/>
      </c>
      <c r="U103" s="28" t="str">
        <f t="shared" si="19"/>
        <v/>
      </c>
      <c r="V103" s="28" t="str">
        <f t="shared" si="19"/>
        <v/>
      </c>
      <c r="W103" s="28" t="str">
        <f t="shared" si="19"/>
        <v/>
      </c>
      <c r="X103" s="29" t="str">
        <f t="shared" si="19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7"/>
        <v/>
      </c>
      <c r="M104" s="19" t="str">
        <f t="shared" si="17"/>
        <v/>
      </c>
      <c r="N104" s="19" t="str">
        <f t="shared" si="17"/>
        <v/>
      </c>
      <c r="O104" s="19" t="str">
        <f t="shared" si="16"/>
        <v/>
      </c>
      <c r="P104" s="19" t="str">
        <f t="shared" si="16"/>
        <v/>
      </c>
      <c r="Q104" s="19" t="str">
        <f t="shared" si="16"/>
        <v/>
      </c>
      <c r="R104" s="19" t="str">
        <f t="shared" si="16"/>
        <v/>
      </c>
      <c r="S104" s="27" t="str">
        <f t="shared" si="19"/>
        <v/>
      </c>
      <c r="T104" s="28" t="str">
        <f t="shared" si="19"/>
        <v/>
      </c>
      <c r="U104" s="28" t="str">
        <f t="shared" si="19"/>
        <v/>
      </c>
      <c r="V104" s="28" t="str">
        <f t="shared" si="19"/>
        <v/>
      </c>
      <c r="W104" s="28" t="str">
        <f t="shared" si="19"/>
        <v/>
      </c>
      <c r="X104" s="29" t="str">
        <f t="shared" si="19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7"/>
        <v/>
      </c>
      <c r="M105" s="19" t="str">
        <f t="shared" si="17"/>
        <v/>
      </c>
      <c r="N105" s="19" t="str">
        <f t="shared" si="17"/>
        <v/>
      </c>
      <c r="O105" s="19" t="str">
        <f t="shared" si="16"/>
        <v/>
      </c>
      <c r="P105" s="19" t="str">
        <f t="shared" si="16"/>
        <v/>
      </c>
      <c r="Q105" s="19" t="str">
        <f t="shared" si="16"/>
        <v/>
      </c>
      <c r="R105" s="19" t="str">
        <f t="shared" si="16"/>
        <v/>
      </c>
      <c r="S105" s="27" t="str">
        <f t="shared" si="19"/>
        <v/>
      </c>
      <c r="T105" s="28" t="str">
        <f t="shared" si="19"/>
        <v/>
      </c>
      <c r="U105" s="28" t="str">
        <f t="shared" si="19"/>
        <v/>
      </c>
      <c r="V105" s="28" t="str">
        <f t="shared" si="19"/>
        <v/>
      </c>
      <c r="W105" s="28" t="str">
        <f t="shared" si="19"/>
        <v/>
      </c>
      <c r="X105" s="29" t="str">
        <f t="shared" si="19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7"/>
        <v/>
      </c>
      <c r="M106" s="19" t="str">
        <f t="shared" si="17"/>
        <v/>
      </c>
      <c r="N106" s="19" t="str">
        <f t="shared" si="17"/>
        <v/>
      </c>
      <c r="O106" s="19" t="str">
        <f t="shared" si="16"/>
        <v/>
      </c>
      <c r="P106" s="19" t="str">
        <f t="shared" si="16"/>
        <v/>
      </c>
      <c r="Q106" s="19" t="str">
        <f t="shared" si="16"/>
        <v/>
      </c>
      <c r="R106" s="19" t="str">
        <f t="shared" si="16"/>
        <v/>
      </c>
      <c r="S106" s="27" t="str">
        <f t="shared" si="19"/>
        <v/>
      </c>
      <c r="T106" s="28" t="str">
        <f t="shared" si="19"/>
        <v/>
      </c>
      <c r="U106" s="28" t="str">
        <f t="shared" si="19"/>
        <v/>
      </c>
      <c r="V106" s="28" t="str">
        <f t="shared" si="19"/>
        <v/>
      </c>
      <c r="W106" s="28" t="str">
        <f t="shared" si="19"/>
        <v/>
      </c>
      <c r="X106" s="29" t="str">
        <f t="shared" si="19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7"/>
        <v/>
      </c>
      <c r="M107" s="19" t="str">
        <f t="shared" si="17"/>
        <v/>
      </c>
      <c r="N107" s="19" t="str">
        <f t="shared" si="17"/>
        <v/>
      </c>
      <c r="O107" s="19" t="str">
        <f t="shared" si="16"/>
        <v/>
      </c>
      <c r="P107" s="19" t="str">
        <f t="shared" si="16"/>
        <v/>
      </c>
      <c r="Q107" s="19" t="str">
        <f t="shared" si="16"/>
        <v/>
      </c>
      <c r="R107" s="19" t="str">
        <f t="shared" si="16"/>
        <v/>
      </c>
      <c r="S107" s="27" t="str">
        <f t="shared" si="19"/>
        <v/>
      </c>
      <c r="T107" s="28" t="str">
        <f t="shared" si="19"/>
        <v/>
      </c>
      <c r="U107" s="28" t="str">
        <f t="shared" si="19"/>
        <v/>
      </c>
      <c r="V107" s="28" t="str">
        <f t="shared" si="19"/>
        <v/>
      </c>
      <c r="W107" s="28" t="str">
        <f t="shared" si="19"/>
        <v/>
      </c>
      <c r="X107" s="29" t="str">
        <f t="shared" si="19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7"/>
        <v/>
      </c>
      <c r="M108" s="19" t="str">
        <f t="shared" si="17"/>
        <v/>
      </c>
      <c r="N108" s="19" t="str">
        <f t="shared" si="17"/>
        <v/>
      </c>
      <c r="O108" s="19" t="str">
        <f t="shared" si="16"/>
        <v/>
      </c>
      <c r="P108" s="19" t="str">
        <f t="shared" si="16"/>
        <v/>
      </c>
      <c r="Q108" s="19" t="str">
        <f t="shared" si="16"/>
        <v/>
      </c>
      <c r="R108" s="19" t="str">
        <f t="shared" si="16"/>
        <v/>
      </c>
      <c r="S108" s="27" t="str">
        <f t="shared" si="19"/>
        <v/>
      </c>
      <c r="T108" s="28" t="str">
        <f t="shared" si="19"/>
        <v/>
      </c>
      <c r="U108" s="28" t="str">
        <f t="shared" si="19"/>
        <v/>
      </c>
      <c r="V108" s="28" t="str">
        <f t="shared" si="19"/>
        <v/>
      </c>
      <c r="W108" s="28" t="str">
        <f t="shared" si="19"/>
        <v/>
      </c>
      <c r="X108" s="29" t="str">
        <f t="shared" si="19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7"/>
        <v/>
      </c>
      <c r="M109" s="19" t="str">
        <f t="shared" si="17"/>
        <v/>
      </c>
      <c r="N109" s="19" t="str">
        <f t="shared" si="17"/>
        <v/>
      </c>
      <c r="O109" s="19" t="str">
        <f t="shared" si="16"/>
        <v/>
      </c>
      <c r="P109" s="19" t="str">
        <f t="shared" si="16"/>
        <v/>
      </c>
      <c r="Q109" s="19" t="str">
        <f t="shared" si="16"/>
        <v/>
      </c>
      <c r="R109" s="19" t="str">
        <f t="shared" si="16"/>
        <v/>
      </c>
      <c r="S109" s="27" t="str">
        <f t="shared" si="19"/>
        <v/>
      </c>
      <c r="T109" s="28" t="str">
        <f t="shared" si="19"/>
        <v/>
      </c>
      <c r="U109" s="28" t="str">
        <f t="shared" si="19"/>
        <v/>
      </c>
      <c r="V109" s="28" t="str">
        <f t="shared" si="19"/>
        <v/>
      </c>
      <c r="W109" s="28" t="str">
        <f t="shared" si="19"/>
        <v/>
      </c>
      <c r="X109" s="29" t="str">
        <f t="shared" si="19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7"/>
        <v/>
      </c>
      <c r="M110" s="19" t="str">
        <f t="shared" si="17"/>
        <v/>
      </c>
      <c r="N110" s="19" t="str">
        <f t="shared" si="17"/>
        <v/>
      </c>
      <c r="O110" s="19" t="str">
        <f t="shared" si="16"/>
        <v/>
      </c>
      <c r="P110" s="19" t="str">
        <f t="shared" si="16"/>
        <v/>
      </c>
      <c r="Q110" s="19" t="str">
        <f t="shared" si="16"/>
        <v/>
      </c>
      <c r="R110" s="19" t="str">
        <f t="shared" si="16"/>
        <v/>
      </c>
      <c r="S110" s="27" t="str">
        <f t="shared" si="19"/>
        <v/>
      </c>
      <c r="T110" s="28" t="str">
        <f t="shared" si="19"/>
        <v/>
      </c>
      <c r="U110" s="28" t="str">
        <f t="shared" si="19"/>
        <v/>
      </c>
      <c r="V110" s="28" t="str">
        <f t="shared" si="19"/>
        <v/>
      </c>
      <c r="W110" s="28" t="str">
        <f t="shared" si="19"/>
        <v/>
      </c>
      <c r="X110" s="29" t="str">
        <f t="shared" si="19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7"/>
        <v/>
      </c>
      <c r="M111" s="19" t="str">
        <f t="shared" si="17"/>
        <v/>
      </c>
      <c r="N111" s="19" t="str">
        <f t="shared" si="17"/>
        <v/>
      </c>
      <c r="O111" s="19" t="str">
        <f t="shared" si="16"/>
        <v/>
      </c>
      <c r="P111" s="19" t="str">
        <f t="shared" si="16"/>
        <v/>
      </c>
      <c r="Q111" s="19" t="str">
        <f t="shared" si="16"/>
        <v/>
      </c>
      <c r="R111" s="19" t="str">
        <f t="shared" si="16"/>
        <v/>
      </c>
      <c r="S111" s="27" t="str">
        <f t="shared" si="19"/>
        <v/>
      </c>
      <c r="T111" s="28" t="str">
        <f t="shared" si="19"/>
        <v/>
      </c>
      <c r="U111" s="28" t="str">
        <f t="shared" si="19"/>
        <v/>
      </c>
      <c r="V111" s="28" t="str">
        <f t="shared" si="19"/>
        <v/>
      </c>
      <c r="W111" s="28" t="str">
        <f t="shared" si="19"/>
        <v/>
      </c>
      <c r="X111" s="29" t="str">
        <f t="shared" si="19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7"/>
        <v/>
      </c>
      <c r="M112" s="19" t="str">
        <f t="shared" si="17"/>
        <v/>
      </c>
      <c r="N112" s="19" t="str">
        <f t="shared" si="17"/>
        <v/>
      </c>
      <c r="O112" s="19" t="str">
        <f t="shared" si="16"/>
        <v/>
      </c>
      <c r="P112" s="19" t="str">
        <f t="shared" si="16"/>
        <v/>
      </c>
      <c r="Q112" s="19" t="str">
        <f t="shared" si="16"/>
        <v/>
      </c>
      <c r="R112" s="19" t="str">
        <f t="shared" si="16"/>
        <v/>
      </c>
      <c r="S112" s="27" t="str">
        <f t="shared" si="19"/>
        <v/>
      </c>
      <c r="T112" s="28" t="str">
        <f t="shared" si="19"/>
        <v/>
      </c>
      <c r="U112" s="28" t="str">
        <f t="shared" si="19"/>
        <v/>
      </c>
      <c r="V112" s="28" t="str">
        <f t="shared" si="19"/>
        <v/>
      </c>
      <c r="W112" s="28" t="str">
        <f t="shared" si="19"/>
        <v/>
      </c>
      <c r="X112" s="29" t="str">
        <f t="shared" si="19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7"/>
        <v/>
      </c>
      <c r="M113" s="19" t="str">
        <f t="shared" si="17"/>
        <v/>
      </c>
      <c r="N113" s="19" t="str">
        <f t="shared" si="17"/>
        <v/>
      </c>
      <c r="O113" s="19" t="str">
        <f t="shared" si="16"/>
        <v/>
      </c>
      <c r="P113" s="19" t="str">
        <f t="shared" si="16"/>
        <v/>
      </c>
      <c r="Q113" s="19" t="str">
        <f t="shared" si="16"/>
        <v/>
      </c>
      <c r="R113" s="19" t="str">
        <f t="shared" si="16"/>
        <v/>
      </c>
      <c r="S113" s="27" t="str">
        <f t="shared" ref="S113:X128" si="20">IF(C113="","",((C113-C112)*1000)/($B113-$B112))</f>
        <v/>
      </c>
      <c r="T113" s="28" t="str">
        <f t="shared" si="20"/>
        <v/>
      </c>
      <c r="U113" s="28" t="str">
        <f t="shared" si="20"/>
        <v/>
      </c>
      <c r="V113" s="28" t="str">
        <f t="shared" si="20"/>
        <v/>
      </c>
      <c r="W113" s="28" t="str">
        <f t="shared" si="20"/>
        <v/>
      </c>
      <c r="X113" s="29" t="str">
        <f t="shared" si="20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7"/>
        <v/>
      </c>
      <c r="M114" s="19" t="str">
        <f t="shared" si="17"/>
        <v/>
      </c>
      <c r="N114" s="19" t="str">
        <f t="shared" si="17"/>
        <v/>
      </c>
      <c r="O114" s="19" t="str">
        <f t="shared" si="16"/>
        <v/>
      </c>
      <c r="P114" s="19" t="str">
        <f t="shared" si="16"/>
        <v/>
      </c>
      <c r="Q114" s="19" t="str">
        <f t="shared" si="16"/>
        <v/>
      </c>
      <c r="R114" s="19" t="str">
        <f t="shared" si="16"/>
        <v/>
      </c>
      <c r="S114" s="27" t="str">
        <f t="shared" si="20"/>
        <v/>
      </c>
      <c r="T114" s="28" t="str">
        <f t="shared" si="20"/>
        <v/>
      </c>
      <c r="U114" s="28" t="str">
        <f t="shared" si="20"/>
        <v/>
      </c>
      <c r="V114" s="28" t="str">
        <f t="shared" si="20"/>
        <v/>
      </c>
      <c r="W114" s="28" t="str">
        <f t="shared" si="20"/>
        <v/>
      </c>
      <c r="X114" s="29" t="str">
        <f t="shared" si="20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7"/>
        <v/>
      </c>
      <c r="M115" s="19" t="str">
        <f t="shared" si="17"/>
        <v/>
      </c>
      <c r="N115" s="19" t="str">
        <f t="shared" si="17"/>
        <v/>
      </c>
      <c r="O115" s="19" t="str">
        <f t="shared" si="16"/>
        <v/>
      </c>
      <c r="P115" s="19" t="str">
        <f t="shared" si="16"/>
        <v/>
      </c>
      <c r="Q115" s="19" t="str">
        <f t="shared" si="16"/>
        <v/>
      </c>
      <c r="R115" s="19" t="str">
        <f t="shared" si="16"/>
        <v/>
      </c>
      <c r="S115" s="27" t="str">
        <f t="shared" si="20"/>
        <v/>
      </c>
      <c r="T115" s="28" t="str">
        <f t="shared" si="20"/>
        <v/>
      </c>
      <c r="U115" s="28" t="str">
        <f t="shared" si="20"/>
        <v/>
      </c>
      <c r="V115" s="28" t="str">
        <f t="shared" si="20"/>
        <v/>
      </c>
      <c r="W115" s="28" t="str">
        <f t="shared" si="20"/>
        <v/>
      </c>
      <c r="X115" s="29" t="str">
        <f t="shared" si="20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7"/>
        <v/>
      </c>
      <c r="M116" s="19" t="str">
        <f t="shared" si="17"/>
        <v/>
      </c>
      <c r="N116" s="19" t="str">
        <f t="shared" si="17"/>
        <v/>
      </c>
      <c r="O116" s="19" t="str">
        <f t="shared" si="16"/>
        <v/>
      </c>
      <c r="P116" s="19" t="str">
        <f t="shared" si="16"/>
        <v/>
      </c>
      <c r="Q116" s="19" t="str">
        <f t="shared" si="16"/>
        <v/>
      </c>
      <c r="R116" s="19" t="str">
        <f t="shared" si="16"/>
        <v/>
      </c>
      <c r="S116" s="27" t="str">
        <f t="shared" si="20"/>
        <v/>
      </c>
      <c r="T116" s="28" t="str">
        <f t="shared" si="20"/>
        <v/>
      </c>
      <c r="U116" s="28" t="str">
        <f t="shared" si="20"/>
        <v/>
      </c>
      <c r="V116" s="28" t="str">
        <f t="shared" si="20"/>
        <v/>
      </c>
      <c r="W116" s="28" t="str">
        <f t="shared" si="20"/>
        <v/>
      </c>
      <c r="X116" s="29" t="str">
        <f t="shared" si="20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7"/>
        <v/>
      </c>
      <c r="M117" s="19" t="str">
        <f t="shared" si="17"/>
        <v/>
      </c>
      <c r="N117" s="19" t="str">
        <f t="shared" si="17"/>
        <v/>
      </c>
      <c r="O117" s="19" t="str">
        <f t="shared" si="16"/>
        <v/>
      </c>
      <c r="P117" s="19" t="str">
        <f t="shared" si="16"/>
        <v/>
      </c>
      <c r="Q117" s="19" t="str">
        <f t="shared" si="16"/>
        <v/>
      </c>
      <c r="R117" s="19" t="str">
        <f t="shared" si="16"/>
        <v/>
      </c>
      <c r="S117" s="27" t="str">
        <f t="shared" si="20"/>
        <v/>
      </c>
      <c r="T117" s="28" t="str">
        <f t="shared" si="20"/>
        <v/>
      </c>
      <c r="U117" s="28" t="str">
        <f t="shared" si="20"/>
        <v/>
      </c>
      <c r="V117" s="28" t="str">
        <f t="shared" si="20"/>
        <v/>
      </c>
      <c r="W117" s="28" t="str">
        <f t="shared" si="20"/>
        <v/>
      </c>
      <c r="X117" s="29" t="str">
        <f t="shared" si="20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17"/>
        <v/>
      </c>
      <c r="M118" s="19" t="str">
        <f t="shared" si="17"/>
        <v/>
      </c>
      <c r="N118" s="19" t="str">
        <f t="shared" si="17"/>
        <v/>
      </c>
      <c r="O118" s="19" t="str">
        <f t="shared" si="16"/>
        <v/>
      </c>
      <c r="P118" s="19" t="str">
        <f t="shared" si="16"/>
        <v/>
      </c>
      <c r="Q118" s="19" t="str">
        <f t="shared" si="16"/>
        <v/>
      </c>
      <c r="R118" s="19" t="str">
        <f t="shared" si="16"/>
        <v/>
      </c>
      <c r="S118" s="27" t="str">
        <f t="shared" si="20"/>
        <v/>
      </c>
      <c r="T118" s="28" t="str">
        <f t="shared" si="20"/>
        <v/>
      </c>
      <c r="U118" s="28" t="str">
        <f t="shared" si="20"/>
        <v/>
      </c>
      <c r="V118" s="28" t="str">
        <f t="shared" si="20"/>
        <v/>
      </c>
      <c r="W118" s="28" t="str">
        <f t="shared" si="20"/>
        <v/>
      </c>
      <c r="X118" s="29" t="str">
        <f t="shared" si="20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17"/>
        <v/>
      </c>
      <c r="M119" s="19" t="str">
        <f t="shared" si="17"/>
        <v/>
      </c>
      <c r="N119" s="19" t="str">
        <f t="shared" si="17"/>
        <v/>
      </c>
      <c r="O119" s="19" t="str">
        <f t="shared" si="16"/>
        <v/>
      </c>
      <c r="P119" s="19" t="str">
        <f t="shared" si="16"/>
        <v/>
      </c>
      <c r="Q119" s="19" t="str">
        <f t="shared" si="16"/>
        <v/>
      </c>
      <c r="R119" s="19" t="str">
        <f t="shared" si="16"/>
        <v/>
      </c>
      <c r="S119" s="27" t="str">
        <f t="shared" si="20"/>
        <v/>
      </c>
      <c r="T119" s="28" t="str">
        <f t="shared" si="20"/>
        <v/>
      </c>
      <c r="U119" s="28" t="str">
        <f t="shared" si="20"/>
        <v/>
      </c>
      <c r="V119" s="28" t="str">
        <f t="shared" si="20"/>
        <v/>
      </c>
      <c r="W119" s="28" t="str">
        <f t="shared" si="20"/>
        <v/>
      </c>
      <c r="X119" s="29" t="str">
        <f t="shared" si="20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17"/>
        <v/>
      </c>
      <c r="M120" s="19" t="str">
        <f t="shared" si="17"/>
        <v/>
      </c>
      <c r="N120" s="19" t="str">
        <f t="shared" si="17"/>
        <v/>
      </c>
      <c r="O120" s="19" t="str">
        <f t="shared" si="16"/>
        <v/>
      </c>
      <c r="P120" s="19" t="str">
        <f t="shared" si="16"/>
        <v/>
      </c>
      <c r="Q120" s="19" t="str">
        <f t="shared" si="16"/>
        <v/>
      </c>
      <c r="R120" s="19" t="str">
        <f t="shared" si="16"/>
        <v/>
      </c>
      <c r="S120" s="27" t="str">
        <f t="shared" si="20"/>
        <v/>
      </c>
      <c r="T120" s="28" t="str">
        <f t="shared" si="20"/>
        <v/>
      </c>
      <c r="U120" s="28" t="str">
        <f t="shared" si="20"/>
        <v/>
      </c>
      <c r="V120" s="28" t="str">
        <f t="shared" si="20"/>
        <v/>
      </c>
      <c r="W120" s="28" t="str">
        <f t="shared" si="20"/>
        <v/>
      </c>
      <c r="X120" s="29" t="str">
        <f t="shared" si="20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17"/>
        <v/>
      </c>
      <c r="M121" s="19" t="str">
        <f t="shared" si="17"/>
        <v/>
      </c>
      <c r="N121" s="19" t="str">
        <f t="shared" si="17"/>
        <v/>
      </c>
      <c r="O121" s="19" t="str">
        <f t="shared" si="16"/>
        <v/>
      </c>
      <c r="P121" s="19" t="str">
        <f t="shared" si="16"/>
        <v/>
      </c>
      <c r="Q121" s="19" t="str">
        <f t="shared" si="16"/>
        <v/>
      </c>
      <c r="R121" s="19" t="str">
        <f t="shared" si="16"/>
        <v/>
      </c>
      <c r="S121" s="27" t="str">
        <f t="shared" si="20"/>
        <v/>
      </c>
      <c r="T121" s="28" t="str">
        <f t="shared" si="20"/>
        <v/>
      </c>
      <c r="U121" s="28" t="str">
        <f t="shared" si="20"/>
        <v/>
      </c>
      <c r="V121" s="28" t="str">
        <f t="shared" si="20"/>
        <v/>
      </c>
      <c r="W121" s="28" t="str">
        <f t="shared" si="20"/>
        <v/>
      </c>
      <c r="X121" s="29" t="str">
        <f t="shared" si="20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17"/>
        <v/>
      </c>
      <c r="M122" s="19" t="str">
        <f t="shared" si="17"/>
        <v/>
      </c>
      <c r="N122" s="19" t="str">
        <f t="shared" si="17"/>
        <v/>
      </c>
      <c r="O122" s="19" t="str">
        <f t="shared" si="16"/>
        <v/>
      </c>
      <c r="P122" s="19" t="str">
        <f t="shared" si="16"/>
        <v/>
      </c>
      <c r="Q122" s="19" t="str">
        <f t="shared" si="16"/>
        <v/>
      </c>
      <c r="R122" s="19" t="str">
        <f t="shared" si="16"/>
        <v/>
      </c>
      <c r="S122" s="27" t="str">
        <f t="shared" si="20"/>
        <v/>
      </c>
      <c r="T122" s="28" t="str">
        <f t="shared" si="20"/>
        <v/>
      </c>
      <c r="U122" s="28" t="str">
        <f t="shared" si="20"/>
        <v/>
      </c>
      <c r="V122" s="28" t="str">
        <f t="shared" si="20"/>
        <v/>
      </c>
      <c r="W122" s="28" t="str">
        <f t="shared" si="20"/>
        <v/>
      </c>
      <c r="X122" s="29" t="str">
        <f t="shared" si="20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17"/>
        <v/>
      </c>
      <c r="M123" s="19" t="str">
        <f t="shared" si="17"/>
        <v/>
      </c>
      <c r="N123" s="19" t="str">
        <f t="shared" si="17"/>
        <v/>
      </c>
      <c r="O123" s="19" t="str">
        <f t="shared" si="16"/>
        <v/>
      </c>
      <c r="P123" s="19" t="str">
        <f t="shared" si="16"/>
        <v/>
      </c>
      <c r="Q123" s="19" t="str">
        <f t="shared" si="16"/>
        <v/>
      </c>
      <c r="R123" s="19" t="str">
        <f t="shared" si="16"/>
        <v/>
      </c>
      <c r="S123" s="27" t="str">
        <f t="shared" si="20"/>
        <v/>
      </c>
      <c r="T123" s="28" t="str">
        <f t="shared" si="20"/>
        <v/>
      </c>
      <c r="U123" s="28" t="str">
        <f t="shared" si="20"/>
        <v/>
      </c>
      <c r="V123" s="28" t="str">
        <f t="shared" si="20"/>
        <v/>
      </c>
      <c r="W123" s="28" t="str">
        <f t="shared" si="20"/>
        <v/>
      </c>
      <c r="X123" s="29" t="str">
        <f t="shared" si="20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17"/>
        <v/>
      </c>
      <c r="M124" s="19" t="str">
        <f t="shared" si="17"/>
        <v/>
      </c>
      <c r="N124" s="19" t="str">
        <f t="shared" si="17"/>
        <v/>
      </c>
      <c r="O124" s="19" t="str">
        <f t="shared" si="16"/>
        <v/>
      </c>
      <c r="P124" s="19" t="str">
        <f t="shared" si="16"/>
        <v/>
      </c>
      <c r="Q124" s="19" t="str">
        <f t="shared" si="16"/>
        <v/>
      </c>
      <c r="R124" s="19" t="str">
        <f t="shared" si="16"/>
        <v/>
      </c>
      <c r="S124" s="27" t="str">
        <f t="shared" si="20"/>
        <v/>
      </c>
      <c r="T124" s="28" t="str">
        <f t="shared" si="20"/>
        <v/>
      </c>
      <c r="U124" s="28" t="str">
        <f t="shared" si="20"/>
        <v/>
      </c>
      <c r="V124" s="28" t="str">
        <f t="shared" si="20"/>
        <v/>
      </c>
      <c r="W124" s="28" t="str">
        <f t="shared" si="20"/>
        <v/>
      </c>
      <c r="X124" s="29" t="str">
        <f t="shared" si="20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17"/>
        <v/>
      </c>
      <c r="M125" s="19" t="str">
        <f t="shared" si="17"/>
        <v/>
      </c>
      <c r="N125" s="19" t="str">
        <f t="shared" si="17"/>
        <v/>
      </c>
      <c r="O125" s="19" t="str">
        <f t="shared" si="16"/>
        <v/>
      </c>
      <c r="P125" s="19" t="str">
        <f t="shared" si="16"/>
        <v/>
      </c>
      <c r="Q125" s="19" t="str">
        <f t="shared" si="16"/>
        <v/>
      </c>
      <c r="R125" s="19" t="str">
        <f t="shared" si="16"/>
        <v/>
      </c>
      <c r="S125" s="27" t="str">
        <f t="shared" si="20"/>
        <v/>
      </c>
      <c r="T125" s="28" t="str">
        <f t="shared" si="20"/>
        <v/>
      </c>
      <c r="U125" s="28" t="str">
        <f t="shared" si="20"/>
        <v/>
      </c>
      <c r="V125" s="28" t="str">
        <f t="shared" si="20"/>
        <v/>
      </c>
      <c r="W125" s="28" t="str">
        <f t="shared" si="20"/>
        <v/>
      </c>
      <c r="X125" s="29" t="str">
        <f t="shared" si="20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17"/>
        <v/>
      </c>
      <c r="M126" s="19" t="str">
        <f t="shared" si="17"/>
        <v/>
      </c>
      <c r="N126" s="19" t="str">
        <f t="shared" si="17"/>
        <v/>
      </c>
      <c r="O126" s="19" t="str">
        <f t="shared" si="16"/>
        <v/>
      </c>
      <c r="P126" s="19" t="str">
        <f t="shared" si="16"/>
        <v/>
      </c>
      <c r="Q126" s="19" t="str">
        <f t="shared" si="16"/>
        <v/>
      </c>
      <c r="R126" s="19" t="str">
        <f t="shared" si="16"/>
        <v/>
      </c>
      <c r="S126" s="27" t="str">
        <f t="shared" si="20"/>
        <v/>
      </c>
      <c r="T126" s="28" t="str">
        <f t="shared" si="20"/>
        <v/>
      </c>
      <c r="U126" s="28" t="str">
        <f t="shared" si="20"/>
        <v/>
      </c>
      <c r="V126" s="28" t="str">
        <f t="shared" si="20"/>
        <v/>
      </c>
      <c r="W126" s="28" t="str">
        <f t="shared" si="20"/>
        <v/>
      </c>
      <c r="X126" s="29" t="str">
        <f t="shared" si="20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17"/>
        <v/>
      </c>
      <c r="M127" s="19" t="str">
        <f t="shared" si="17"/>
        <v/>
      </c>
      <c r="N127" s="19" t="str">
        <f t="shared" si="17"/>
        <v/>
      </c>
      <c r="O127" s="19" t="str">
        <f t="shared" si="16"/>
        <v/>
      </c>
      <c r="P127" s="19" t="str">
        <f t="shared" si="16"/>
        <v/>
      </c>
      <c r="Q127" s="19" t="str">
        <f t="shared" si="16"/>
        <v/>
      </c>
      <c r="R127" s="19" t="str">
        <f t="shared" si="16"/>
        <v/>
      </c>
      <c r="S127" s="27" t="str">
        <f t="shared" si="20"/>
        <v/>
      </c>
      <c r="T127" s="28" t="str">
        <f t="shared" si="20"/>
        <v/>
      </c>
      <c r="U127" s="28" t="str">
        <f t="shared" si="20"/>
        <v/>
      </c>
      <c r="V127" s="28" t="str">
        <f t="shared" si="20"/>
        <v/>
      </c>
      <c r="W127" s="28" t="str">
        <f t="shared" si="20"/>
        <v/>
      </c>
      <c r="X127" s="29" t="str">
        <f t="shared" si="20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17"/>
        <v/>
      </c>
      <c r="M128" s="19" t="str">
        <f t="shared" si="17"/>
        <v/>
      </c>
      <c r="N128" s="19" t="str">
        <f t="shared" si="17"/>
        <v/>
      </c>
      <c r="O128" s="19" t="str">
        <f t="shared" si="16"/>
        <v/>
      </c>
      <c r="P128" s="19" t="str">
        <f t="shared" si="16"/>
        <v/>
      </c>
      <c r="Q128" s="19" t="str">
        <f t="shared" si="16"/>
        <v/>
      </c>
      <c r="R128" s="19" t="str">
        <f t="shared" si="16"/>
        <v/>
      </c>
      <c r="S128" s="27" t="str">
        <f t="shared" si="20"/>
        <v/>
      </c>
      <c r="T128" s="28" t="str">
        <f t="shared" si="20"/>
        <v/>
      </c>
      <c r="U128" s="28" t="str">
        <f t="shared" si="20"/>
        <v/>
      </c>
      <c r="V128" s="28" t="str">
        <f t="shared" si="20"/>
        <v/>
      </c>
      <c r="W128" s="28" t="str">
        <f t="shared" si="20"/>
        <v/>
      </c>
      <c r="X128" s="29" t="str">
        <f t="shared" si="20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17"/>
        <v/>
      </c>
      <c r="M129" s="19" t="str">
        <f t="shared" si="17"/>
        <v/>
      </c>
      <c r="N129" s="19" t="str">
        <f t="shared" si="17"/>
        <v/>
      </c>
      <c r="O129" s="19" t="str">
        <f t="shared" si="16"/>
        <v/>
      </c>
      <c r="P129" s="19" t="str">
        <f t="shared" si="16"/>
        <v/>
      </c>
      <c r="Q129" s="19" t="str">
        <f t="shared" si="16"/>
        <v/>
      </c>
      <c r="R129" s="19" t="str">
        <f t="shared" si="16"/>
        <v/>
      </c>
      <c r="S129" s="27" t="str">
        <f t="shared" ref="S129:X144" si="21">IF(C129="","",((C129-C128)*1000)/($B129-$B128))</f>
        <v/>
      </c>
      <c r="T129" s="28" t="str">
        <f t="shared" si="21"/>
        <v/>
      </c>
      <c r="U129" s="28" t="str">
        <f t="shared" si="21"/>
        <v/>
      </c>
      <c r="V129" s="28" t="str">
        <f t="shared" si="21"/>
        <v/>
      </c>
      <c r="W129" s="28" t="str">
        <f t="shared" si="21"/>
        <v/>
      </c>
      <c r="X129" s="29" t="str">
        <f t="shared" si="21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17"/>
        <v/>
      </c>
      <c r="M130" s="19" t="str">
        <f t="shared" si="17"/>
        <v/>
      </c>
      <c r="N130" s="19" t="str">
        <f t="shared" si="17"/>
        <v/>
      </c>
      <c r="O130" s="19" t="str">
        <f t="shared" si="16"/>
        <v/>
      </c>
      <c r="P130" s="19" t="str">
        <f t="shared" si="16"/>
        <v/>
      </c>
      <c r="Q130" s="19" t="str">
        <f t="shared" si="16"/>
        <v/>
      </c>
      <c r="R130" s="19" t="str">
        <f t="shared" si="16"/>
        <v/>
      </c>
      <c r="S130" s="27" t="str">
        <f t="shared" si="21"/>
        <v/>
      </c>
      <c r="T130" s="28" t="str">
        <f t="shared" si="21"/>
        <v/>
      </c>
      <c r="U130" s="28" t="str">
        <f t="shared" si="21"/>
        <v/>
      </c>
      <c r="V130" s="28" t="str">
        <f t="shared" si="21"/>
        <v/>
      </c>
      <c r="W130" s="28" t="str">
        <f t="shared" si="21"/>
        <v/>
      </c>
      <c r="X130" s="29" t="str">
        <f t="shared" si="21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17"/>
        <v/>
      </c>
      <c r="M131" s="19" t="str">
        <f t="shared" si="17"/>
        <v/>
      </c>
      <c r="N131" s="19" t="str">
        <f t="shared" si="17"/>
        <v/>
      </c>
      <c r="O131" s="19" t="str">
        <f t="shared" si="16"/>
        <v/>
      </c>
      <c r="P131" s="19" t="str">
        <f t="shared" si="16"/>
        <v/>
      </c>
      <c r="Q131" s="19" t="str">
        <f t="shared" si="16"/>
        <v/>
      </c>
      <c r="R131" s="19" t="str">
        <f t="shared" ref="R131:R152" si="22">IF(ISBLANK(I131),"",(I131-I$16)*1000)</f>
        <v/>
      </c>
      <c r="S131" s="27" t="str">
        <f t="shared" si="21"/>
        <v/>
      </c>
      <c r="T131" s="28" t="str">
        <f t="shared" si="21"/>
        <v/>
      </c>
      <c r="U131" s="28" t="str">
        <f t="shared" si="21"/>
        <v/>
      </c>
      <c r="V131" s="28" t="str">
        <f t="shared" si="21"/>
        <v/>
      </c>
      <c r="W131" s="28" t="str">
        <f t="shared" si="21"/>
        <v/>
      </c>
      <c r="X131" s="29" t="str">
        <f t="shared" si="21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17"/>
        <v/>
      </c>
      <c r="M132" s="19" t="str">
        <f t="shared" si="17"/>
        <v/>
      </c>
      <c r="N132" s="19" t="str">
        <f t="shared" si="17"/>
        <v/>
      </c>
      <c r="O132" s="19" t="str">
        <f t="shared" si="17"/>
        <v/>
      </c>
      <c r="P132" s="19" t="str">
        <f t="shared" si="17"/>
        <v/>
      </c>
      <c r="Q132" s="19" t="str">
        <f t="shared" si="17"/>
        <v/>
      </c>
      <c r="R132" s="19" t="str">
        <f t="shared" si="22"/>
        <v/>
      </c>
      <c r="S132" s="27" t="str">
        <f t="shared" si="21"/>
        <v/>
      </c>
      <c r="T132" s="28" t="str">
        <f t="shared" si="21"/>
        <v/>
      </c>
      <c r="U132" s="28" t="str">
        <f t="shared" si="21"/>
        <v/>
      </c>
      <c r="V132" s="28" t="str">
        <f t="shared" si="21"/>
        <v/>
      </c>
      <c r="W132" s="28" t="str">
        <f t="shared" si="21"/>
        <v/>
      </c>
      <c r="X132" s="29" t="str">
        <f t="shared" si="21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Q153" si="23">IF(ISBLANK(C133),"",(C133-C$16)*1000)</f>
        <v/>
      </c>
      <c r="M133" s="19" t="str">
        <f t="shared" si="23"/>
        <v/>
      </c>
      <c r="N133" s="19" t="str">
        <f t="shared" si="23"/>
        <v/>
      </c>
      <c r="O133" s="19" t="str">
        <f t="shared" si="23"/>
        <v/>
      </c>
      <c r="P133" s="19" t="str">
        <f t="shared" si="23"/>
        <v/>
      </c>
      <c r="Q133" s="19" t="str">
        <f t="shared" si="23"/>
        <v/>
      </c>
      <c r="R133" s="19" t="str">
        <f t="shared" si="22"/>
        <v/>
      </c>
      <c r="S133" s="27" t="str">
        <f t="shared" si="21"/>
        <v/>
      </c>
      <c r="T133" s="28" t="str">
        <f t="shared" si="21"/>
        <v/>
      </c>
      <c r="U133" s="28" t="str">
        <f t="shared" si="21"/>
        <v/>
      </c>
      <c r="V133" s="28" t="str">
        <f t="shared" si="21"/>
        <v/>
      </c>
      <c r="W133" s="28" t="str">
        <f t="shared" si="21"/>
        <v/>
      </c>
      <c r="X133" s="29" t="str">
        <f t="shared" si="21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3"/>
        <v/>
      </c>
      <c r="M134" s="19" t="str">
        <f t="shared" si="23"/>
        <v/>
      </c>
      <c r="N134" s="19" t="str">
        <f t="shared" si="23"/>
        <v/>
      </c>
      <c r="O134" s="19" t="str">
        <f t="shared" si="23"/>
        <v/>
      </c>
      <c r="P134" s="19" t="str">
        <f t="shared" si="23"/>
        <v/>
      </c>
      <c r="Q134" s="19" t="str">
        <f t="shared" si="23"/>
        <v/>
      </c>
      <c r="R134" s="19" t="str">
        <f t="shared" si="22"/>
        <v/>
      </c>
      <c r="S134" s="27" t="str">
        <f t="shared" si="21"/>
        <v/>
      </c>
      <c r="T134" s="28" t="str">
        <f t="shared" si="21"/>
        <v/>
      </c>
      <c r="U134" s="28" t="str">
        <f t="shared" si="21"/>
        <v/>
      </c>
      <c r="V134" s="28" t="str">
        <f t="shared" si="21"/>
        <v/>
      </c>
      <c r="W134" s="28" t="str">
        <f t="shared" si="21"/>
        <v/>
      </c>
      <c r="X134" s="29" t="str">
        <f t="shared" si="21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3"/>
        <v/>
      </c>
      <c r="M135" s="19" t="str">
        <f t="shared" si="23"/>
        <v/>
      </c>
      <c r="N135" s="19" t="str">
        <f t="shared" si="23"/>
        <v/>
      </c>
      <c r="O135" s="19" t="str">
        <f t="shared" si="23"/>
        <v/>
      </c>
      <c r="P135" s="19" t="str">
        <f t="shared" si="23"/>
        <v/>
      </c>
      <c r="Q135" s="19" t="str">
        <f t="shared" si="23"/>
        <v/>
      </c>
      <c r="R135" s="19" t="str">
        <f t="shared" si="22"/>
        <v/>
      </c>
      <c r="S135" s="27" t="str">
        <f t="shared" si="21"/>
        <v/>
      </c>
      <c r="T135" s="28" t="str">
        <f t="shared" si="21"/>
        <v/>
      </c>
      <c r="U135" s="28" t="str">
        <f t="shared" si="21"/>
        <v/>
      </c>
      <c r="V135" s="28" t="str">
        <f t="shared" si="21"/>
        <v/>
      </c>
      <c r="W135" s="28" t="str">
        <f t="shared" si="21"/>
        <v/>
      </c>
      <c r="X135" s="29" t="str">
        <f t="shared" si="21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3"/>
        <v/>
      </c>
      <c r="M136" s="19" t="str">
        <f t="shared" si="23"/>
        <v/>
      </c>
      <c r="N136" s="19" t="str">
        <f t="shared" si="23"/>
        <v/>
      </c>
      <c r="O136" s="19" t="str">
        <f t="shared" si="23"/>
        <v/>
      </c>
      <c r="P136" s="19" t="str">
        <f t="shared" si="23"/>
        <v/>
      </c>
      <c r="Q136" s="19" t="str">
        <f t="shared" si="23"/>
        <v/>
      </c>
      <c r="R136" s="19" t="str">
        <f t="shared" si="22"/>
        <v/>
      </c>
      <c r="S136" s="27" t="str">
        <f t="shared" si="21"/>
        <v/>
      </c>
      <c r="T136" s="28" t="str">
        <f t="shared" si="21"/>
        <v/>
      </c>
      <c r="U136" s="28" t="str">
        <f t="shared" si="21"/>
        <v/>
      </c>
      <c r="V136" s="28" t="str">
        <f t="shared" si="21"/>
        <v/>
      </c>
      <c r="W136" s="28" t="str">
        <f t="shared" si="21"/>
        <v/>
      </c>
      <c r="X136" s="29" t="str">
        <f t="shared" si="21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3"/>
        <v/>
      </c>
      <c r="M137" s="19" t="str">
        <f t="shared" si="23"/>
        <v/>
      </c>
      <c r="N137" s="19" t="str">
        <f t="shared" si="23"/>
        <v/>
      </c>
      <c r="O137" s="19" t="str">
        <f t="shared" si="23"/>
        <v/>
      </c>
      <c r="P137" s="19" t="str">
        <f t="shared" si="23"/>
        <v/>
      </c>
      <c r="Q137" s="19" t="str">
        <f t="shared" si="23"/>
        <v/>
      </c>
      <c r="R137" s="19" t="str">
        <f t="shared" si="22"/>
        <v/>
      </c>
      <c r="S137" s="27" t="str">
        <f t="shared" si="21"/>
        <v/>
      </c>
      <c r="T137" s="28" t="str">
        <f t="shared" si="21"/>
        <v/>
      </c>
      <c r="U137" s="28" t="str">
        <f t="shared" si="21"/>
        <v/>
      </c>
      <c r="V137" s="28" t="str">
        <f t="shared" si="21"/>
        <v/>
      </c>
      <c r="W137" s="28" t="str">
        <f t="shared" si="21"/>
        <v/>
      </c>
      <c r="X137" s="29" t="str">
        <f t="shared" si="21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3"/>
        <v/>
      </c>
      <c r="M138" s="19" t="str">
        <f t="shared" si="23"/>
        <v/>
      </c>
      <c r="N138" s="19" t="str">
        <f t="shared" si="23"/>
        <v/>
      </c>
      <c r="O138" s="19" t="str">
        <f t="shared" si="23"/>
        <v/>
      </c>
      <c r="P138" s="19" t="str">
        <f t="shared" si="23"/>
        <v/>
      </c>
      <c r="Q138" s="19" t="str">
        <f t="shared" si="23"/>
        <v/>
      </c>
      <c r="R138" s="19" t="str">
        <f t="shared" si="22"/>
        <v/>
      </c>
      <c r="S138" s="27" t="str">
        <f t="shared" si="21"/>
        <v/>
      </c>
      <c r="T138" s="28" t="str">
        <f t="shared" si="21"/>
        <v/>
      </c>
      <c r="U138" s="28" t="str">
        <f t="shared" si="21"/>
        <v/>
      </c>
      <c r="V138" s="28" t="str">
        <f t="shared" si="21"/>
        <v/>
      </c>
      <c r="W138" s="28" t="str">
        <f t="shared" si="21"/>
        <v/>
      </c>
      <c r="X138" s="29" t="str">
        <f t="shared" si="21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3"/>
        <v/>
      </c>
      <c r="M139" s="19" t="str">
        <f t="shared" si="23"/>
        <v/>
      </c>
      <c r="N139" s="19" t="str">
        <f t="shared" si="23"/>
        <v/>
      </c>
      <c r="O139" s="19" t="str">
        <f t="shared" si="23"/>
        <v/>
      </c>
      <c r="P139" s="19" t="str">
        <f t="shared" si="23"/>
        <v/>
      </c>
      <c r="Q139" s="19" t="str">
        <f t="shared" si="23"/>
        <v/>
      </c>
      <c r="R139" s="19" t="str">
        <f t="shared" si="22"/>
        <v/>
      </c>
      <c r="S139" s="27" t="str">
        <f t="shared" si="21"/>
        <v/>
      </c>
      <c r="T139" s="28" t="str">
        <f t="shared" si="21"/>
        <v/>
      </c>
      <c r="U139" s="28" t="str">
        <f t="shared" si="21"/>
        <v/>
      </c>
      <c r="V139" s="28" t="str">
        <f t="shared" si="21"/>
        <v/>
      </c>
      <c r="W139" s="28" t="str">
        <f t="shared" si="21"/>
        <v/>
      </c>
      <c r="X139" s="29" t="str">
        <f t="shared" si="21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3"/>
        <v/>
      </c>
      <c r="M140" s="19" t="str">
        <f t="shared" si="23"/>
        <v/>
      </c>
      <c r="N140" s="19" t="str">
        <f t="shared" si="23"/>
        <v/>
      </c>
      <c r="O140" s="19" t="str">
        <f t="shared" si="23"/>
        <v/>
      </c>
      <c r="P140" s="19" t="str">
        <f t="shared" si="23"/>
        <v/>
      </c>
      <c r="Q140" s="19" t="str">
        <f t="shared" si="23"/>
        <v/>
      </c>
      <c r="R140" s="19" t="str">
        <f t="shared" si="22"/>
        <v/>
      </c>
      <c r="S140" s="27" t="str">
        <f t="shared" si="21"/>
        <v/>
      </c>
      <c r="T140" s="28" t="str">
        <f t="shared" si="21"/>
        <v/>
      </c>
      <c r="U140" s="28" t="str">
        <f t="shared" si="21"/>
        <v/>
      </c>
      <c r="V140" s="28" t="str">
        <f t="shared" si="21"/>
        <v/>
      </c>
      <c r="W140" s="28" t="str">
        <f t="shared" si="21"/>
        <v/>
      </c>
      <c r="X140" s="29" t="str">
        <f t="shared" si="21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3"/>
        <v/>
      </c>
      <c r="M141" s="19" t="str">
        <f t="shared" si="23"/>
        <v/>
      </c>
      <c r="N141" s="19" t="str">
        <f t="shared" si="23"/>
        <v/>
      </c>
      <c r="O141" s="19" t="str">
        <f t="shared" si="23"/>
        <v/>
      </c>
      <c r="P141" s="19" t="str">
        <f t="shared" si="23"/>
        <v/>
      </c>
      <c r="Q141" s="19" t="str">
        <f t="shared" si="23"/>
        <v/>
      </c>
      <c r="R141" s="19" t="str">
        <f t="shared" si="22"/>
        <v/>
      </c>
      <c r="S141" s="27" t="str">
        <f t="shared" si="21"/>
        <v/>
      </c>
      <c r="T141" s="28" t="str">
        <f t="shared" si="21"/>
        <v/>
      </c>
      <c r="U141" s="28" t="str">
        <f t="shared" si="21"/>
        <v/>
      </c>
      <c r="V141" s="28" t="str">
        <f t="shared" si="21"/>
        <v/>
      </c>
      <c r="W141" s="28" t="str">
        <f t="shared" si="21"/>
        <v/>
      </c>
      <c r="X141" s="29" t="str">
        <f t="shared" si="21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3"/>
        <v/>
      </c>
      <c r="M142" s="19" t="str">
        <f t="shared" si="23"/>
        <v/>
      </c>
      <c r="N142" s="19" t="str">
        <f t="shared" si="23"/>
        <v/>
      </c>
      <c r="O142" s="19" t="str">
        <f t="shared" si="23"/>
        <v/>
      </c>
      <c r="P142" s="19" t="str">
        <f t="shared" si="23"/>
        <v/>
      </c>
      <c r="Q142" s="19" t="str">
        <f t="shared" si="23"/>
        <v/>
      </c>
      <c r="R142" s="19" t="str">
        <f t="shared" si="22"/>
        <v/>
      </c>
      <c r="S142" s="27" t="str">
        <f t="shared" si="21"/>
        <v/>
      </c>
      <c r="T142" s="28" t="str">
        <f t="shared" si="21"/>
        <v/>
      </c>
      <c r="U142" s="28" t="str">
        <f t="shared" si="21"/>
        <v/>
      </c>
      <c r="V142" s="28" t="str">
        <f t="shared" si="21"/>
        <v/>
      </c>
      <c r="W142" s="28" t="str">
        <f t="shared" si="21"/>
        <v/>
      </c>
      <c r="X142" s="29" t="str">
        <f t="shared" si="21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3"/>
        <v/>
      </c>
      <c r="M143" s="19" t="str">
        <f t="shared" si="23"/>
        <v/>
      </c>
      <c r="N143" s="19" t="str">
        <f t="shared" si="23"/>
        <v/>
      </c>
      <c r="O143" s="19" t="str">
        <f t="shared" si="23"/>
        <v/>
      </c>
      <c r="P143" s="19" t="str">
        <f t="shared" si="23"/>
        <v/>
      </c>
      <c r="Q143" s="19" t="str">
        <f t="shared" si="23"/>
        <v/>
      </c>
      <c r="R143" s="19" t="str">
        <f t="shared" si="22"/>
        <v/>
      </c>
      <c r="S143" s="27" t="str">
        <f t="shared" si="21"/>
        <v/>
      </c>
      <c r="T143" s="28" t="str">
        <f t="shared" si="21"/>
        <v/>
      </c>
      <c r="U143" s="28" t="str">
        <f t="shared" si="21"/>
        <v/>
      </c>
      <c r="V143" s="28" t="str">
        <f t="shared" si="21"/>
        <v/>
      </c>
      <c r="W143" s="28" t="str">
        <f t="shared" si="21"/>
        <v/>
      </c>
      <c r="X143" s="29" t="str">
        <f t="shared" si="21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3"/>
        <v/>
      </c>
      <c r="M144" s="19" t="str">
        <f t="shared" si="23"/>
        <v/>
      </c>
      <c r="N144" s="19" t="str">
        <f t="shared" si="23"/>
        <v/>
      </c>
      <c r="O144" s="19" t="str">
        <f t="shared" si="23"/>
        <v/>
      </c>
      <c r="P144" s="19" t="str">
        <f t="shared" si="23"/>
        <v/>
      </c>
      <c r="Q144" s="19" t="str">
        <f t="shared" si="23"/>
        <v/>
      </c>
      <c r="R144" s="19" t="str">
        <f t="shared" si="22"/>
        <v/>
      </c>
      <c r="S144" s="27" t="str">
        <f t="shared" si="21"/>
        <v/>
      </c>
      <c r="T144" s="28" t="str">
        <f t="shared" si="21"/>
        <v/>
      </c>
      <c r="U144" s="28" t="str">
        <f t="shared" si="21"/>
        <v/>
      </c>
      <c r="V144" s="28" t="str">
        <f t="shared" si="21"/>
        <v/>
      </c>
      <c r="W144" s="28" t="str">
        <f t="shared" si="21"/>
        <v/>
      </c>
      <c r="X144" s="29" t="str">
        <f t="shared" si="21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3"/>
        <v/>
      </c>
      <c r="M145" s="19" t="str">
        <f t="shared" si="23"/>
        <v/>
      </c>
      <c r="N145" s="19" t="str">
        <f t="shared" si="23"/>
        <v/>
      </c>
      <c r="O145" s="19" t="str">
        <f t="shared" si="23"/>
        <v/>
      </c>
      <c r="P145" s="19" t="str">
        <f t="shared" si="23"/>
        <v/>
      </c>
      <c r="Q145" s="19" t="str">
        <f t="shared" si="23"/>
        <v/>
      </c>
      <c r="R145" s="19" t="str">
        <f t="shared" si="22"/>
        <v/>
      </c>
      <c r="S145" s="27" t="str">
        <f t="shared" ref="S145:X153" si="24">IF(C145="","",((C145-C144)*1000)/($B145-$B144))</f>
        <v/>
      </c>
      <c r="T145" s="28" t="str">
        <f t="shared" si="24"/>
        <v/>
      </c>
      <c r="U145" s="28" t="str">
        <f t="shared" si="24"/>
        <v/>
      </c>
      <c r="V145" s="28" t="str">
        <f t="shared" si="24"/>
        <v/>
      </c>
      <c r="W145" s="28" t="str">
        <f t="shared" si="24"/>
        <v/>
      </c>
      <c r="X145" s="29" t="str">
        <f t="shared" si="24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3"/>
        <v/>
      </c>
      <c r="M146" s="19" t="str">
        <f t="shared" si="23"/>
        <v/>
      </c>
      <c r="N146" s="19" t="str">
        <f t="shared" si="23"/>
        <v/>
      </c>
      <c r="O146" s="19" t="str">
        <f t="shared" si="23"/>
        <v/>
      </c>
      <c r="P146" s="19" t="str">
        <f t="shared" si="23"/>
        <v/>
      </c>
      <c r="Q146" s="19" t="str">
        <f t="shared" si="23"/>
        <v/>
      </c>
      <c r="R146" s="19" t="str">
        <f t="shared" si="22"/>
        <v/>
      </c>
      <c r="S146" s="27" t="str">
        <f t="shared" si="24"/>
        <v/>
      </c>
      <c r="T146" s="28" t="str">
        <f t="shared" si="24"/>
        <v/>
      </c>
      <c r="U146" s="28" t="str">
        <f t="shared" si="24"/>
        <v/>
      </c>
      <c r="V146" s="28" t="str">
        <f t="shared" si="24"/>
        <v/>
      </c>
      <c r="W146" s="28" t="str">
        <f t="shared" si="24"/>
        <v/>
      </c>
      <c r="X146" s="29" t="str">
        <f t="shared" si="24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3"/>
        <v/>
      </c>
      <c r="M147" s="19" t="str">
        <f t="shared" si="23"/>
        <v/>
      </c>
      <c r="N147" s="19" t="str">
        <f t="shared" si="23"/>
        <v/>
      </c>
      <c r="O147" s="19" t="str">
        <f t="shared" si="23"/>
        <v/>
      </c>
      <c r="P147" s="19" t="str">
        <f t="shared" si="23"/>
        <v/>
      </c>
      <c r="Q147" s="19" t="str">
        <f t="shared" si="23"/>
        <v/>
      </c>
      <c r="R147" s="19" t="str">
        <f t="shared" si="22"/>
        <v/>
      </c>
      <c r="S147" s="27" t="str">
        <f t="shared" si="24"/>
        <v/>
      </c>
      <c r="T147" s="28" t="str">
        <f t="shared" si="24"/>
        <v/>
      </c>
      <c r="U147" s="28" t="str">
        <f t="shared" si="24"/>
        <v/>
      </c>
      <c r="V147" s="28" t="str">
        <f t="shared" si="24"/>
        <v/>
      </c>
      <c r="W147" s="28" t="str">
        <f t="shared" si="24"/>
        <v/>
      </c>
      <c r="X147" s="29" t="str">
        <f t="shared" si="24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3"/>
        <v/>
      </c>
      <c r="M148" s="19" t="str">
        <f t="shared" si="23"/>
        <v/>
      </c>
      <c r="N148" s="19" t="str">
        <f t="shared" si="23"/>
        <v/>
      </c>
      <c r="O148" s="19" t="str">
        <f t="shared" si="23"/>
        <v/>
      </c>
      <c r="P148" s="19" t="str">
        <f t="shared" si="23"/>
        <v/>
      </c>
      <c r="Q148" s="19" t="str">
        <f t="shared" si="23"/>
        <v/>
      </c>
      <c r="R148" s="19" t="str">
        <f t="shared" si="22"/>
        <v/>
      </c>
      <c r="S148" s="27" t="str">
        <f t="shared" si="24"/>
        <v/>
      </c>
      <c r="T148" s="28" t="str">
        <f t="shared" si="24"/>
        <v/>
      </c>
      <c r="U148" s="28" t="str">
        <f t="shared" si="24"/>
        <v/>
      </c>
      <c r="V148" s="28" t="str">
        <f t="shared" si="24"/>
        <v/>
      </c>
      <c r="W148" s="28" t="str">
        <f t="shared" si="24"/>
        <v/>
      </c>
      <c r="X148" s="29" t="str">
        <f t="shared" si="24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3"/>
        <v/>
      </c>
      <c r="M149" s="19" t="str">
        <f t="shared" si="23"/>
        <v/>
      </c>
      <c r="N149" s="19" t="str">
        <f t="shared" si="23"/>
        <v/>
      </c>
      <c r="O149" s="19" t="str">
        <f t="shared" si="23"/>
        <v/>
      </c>
      <c r="P149" s="19" t="str">
        <f t="shared" si="23"/>
        <v/>
      </c>
      <c r="Q149" s="19" t="str">
        <f t="shared" si="23"/>
        <v/>
      </c>
      <c r="R149" s="19" t="str">
        <f t="shared" si="22"/>
        <v/>
      </c>
      <c r="S149" s="27" t="str">
        <f t="shared" si="24"/>
        <v/>
      </c>
      <c r="T149" s="28" t="str">
        <f t="shared" si="24"/>
        <v/>
      </c>
      <c r="U149" s="28" t="str">
        <f t="shared" si="24"/>
        <v/>
      </c>
      <c r="V149" s="28" t="str">
        <f t="shared" si="24"/>
        <v/>
      </c>
      <c r="W149" s="28" t="str">
        <f t="shared" si="24"/>
        <v/>
      </c>
      <c r="X149" s="29" t="str">
        <f t="shared" si="24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3"/>
        <v/>
      </c>
      <c r="M150" s="19" t="str">
        <f t="shared" si="23"/>
        <v/>
      </c>
      <c r="N150" s="19" t="str">
        <f t="shared" si="23"/>
        <v/>
      </c>
      <c r="O150" s="19" t="str">
        <f t="shared" si="23"/>
        <v/>
      </c>
      <c r="P150" s="19" t="str">
        <f t="shared" si="23"/>
        <v/>
      </c>
      <c r="Q150" s="19" t="str">
        <f t="shared" si="23"/>
        <v/>
      </c>
      <c r="R150" s="19" t="str">
        <f t="shared" si="22"/>
        <v/>
      </c>
      <c r="S150" s="27" t="str">
        <f t="shared" si="24"/>
        <v/>
      </c>
      <c r="T150" s="28" t="str">
        <f t="shared" si="24"/>
        <v/>
      </c>
      <c r="U150" s="28" t="str">
        <f t="shared" si="24"/>
        <v/>
      </c>
      <c r="V150" s="28" t="str">
        <f t="shared" si="24"/>
        <v/>
      </c>
      <c r="W150" s="28" t="str">
        <f t="shared" si="24"/>
        <v/>
      </c>
      <c r="X150" s="29" t="str">
        <f t="shared" si="24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3"/>
        <v/>
      </c>
      <c r="M151" s="19" t="str">
        <f t="shared" si="23"/>
        <v/>
      </c>
      <c r="N151" s="19" t="str">
        <f t="shared" si="23"/>
        <v/>
      </c>
      <c r="O151" s="19" t="str">
        <f t="shared" si="23"/>
        <v/>
      </c>
      <c r="P151" s="19" t="str">
        <f t="shared" si="23"/>
        <v/>
      </c>
      <c r="Q151" s="19" t="str">
        <f t="shared" si="23"/>
        <v/>
      </c>
      <c r="R151" s="19" t="str">
        <f t="shared" si="22"/>
        <v/>
      </c>
      <c r="S151" s="27" t="str">
        <f t="shared" si="24"/>
        <v/>
      </c>
      <c r="T151" s="28" t="str">
        <f t="shared" si="24"/>
        <v/>
      </c>
      <c r="U151" s="28" t="str">
        <f t="shared" si="24"/>
        <v/>
      </c>
      <c r="V151" s="28" t="str">
        <f t="shared" si="24"/>
        <v/>
      </c>
      <c r="W151" s="28" t="str">
        <f t="shared" si="24"/>
        <v/>
      </c>
      <c r="X151" s="29" t="str">
        <f t="shared" si="24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3"/>
        <v/>
      </c>
      <c r="M152" s="19" t="str">
        <f t="shared" si="23"/>
        <v/>
      </c>
      <c r="N152" s="19" t="str">
        <f t="shared" si="23"/>
        <v/>
      </c>
      <c r="O152" s="19" t="str">
        <f t="shared" si="23"/>
        <v/>
      </c>
      <c r="P152" s="19" t="str">
        <f t="shared" si="23"/>
        <v/>
      </c>
      <c r="Q152" s="19" t="str">
        <f t="shared" si="23"/>
        <v/>
      </c>
      <c r="R152" s="19" t="str">
        <f t="shared" si="22"/>
        <v/>
      </c>
      <c r="S152" s="27" t="str">
        <f t="shared" si="24"/>
        <v/>
      </c>
      <c r="T152" s="28" t="str">
        <f t="shared" si="24"/>
        <v/>
      </c>
      <c r="U152" s="28" t="str">
        <f t="shared" si="24"/>
        <v/>
      </c>
      <c r="V152" s="28" t="str">
        <f t="shared" si="24"/>
        <v/>
      </c>
      <c r="W152" s="28" t="str">
        <f t="shared" si="24"/>
        <v/>
      </c>
      <c r="X152" s="29" t="str">
        <f t="shared" si="24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3"/>
        <v/>
      </c>
      <c r="M153" s="19" t="str">
        <f>IF(ISBLANK(D153),"",(D153-D$16)*1000)</f>
        <v/>
      </c>
      <c r="N153" s="19" t="str">
        <f>IF(ISBLANK(E153),"",(E153-E$16)*1000)</f>
        <v/>
      </c>
      <c r="O153" s="19" t="str">
        <f t="shared" si="23"/>
        <v/>
      </c>
      <c r="P153" s="19" t="str">
        <f t="shared" si="23"/>
        <v/>
      </c>
      <c r="Q153" s="19" t="str">
        <f t="shared" si="23"/>
        <v/>
      </c>
      <c r="R153" s="19" t="str">
        <f>IF(ISBLANK(I153),"",(I153-I$16)*1000)</f>
        <v/>
      </c>
      <c r="S153" s="27" t="str">
        <f t="shared" si="24"/>
        <v/>
      </c>
      <c r="T153" s="28" t="str">
        <f t="shared" si="24"/>
        <v/>
      </c>
      <c r="U153" s="28" t="str">
        <f t="shared" si="24"/>
        <v/>
      </c>
      <c r="V153" s="28" t="str">
        <f t="shared" si="24"/>
        <v/>
      </c>
      <c r="W153" s="28" t="str">
        <f t="shared" si="24"/>
        <v/>
      </c>
      <c r="X153" s="29" t="str">
        <f t="shared" si="24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18">
    <tabColor theme="3" tint="0.79998168889431442"/>
    <pageSetUpPr fitToPage="1"/>
  </sheetPr>
  <dimension ref="A1:AI153"/>
  <sheetViews>
    <sheetView showGridLines="0" zoomScale="75" zoomScaleNormal="75" zoomScaleSheetLayoutView="40" workbookViewId="0">
      <pane ySplit="8" topLeftCell="A32" activePane="bottomLeft" state="frozen"/>
      <selection activeCell="G40" sqref="G40"/>
      <selection pane="bottomLeft" activeCell="G40" sqref="G40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2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TZ-116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61" t="s">
        <v>3</v>
      </c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3"/>
      <c r="R4" s="156"/>
      <c r="S4" s="157"/>
      <c r="T4" s="157"/>
      <c r="U4" s="157"/>
      <c r="V4" s="157"/>
      <c r="W4" s="157"/>
      <c r="X4" s="158"/>
      <c r="Y4" s="160"/>
    </row>
    <row r="5" spans="1:35" ht="27" customHeight="1" x14ac:dyDescent="0.2">
      <c r="B5" s="131"/>
      <c r="C5" s="132"/>
      <c r="D5" s="132"/>
      <c r="E5" s="135" t="s">
        <v>4</v>
      </c>
      <c r="F5" s="136"/>
      <c r="G5" s="136"/>
      <c r="H5" s="136"/>
      <c r="I5" s="136"/>
      <c r="J5" s="171" t="s">
        <v>58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42395</v>
      </c>
      <c r="X5" s="138"/>
      <c r="Y5" s="139"/>
    </row>
    <row r="6" spans="1:35" ht="27" customHeight="1" x14ac:dyDescent="0.2">
      <c r="B6" s="133"/>
      <c r="C6" s="134"/>
      <c r="D6" s="134"/>
      <c r="E6" s="100" t="s">
        <v>7</v>
      </c>
      <c r="F6" s="101"/>
      <c r="G6" s="101"/>
      <c r="H6" s="101"/>
      <c r="I6" s="101"/>
      <c r="J6" s="17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42401</v>
      </c>
      <c r="X6" s="148"/>
      <c r="Y6" s="149"/>
    </row>
    <row r="7" spans="1:35" ht="27" customHeight="1" x14ac:dyDescent="0.2">
      <c r="B7" s="133"/>
      <c r="C7" s="134"/>
      <c r="D7" s="134"/>
      <c r="E7" s="100" t="s">
        <v>9</v>
      </c>
      <c r="F7" s="101"/>
      <c r="G7" s="101"/>
      <c r="H7" s="101"/>
      <c r="I7" s="101"/>
      <c r="J7" s="141" t="s">
        <v>64</v>
      </c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2198</v>
      </c>
      <c r="X7" s="141"/>
      <c r="Y7" s="142"/>
    </row>
    <row r="8" spans="1:35" ht="27" customHeight="1" thickBot="1" x14ac:dyDescent="0.25">
      <c r="B8" s="133"/>
      <c r="C8" s="134"/>
      <c r="D8" s="134"/>
      <c r="E8" s="143" t="s">
        <v>11</v>
      </c>
      <c r="F8" s="97"/>
      <c r="G8" s="97"/>
      <c r="H8" s="97"/>
      <c r="I8" s="97"/>
      <c r="J8" s="144">
        <v>2456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60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65"/>
      <c r="C10" s="166"/>
      <c r="D10" s="166"/>
      <c r="E10" s="166"/>
      <c r="F10" s="166"/>
      <c r="G10" s="166"/>
      <c r="H10" s="166"/>
      <c r="I10" s="166"/>
      <c r="J10" s="167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65"/>
      <c r="C11" s="166"/>
      <c r="D11" s="166"/>
      <c r="E11" s="166"/>
      <c r="F11" s="166"/>
      <c r="G11" s="166"/>
      <c r="H11" s="166"/>
      <c r="I11" s="166"/>
      <c r="J11" s="167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68"/>
      <c r="C12" s="169"/>
      <c r="D12" s="169"/>
      <c r="E12" s="169"/>
      <c r="F12" s="169"/>
      <c r="G12" s="169"/>
      <c r="H12" s="169"/>
      <c r="I12" s="169"/>
      <c r="J12" s="170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96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27"/>
      <c r="J15" s="9" t="s">
        <v>32</v>
      </c>
      <c r="K15" s="50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1">
        <v>42401</v>
      </c>
      <c r="C16" s="25">
        <v>12.45</v>
      </c>
      <c r="D16" s="26"/>
      <c r="E16" s="26"/>
      <c r="F16" s="16"/>
      <c r="G16" s="16"/>
      <c r="H16" s="16"/>
      <c r="I16" s="17"/>
      <c r="J16" s="58">
        <v>2471</v>
      </c>
      <c r="K16" s="18">
        <f t="shared" ref="K16:K18" si="0">IF(ISBLANK(J16),"",(J16-$J$8))</f>
        <v>15</v>
      </c>
      <c r="L16" s="19">
        <f t="shared" ref="L16:Q31" si="1">IF(ISBLANK(C16),"",(C16-C$16)*1000)</f>
        <v>0</v>
      </c>
      <c r="M16" s="19" t="str">
        <f t="shared" si="1"/>
        <v/>
      </c>
      <c r="N16" s="19" t="str">
        <f t="shared" si="1"/>
        <v/>
      </c>
      <c r="O16" s="20"/>
      <c r="P16" s="20"/>
      <c r="Q16" s="20"/>
      <c r="R16" s="21" t="str">
        <f t="shared" ref="R16" si="2">IF(ISBLANK(I16),"",(I16-I$16)*1000)</f>
        <v/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42402</v>
      </c>
      <c r="C17" s="25">
        <v>12.45</v>
      </c>
      <c r="D17" s="26"/>
      <c r="E17" s="26"/>
      <c r="F17" s="16"/>
      <c r="G17" s="16"/>
      <c r="H17" s="16"/>
      <c r="I17" s="17"/>
      <c r="J17" s="58">
        <v>2474</v>
      </c>
      <c r="K17" s="18">
        <f t="shared" si="0"/>
        <v>18</v>
      </c>
      <c r="L17" s="19">
        <f t="shared" si="1"/>
        <v>0</v>
      </c>
      <c r="M17" s="19" t="str">
        <f>IF(ISBLANK(D17),"",(D17-D$16)*1000)</f>
        <v/>
      </c>
      <c r="N17" s="19" t="str">
        <f>IF(ISBLANK(E17),"",(E17-E$16)*1000)</f>
        <v/>
      </c>
      <c r="O17" s="19" t="str">
        <f t="shared" si="1"/>
        <v/>
      </c>
      <c r="P17" s="19" t="str">
        <f t="shared" si="1"/>
        <v/>
      </c>
      <c r="Q17" s="19" t="str">
        <f t="shared" si="1"/>
        <v/>
      </c>
      <c r="R17" s="19" t="str">
        <f>IF(ISBLANK(I17),"",(I17-I$16)*1000)</f>
        <v/>
      </c>
      <c r="S17" s="27">
        <f t="shared" ref="S17:X32" si="3">IF(C17="","",((C17-C16)*1000)/($B17-$B16))</f>
        <v>0</v>
      </c>
      <c r="T17" s="28"/>
      <c r="U17" s="28"/>
      <c r="V17" s="28" t="str">
        <f t="shared" si="3"/>
        <v/>
      </c>
      <c r="W17" s="28" t="str">
        <f t="shared" si="3"/>
        <v/>
      </c>
      <c r="X17" s="29" t="str">
        <f t="shared" si="3"/>
        <v/>
      </c>
      <c r="Y17" s="24"/>
    </row>
    <row r="18" spans="2:25" ht="15" customHeight="1" x14ac:dyDescent="0.2">
      <c r="B18" s="31">
        <v>42403</v>
      </c>
      <c r="C18" s="25">
        <v>12.45</v>
      </c>
      <c r="D18" s="26">
        <v>7.93</v>
      </c>
      <c r="E18" s="26">
        <v>7.3970000000000002</v>
      </c>
      <c r="F18" s="16"/>
      <c r="G18" s="16"/>
      <c r="H18" s="16"/>
      <c r="I18" s="17">
        <v>115.776</v>
      </c>
      <c r="J18" s="58">
        <v>2479</v>
      </c>
      <c r="K18" s="18">
        <f t="shared" si="0"/>
        <v>23</v>
      </c>
      <c r="L18" s="19">
        <f t="shared" si="1"/>
        <v>0</v>
      </c>
      <c r="M18" s="19">
        <f>IF(ISBLANK(D18),"",(D18-D$18)*1000)</f>
        <v>0</v>
      </c>
      <c r="N18" s="19">
        <f>IF(ISBLANK(E18),"",(E18-E$18)*1000)</f>
        <v>0</v>
      </c>
      <c r="O18" s="19" t="str">
        <f t="shared" si="1"/>
        <v/>
      </c>
      <c r="P18" s="19" t="str">
        <f t="shared" si="1"/>
        <v/>
      </c>
      <c r="Q18" s="19" t="str">
        <f t="shared" si="1"/>
        <v/>
      </c>
      <c r="R18" s="19">
        <f>IF(ISBLANK(I18),"",(I18-I$18)*1000)</f>
        <v>0</v>
      </c>
      <c r="S18" s="27">
        <f t="shared" si="3"/>
        <v>0</v>
      </c>
      <c r="T18" s="28"/>
      <c r="U18" s="28"/>
      <c r="V18" s="28" t="str">
        <f t="shared" si="3"/>
        <v/>
      </c>
      <c r="W18" s="28" t="str">
        <f t="shared" si="3"/>
        <v/>
      </c>
      <c r="X18" s="29" t="str">
        <f t="shared" si="3"/>
        <v/>
      </c>
      <c r="Y18" s="24"/>
    </row>
    <row r="19" spans="2:25" ht="15" customHeight="1" x14ac:dyDescent="0.2">
      <c r="B19" s="31">
        <v>42404</v>
      </c>
      <c r="C19" s="25">
        <v>12.448</v>
      </c>
      <c r="D19" s="26">
        <v>7.9290000000000003</v>
      </c>
      <c r="E19" s="26">
        <v>7.3970000000000002</v>
      </c>
      <c r="F19" s="16"/>
      <c r="G19" s="16"/>
      <c r="H19" s="16"/>
      <c r="I19" s="17">
        <v>115.777</v>
      </c>
      <c r="J19" s="58">
        <v>2484</v>
      </c>
      <c r="K19" s="18">
        <f t="shared" ref="K19" si="4">IF(ISBLANK(J19),"",(J19-$J$8))</f>
        <v>28</v>
      </c>
      <c r="L19" s="19">
        <f t="shared" si="1"/>
        <v>-1.9999999999988916</v>
      </c>
      <c r="M19" s="19">
        <f t="shared" ref="M19:M82" si="5">IF(ISBLANK(D19),"",(D19-D$18)*1000)</f>
        <v>-0.99999999999944578</v>
      </c>
      <c r="N19" s="19">
        <f t="shared" ref="N19:N82" si="6">IF(ISBLANK(E19),"",(E19-E$18)*1000)</f>
        <v>0</v>
      </c>
      <c r="O19" s="19" t="str">
        <f t="shared" ref="O19:O33" si="7">IF(ISBLANK(F19),"",(F19-F$16)*1000)</f>
        <v/>
      </c>
      <c r="P19" s="19" t="str">
        <f t="shared" ref="P19:P33" si="8">IF(ISBLANK(G19),"",(G19-G$16)*1000)</f>
        <v/>
      </c>
      <c r="Q19" s="19" t="str">
        <f t="shared" ref="Q19:Q33" si="9">IF(ISBLANK(H19),"",(H19-H$16)*1000)</f>
        <v/>
      </c>
      <c r="R19" s="19">
        <f t="shared" ref="R19:R82" si="10">IF(ISBLANK(I19),"",(I19-I$18)*1000)</f>
        <v>1.0000000000047748</v>
      </c>
      <c r="S19" s="27">
        <f t="shared" si="3"/>
        <v>-1.9999999999988916</v>
      </c>
      <c r="T19" s="28">
        <f t="shared" si="3"/>
        <v>-0.99999999999944578</v>
      </c>
      <c r="U19" s="28">
        <f t="shared" si="3"/>
        <v>0</v>
      </c>
      <c r="V19" s="28" t="str">
        <f t="shared" si="3"/>
        <v/>
      </c>
      <c r="W19" s="28" t="str">
        <f t="shared" si="3"/>
        <v/>
      </c>
      <c r="X19" s="29" t="str">
        <f t="shared" si="3"/>
        <v/>
      </c>
      <c r="Y19" s="24"/>
    </row>
    <row r="20" spans="2:25" ht="15" customHeight="1" x14ac:dyDescent="0.2">
      <c r="B20" s="31">
        <v>42405</v>
      </c>
      <c r="C20" s="25">
        <v>12.448</v>
      </c>
      <c r="D20" s="26">
        <v>7.9290000000000003</v>
      </c>
      <c r="E20" s="26">
        <v>7.3979999999999997</v>
      </c>
      <c r="F20" s="16"/>
      <c r="G20" s="16"/>
      <c r="H20" s="16"/>
      <c r="I20" s="17">
        <v>115.777</v>
      </c>
      <c r="J20" s="58">
        <v>2488</v>
      </c>
      <c r="K20" s="18">
        <f t="shared" ref="K20" si="11">IF(ISBLANK(J20),"",(J20-$J$8))</f>
        <v>32</v>
      </c>
      <c r="L20" s="19">
        <f t="shared" si="1"/>
        <v>-1.9999999999988916</v>
      </c>
      <c r="M20" s="19">
        <f t="shared" si="5"/>
        <v>-0.99999999999944578</v>
      </c>
      <c r="N20" s="19">
        <f t="shared" si="6"/>
        <v>0.99999999999944578</v>
      </c>
      <c r="O20" s="19" t="str">
        <f t="shared" si="7"/>
        <v/>
      </c>
      <c r="P20" s="19" t="str">
        <f t="shared" si="8"/>
        <v/>
      </c>
      <c r="Q20" s="19" t="str">
        <f t="shared" si="9"/>
        <v/>
      </c>
      <c r="R20" s="19">
        <f t="shared" si="10"/>
        <v>1.0000000000047748</v>
      </c>
      <c r="S20" s="27">
        <f t="shared" si="3"/>
        <v>0</v>
      </c>
      <c r="T20" s="28">
        <f t="shared" si="3"/>
        <v>0</v>
      </c>
      <c r="U20" s="28">
        <f t="shared" si="3"/>
        <v>0.99999999999944578</v>
      </c>
      <c r="V20" s="28" t="str">
        <f t="shared" si="3"/>
        <v/>
      </c>
      <c r="W20" s="28" t="str">
        <f t="shared" si="3"/>
        <v/>
      </c>
      <c r="X20" s="29" t="str">
        <f t="shared" si="3"/>
        <v/>
      </c>
      <c r="Y20" s="24"/>
    </row>
    <row r="21" spans="2:25" ht="15" customHeight="1" x14ac:dyDescent="0.2">
      <c r="B21" s="31">
        <v>42408</v>
      </c>
      <c r="C21" s="25">
        <v>12.449</v>
      </c>
      <c r="D21" s="26">
        <v>7.9269999999999996</v>
      </c>
      <c r="E21" s="26">
        <v>7.3979999999999997</v>
      </c>
      <c r="F21" s="16"/>
      <c r="G21" s="16"/>
      <c r="H21" s="16"/>
      <c r="I21" s="17">
        <v>115.777</v>
      </c>
      <c r="J21" s="58">
        <v>2493</v>
      </c>
      <c r="K21" s="18">
        <f t="shared" ref="K21" si="12">IF(ISBLANK(J21),"",(J21-$J$8))</f>
        <v>37</v>
      </c>
      <c r="L21" s="19">
        <f t="shared" si="1"/>
        <v>-0.99999999999944578</v>
      </c>
      <c r="M21" s="19">
        <f t="shared" si="5"/>
        <v>-3.0000000000001137</v>
      </c>
      <c r="N21" s="19">
        <f t="shared" si="6"/>
        <v>0.99999999999944578</v>
      </c>
      <c r="O21" s="19" t="str">
        <f t="shared" si="7"/>
        <v/>
      </c>
      <c r="P21" s="19" t="str">
        <f t="shared" si="8"/>
        <v/>
      </c>
      <c r="Q21" s="19" t="str">
        <f t="shared" si="9"/>
        <v/>
      </c>
      <c r="R21" s="19">
        <f t="shared" si="10"/>
        <v>1.0000000000047748</v>
      </c>
      <c r="S21" s="27">
        <f t="shared" si="3"/>
        <v>0.33333333333314857</v>
      </c>
      <c r="T21" s="28">
        <f t="shared" si="3"/>
        <v>-0.66666666666688934</v>
      </c>
      <c r="U21" s="28">
        <f t="shared" si="3"/>
        <v>0</v>
      </c>
      <c r="V21" s="28" t="str">
        <f t="shared" si="3"/>
        <v/>
      </c>
      <c r="W21" s="28" t="str">
        <f t="shared" si="3"/>
        <v/>
      </c>
      <c r="X21" s="29" t="str">
        <f t="shared" si="3"/>
        <v/>
      </c>
      <c r="Y21" s="24"/>
    </row>
    <row r="22" spans="2:25" ht="15" customHeight="1" x14ac:dyDescent="0.2">
      <c r="B22" s="31">
        <v>42409</v>
      </c>
      <c r="C22" s="25">
        <v>12.448</v>
      </c>
      <c r="D22" s="26">
        <v>7.93</v>
      </c>
      <c r="E22" s="26">
        <v>7.3959999999999999</v>
      </c>
      <c r="F22" s="16"/>
      <c r="G22" s="16"/>
      <c r="H22" s="16"/>
      <c r="I22" s="17">
        <v>115.77800000000001</v>
      </c>
      <c r="J22" s="58">
        <v>2496</v>
      </c>
      <c r="K22" s="18">
        <f t="shared" ref="K22" si="13">IF(ISBLANK(J22),"",(J22-$J$8))</f>
        <v>40</v>
      </c>
      <c r="L22" s="19">
        <f t="shared" si="1"/>
        <v>-1.9999999999988916</v>
      </c>
      <c r="M22" s="19">
        <f t="shared" si="5"/>
        <v>0</v>
      </c>
      <c r="N22" s="19">
        <f t="shared" si="6"/>
        <v>-1.000000000000334</v>
      </c>
      <c r="O22" s="19" t="str">
        <f t="shared" si="7"/>
        <v/>
      </c>
      <c r="P22" s="19" t="str">
        <f t="shared" si="8"/>
        <v/>
      </c>
      <c r="Q22" s="19" t="str">
        <f t="shared" si="9"/>
        <v/>
      </c>
      <c r="R22" s="19">
        <f t="shared" si="10"/>
        <v>2.0000000000095497</v>
      </c>
      <c r="S22" s="27">
        <f t="shared" si="3"/>
        <v>-0.99999999999944578</v>
      </c>
      <c r="T22" s="28">
        <f t="shared" si="3"/>
        <v>3.0000000000001137</v>
      </c>
      <c r="U22" s="28">
        <f t="shared" si="3"/>
        <v>-1.9999999999997797</v>
      </c>
      <c r="V22" s="28" t="str">
        <f t="shared" si="3"/>
        <v/>
      </c>
      <c r="W22" s="28" t="str">
        <f t="shared" si="3"/>
        <v/>
      </c>
      <c r="X22" s="29" t="str">
        <f t="shared" si="3"/>
        <v/>
      </c>
      <c r="Y22" s="24"/>
    </row>
    <row r="23" spans="2:25" ht="15" customHeight="1" x14ac:dyDescent="0.2">
      <c r="B23" s="31">
        <v>42410</v>
      </c>
      <c r="C23" s="25">
        <v>12.446999999999999</v>
      </c>
      <c r="D23" s="26">
        <v>7.9269999999999996</v>
      </c>
      <c r="E23" s="26">
        <v>7.3970000000000002</v>
      </c>
      <c r="F23" s="16"/>
      <c r="G23" s="16"/>
      <c r="H23" s="16"/>
      <c r="I23" s="17">
        <v>115.77800000000001</v>
      </c>
      <c r="J23" s="58">
        <v>2500</v>
      </c>
      <c r="K23" s="18">
        <f t="shared" ref="K23" si="14">IF(ISBLANK(J23),"",(J23-$J$8))</f>
        <v>44</v>
      </c>
      <c r="L23" s="19">
        <f t="shared" si="1"/>
        <v>-3.0000000000001137</v>
      </c>
      <c r="M23" s="19">
        <f t="shared" si="5"/>
        <v>-3.0000000000001137</v>
      </c>
      <c r="N23" s="19">
        <f t="shared" si="6"/>
        <v>0</v>
      </c>
      <c r="O23" s="19" t="str">
        <f t="shared" si="7"/>
        <v/>
      </c>
      <c r="P23" s="19" t="str">
        <f t="shared" si="8"/>
        <v/>
      </c>
      <c r="Q23" s="19" t="str">
        <f t="shared" si="9"/>
        <v/>
      </c>
      <c r="R23" s="19">
        <f t="shared" si="10"/>
        <v>2.0000000000095497</v>
      </c>
      <c r="S23" s="27">
        <f t="shared" si="3"/>
        <v>-1.0000000000012221</v>
      </c>
      <c r="T23" s="28">
        <f t="shared" si="3"/>
        <v>-3.0000000000001137</v>
      </c>
      <c r="U23" s="28">
        <f t="shared" si="3"/>
        <v>1.000000000000334</v>
      </c>
      <c r="V23" s="28" t="str">
        <f t="shared" si="3"/>
        <v/>
      </c>
      <c r="W23" s="28" t="str">
        <f t="shared" si="3"/>
        <v/>
      </c>
      <c r="X23" s="29" t="str">
        <f t="shared" si="3"/>
        <v/>
      </c>
      <c r="Y23" s="24"/>
    </row>
    <row r="24" spans="2:25" ht="15" customHeight="1" x14ac:dyDescent="0.2">
      <c r="B24" s="31">
        <v>42411</v>
      </c>
      <c r="C24" s="25">
        <v>12.446999999999999</v>
      </c>
      <c r="D24" s="26">
        <v>7.9269999999999996</v>
      </c>
      <c r="E24" s="26">
        <v>7.3970000000000002</v>
      </c>
      <c r="F24" s="16"/>
      <c r="G24" s="16"/>
      <c r="H24" s="16"/>
      <c r="I24" s="17">
        <v>115.777</v>
      </c>
      <c r="J24" s="58">
        <v>2504</v>
      </c>
      <c r="K24" s="18">
        <f t="shared" ref="K24:K29" si="15">IF(ISBLANK(J24),"",(J24-$J$8))</f>
        <v>48</v>
      </c>
      <c r="L24" s="19">
        <f t="shared" si="1"/>
        <v>-3.0000000000001137</v>
      </c>
      <c r="M24" s="19">
        <f t="shared" si="5"/>
        <v>-3.0000000000001137</v>
      </c>
      <c r="N24" s="19">
        <f t="shared" si="6"/>
        <v>0</v>
      </c>
      <c r="O24" s="19" t="str">
        <f t="shared" si="7"/>
        <v/>
      </c>
      <c r="P24" s="19" t="str">
        <f t="shared" si="8"/>
        <v/>
      </c>
      <c r="Q24" s="19" t="str">
        <f t="shared" si="9"/>
        <v/>
      </c>
      <c r="R24" s="19">
        <f t="shared" si="10"/>
        <v>1.0000000000047748</v>
      </c>
      <c r="S24" s="27">
        <f t="shared" si="3"/>
        <v>0</v>
      </c>
      <c r="T24" s="28">
        <f t="shared" si="3"/>
        <v>0</v>
      </c>
      <c r="U24" s="28">
        <f t="shared" si="3"/>
        <v>0</v>
      </c>
      <c r="V24" s="28" t="str">
        <f t="shared" si="3"/>
        <v/>
      </c>
      <c r="W24" s="28" t="str">
        <f t="shared" si="3"/>
        <v/>
      </c>
      <c r="X24" s="29" t="str">
        <f t="shared" si="3"/>
        <v/>
      </c>
      <c r="Y24" s="24"/>
    </row>
    <row r="25" spans="2:25" ht="15" customHeight="1" x14ac:dyDescent="0.2">
      <c r="B25" s="31">
        <v>42417</v>
      </c>
      <c r="C25" s="25">
        <v>12.448</v>
      </c>
      <c r="D25" s="26">
        <v>7.9279999999999999</v>
      </c>
      <c r="E25" s="26">
        <v>7.3959999999999999</v>
      </c>
      <c r="F25" s="16"/>
      <c r="G25" s="16"/>
      <c r="H25" s="16"/>
      <c r="I25" s="17">
        <v>115.777</v>
      </c>
      <c r="J25" s="58">
        <v>2521</v>
      </c>
      <c r="K25" s="18">
        <f t="shared" si="15"/>
        <v>65</v>
      </c>
      <c r="L25" s="19">
        <f t="shared" si="1"/>
        <v>-1.9999999999988916</v>
      </c>
      <c r="M25" s="19">
        <f t="shared" si="5"/>
        <v>-1.9999999999997797</v>
      </c>
      <c r="N25" s="19">
        <f t="shared" si="6"/>
        <v>-1.000000000000334</v>
      </c>
      <c r="O25" s="19" t="str">
        <f t="shared" si="7"/>
        <v/>
      </c>
      <c r="P25" s="19" t="str">
        <f t="shared" si="8"/>
        <v/>
      </c>
      <c r="Q25" s="19" t="str">
        <f t="shared" si="9"/>
        <v/>
      </c>
      <c r="R25" s="19">
        <f t="shared" si="10"/>
        <v>1.0000000000047748</v>
      </c>
      <c r="S25" s="27">
        <f t="shared" si="3"/>
        <v>0.16666666666687036</v>
      </c>
      <c r="T25" s="28">
        <f t="shared" si="3"/>
        <v>0.16666666666672234</v>
      </c>
      <c r="U25" s="28">
        <f t="shared" si="3"/>
        <v>-0.16666666666672234</v>
      </c>
      <c r="V25" s="28" t="str">
        <f t="shared" si="3"/>
        <v/>
      </c>
      <c r="W25" s="28" t="str">
        <f t="shared" si="3"/>
        <v/>
      </c>
      <c r="X25" s="29" t="str">
        <f t="shared" si="3"/>
        <v/>
      </c>
      <c r="Y25" s="24"/>
    </row>
    <row r="26" spans="2:25" ht="15" customHeight="1" x14ac:dyDescent="0.2">
      <c r="B26" s="31">
        <v>42424</v>
      </c>
      <c r="C26" s="25">
        <v>12.448</v>
      </c>
      <c r="D26" s="26">
        <v>7.9290000000000003</v>
      </c>
      <c r="E26" s="26">
        <v>7.3970000000000002</v>
      </c>
      <c r="F26" s="16"/>
      <c r="G26" s="16"/>
      <c r="H26" s="16"/>
      <c r="I26" s="17">
        <v>115.777</v>
      </c>
      <c r="J26" s="58">
        <v>2540.5</v>
      </c>
      <c r="K26" s="18">
        <f t="shared" si="15"/>
        <v>84.5</v>
      </c>
      <c r="L26" s="19">
        <f t="shared" si="1"/>
        <v>-1.9999999999988916</v>
      </c>
      <c r="M26" s="19">
        <f t="shared" si="5"/>
        <v>-0.99999999999944578</v>
      </c>
      <c r="N26" s="19">
        <f t="shared" si="6"/>
        <v>0</v>
      </c>
      <c r="O26" s="19" t="str">
        <f t="shared" si="7"/>
        <v/>
      </c>
      <c r="P26" s="19" t="str">
        <f t="shared" si="8"/>
        <v/>
      </c>
      <c r="Q26" s="19" t="str">
        <f t="shared" si="9"/>
        <v/>
      </c>
      <c r="R26" s="19">
        <f t="shared" si="10"/>
        <v>1.0000000000047748</v>
      </c>
      <c r="S26" s="27">
        <f t="shared" si="3"/>
        <v>0</v>
      </c>
      <c r="T26" s="28">
        <f t="shared" si="3"/>
        <v>0.14285714285719056</v>
      </c>
      <c r="U26" s="28">
        <f t="shared" si="3"/>
        <v>0.14285714285719056</v>
      </c>
      <c r="V26" s="28" t="str">
        <f t="shared" si="3"/>
        <v/>
      </c>
      <c r="W26" s="28" t="str">
        <f t="shared" si="3"/>
        <v/>
      </c>
      <c r="X26" s="29" t="str">
        <f t="shared" si="3"/>
        <v/>
      </c>
      <c r="Y26" s="24"/>
    </row>
    <row r="27" spans="2:25" ht="15" customHeight="1" x14ac:dyDescent="0.2">
      <c r="B27" s="31">
        <v>42430</v>
      </c>
      <c r="C27" s="25">
        <v>12.448</v>
      </c>
      <c r="D27" s="26">
        <v>7.9290000000000003</v>
      </c>
      <c r="E27" s="26">
        <v>7.3979999999999997</v>
      </c>
      <c r="F27" s="16"/>
      <c r="G27" s="16"/>
      <c r="H27" s="16"/>
      <c r="I27" s="17">
        <v>115.777</v>
      </c>
      <c r="J27" s="58">
        <v>2540.5</v>
      </c>
      <c r="K27" s="18">
        <f t="shared" si="15"/>
        <v>84.5</v>
      </c>
      <c r="L27" s="19">
        <f t="shared" si="1"/>
        <v>-1.9999999999988916</v>
      </c>
      <c r="M27" s="19">
        <f t="shared" si="5"/>
        <v>-0.99999999999944578</v>
      </c>
      <c r="N27" s="19">
        <f t="shared" si="6"/>
        <v>0.99999999999944578</v>
      </c>
      <c r="O27" s="19" t="str">
        <f t="shared" si="7"/>
        <v/>
      </c>
      <c r="P27" s="19" t="str">
        <f t="shared" si="8"/>
        <v/>
      </c>
      <c r="Q27" s="19" t="str">
        <f t="shared" si="9"/>
        <v/>
      </c>
      <c r="R27" s="19">
        <f t="shared" si="10"/>
        <v>1.0000000000047748</v>
      </c>
      <c r="S27" s="27">
        <f t="shared" si="3"/>
        <v>0</v>
      </c>
      <c r="T27" s="28">
        <f t="shared" si="3"/>
        <v>0</v>
      </c>
      <c r="U27" s="28">
        <f t="shared" si="3"/>
        <v>0.16666666666657429</v>
      </c>
      <c r="V27" s="28" t="str">
        <f t="shared" si="3"/>
        <v/>
      </c>
      <c r="W27" s="28" t="str">
        <f t="shared" si="3"/>
        <v/>
      </c>
      <c r="X27" s="29" t="str">
        <f t="shared" si="3"/>
        <v/>
      </c>
      <c r="Y27" s="24"/>
    </row>
    <row r="28" spans="2:25" ht="15" customHeight="1" x14ac:dyDescent="0.2">
      <c r="B28" s="31">
        <v>42458</v>
      </c>
      <c r="C28" s="25">
        <v>12.445</v>
      </c>
      <c r="D28" s="26">
        <v>7.9279999999999999</v>
      </c>
      <c r="E28" s="26">
        <v>7.3959999999999999</v>
      </c>
      <c r="F28" s="16"/>
      <c r="G28" s="16"/>
      <c r="H28" s="16"/>
      <c r="I28" s="17">
        <v>115.776</v>
      </c>
      <c r="J28" s="58">
        <v>2571</v>
      </c>
      <c r="K28" s="18">
        <f t="shared" si="15"/>
        <v>115</v>
      </c>
      <c r="L28" s="19">
        <f t="shared" si="1"/>
        <v>-4.9999999999990052</v>
      </c>
      <c r="M28" s="19">
        <f t="shared" si="5"/>
        <v>-1.9999999999997797</v>
      </c>
      <c r="N28" s="19">
        <f t="shared" si="6"/>
        <v>-1.000000000000334</v>
      </c>
      <c r="O28" s="19" t="str">
        <f t="shared" si="7"/>
        <v/>
      </c>
      <c r="P28" s="19" t="str">
        <f t="shared" si="8"/>
        <v/>
      </c>
      <c r="Q28" s="19" t="str">
        <f t="shared" si="9"/>
        <v/>
      </c>
      <c r="R28" s="19">
        <f t="shared" si="10"/>
        <v>0</v>
      </c>
      <c r="S28" s="27">
        <f t="shared" si="3"/>
        <v>-0.1071428571428612</v>
      </c>
      <c r="T28" s="28">
        <f t="shared" si="3"/>
        <v>-3.571428571429764E-2</v>
      </c>
      <c r="U28" s="28">
        <f t="shared" si="3"/>
        <v>-7.1428571428563556E-2</v>
      </c>
      <c r="V28" s="28" t="str">
        <f t="shared" si="3"/>
        <v/>
      </c>
      <c r="W28" s="28" t="str">
        <f t="shared" si="3"/>
        <v/>
      </c>
      <c r="X28" s="29" t="str">
        <f t="shared" si="3"/>
        <v/>
      </c>
      <c r="Y28" s="24"/>
    </row>
    <row r="29" spans="2:25" ht="15" customHeight="1" x14ac:dyDescent="0.2">
      <c r="B29" s="31">
        <v>42506</v>
      </c>
      <c r="C29" s="73">
        <v>12.445</v>
      </c>
      <c r="D29" s="71">
        <v>7.9279999999999999</v>
      </c>
      <c r="E29" s="71">
        <v>7.3959999999999999</v>
      </c>
      <c r="F29" s="16"/>
      <c r="G29" s="16"/>
      <c r="H29" s="16"/>
      <c r="I29" s="17">
        <v>115.771</v>
      </c>
      <c r="J29" s="58">
        <v>2450</v>
      </c>
      <c r="K29" s="18">
        <f t="shared" si="15"/>
        <v>-6</v>
      </c>
      <c r="L29" s="19">
        <f t="shared" si="1"/>
        <v>-4.9999999999990052</v>
      </c>
      <c r="M29" s="19">
        <f t="shared" si="5"/>
        <v>-1.9999999999997797</v>
      </c>
      <c r="N29" s="19">
        <f t="shared" si="6"/>
        <v>-1.000000000000334</v>
      </c>
      <c r="O29" s="19" t="str">
        <f t="shared" si="7"/>
        <v/>
      </c>
      <c r="P29" s="19" t="str">
        <f t="shared" si="8"/>
        <v/>
      </c>
      <c r="Q29" s="19" t="str">
        <f t="shared" si="9"/>
        <v/>
      </c>
      <c r="R29" s="19">
        <f t="shared" si="10"/>
        <v>-4.9999999999954525</v>
      </c>
      <c r="S29" s="27">
        <f t="shared" si="3"/>
        <v>0</v>
      </c>
      <c r="T29" s="28">
        <f t="shared" si="3"/>
        <v>0</v>
      </c>
      <c r="U29" s="28">
        <f t="shared" si="3"/>
        <v>0</v>
      </c>
      <c r="V29" s="28" t="str">
        <f t="shared" si="3"/>
        <v/>
      </c>
      <c r="W29" s="28" t="str">
        <f t="shared" si="3"/>
        <v/>
      </c>
      <c r="X29" s="29" t="str">
        <f t="shared" si="3"/>
        <v/>
      </c>
      <c r="Y29" s="24"/>
    </row>
    <row r="30" spans="2:25" ht="15" customHeight="1" x14ac:dyDescent="0.2">
      <c r="B30" s="31">
        <v>42507</v>
      </c>
      <c r="C30" s="73">
        <v>12.445</v>
      </c>
      <c r="D30" s="71">
        <v>7.9279999999999999</v>
      </c>
      <c r="E30" s="26">
        <v>7.3970000000000002</v>
      </c>
      <c r="F30" s="16"/>
      <c r="G30" s="16"/>
      <c r="H30" s="16"/>
      <c r="I30" s="17">
        <v>115.771</v>
      </c>
      <c r="J30" s="58">
        <v>2459</v>
      </c>
      <c r="K30" s="18">
        <f t="shared" ref="K30" si="16">IF(ISBLANK(J30),"",(J30-$J$8))</f>
        <v>3</v>
      </c>
      <c r="L30" s="19">
        <f t="shared" si="1"/>
        <v>-4.9999999999990052</v>
      </c>
      <c r="M30" s="19">
        <f t="shared" si="5"/>
        <v>-1.9999999999997797</v>
      </c>
      <c r="N30" s="19">
        <f t="shared" si="6"/>
        <v>0</v>
      </c>
      <c r="O30" s="19" t="str">
        <f t="shared" si="7"/>
        <v/>
      </c>
      <c r="P30" s="19" t="str">
        <f t="shared" si="8"/>
        <v/>
      </c>
      <c r="Q30" s="19" t="str">
        <f t="shared" si="9"/>
        <v/>
      </c>
      <c r="R30" s="19">
        <f t="shared" si="10"/>
        <v>-4.9999999999954525</v>
      </c>
      <c r="S30" s="27">
        <f t="shared" si="3"/>
        <v>0</v>
      </c>
      <c r="T30" s="28">
        <f t="shared" si="3"/>
        <v>0</v>
      </c>
      <c r="U30" s="28">
        <f t="shared" si="3"/>
        <v>1.000000000000334</v>
      </c>
      <c r="V30" s="28" t="str">
        <f t="shared" si="3"/>
        <v/>
      </c>
      <c r="W30" s="28" t="str">
        <f t="shared" si="3"/>
        <v/>
      </c>
      <c r="X30" s="29" t="str">
        <f t="shared" si="3"/>
        <v/>
      </c>
      <c r="Y30" s="24"/>
    </row>
    <row r="31" spans="2:25" ht="15" customHeight="1" x14ac:dyDescent="0.2">
      <c r="B31" s="31">
        <v>42508</v>
      </c>
      <c r="C31" s="73">
        <v>12.445</v>
      </c>
      <c r="D31" s="71">
        <v>7.9279999999999999</v>
      </c>
      <c r="E31" s="71">
        <v>7.3970000000000002</v>
      </c>
      <c r="F31" s="16"/>
      <c r="G31" s="16"/>
      <c r="H31" s="16"/>
      <c r="I31" s="17">
        <v>115.77</v>
      </c>
      <c r="J31" s="58">
        <v>2467</v>
      </c>
      <c r="K31" s="18">
        <f t="shared" ref="K31" si="17">IF(ISBLANK(J31),"",(J31-$J$8))</f>
        <v>11</v>
      </c>
      <c r="L31" s="19">
        <f t="shared" si="1"/>
        <v>-4.9999999999990052</v>
      </c>
      <c r="M31" s="19">
        <f t="shared" si="5"/>
        <v>-1.9999999999997797</v>
      </c>
      <c r="N31" s="19">
        <f t="shared" si="6"/>
        <v>0</v>
      </c>
      <c r="O31" s="19" t="str">
        <f t="shared" si="7"/>
        <v/>
      </c>
      <c r="P31" s="19" t="str">
        <f t="shared" si="8"/>
        <v/>
      </c>
      <c r="Q31" s="19" t="str">
        <f t="shared" si="9"/>
        <v/>
      </c>
      <c r="R31" s="19">
        <f t="shared" si="10"/>
        <v>-6.0000000000002274</v>
      </c>
      <c r="S31" s="27">
        <f t="shared" si="3"/>
        <v>0</v>
      </c>
      <c r="T31" s="28">
        <f t="shared" si="3"/>
        <v>0</v>
      </c>
      <c r="U31" s="28">
        <f t="shared" si="3"/>
        <v>0</v>
      </c>
      <c r="V31" s="28" t="str">
        <f t="shared" si="3"/>
        <v/>
      </c>
      <c r="W31" s="28" t="str">
        <f t="shared" si="3"/>
        <v/>
      </c>
      <c r="X31" s="29" t="str">
        <f t="shared" si="3"/>
        <v/>
      </c>
      <c r="Y31" s="24"/>
    </row>
    <row r="32" spans="2:25" ht="15" customHeight="1" x14ac:dyDescent="0.2">
      <c r="B32" s="31">
        <v>42509</v>
      </c>
      <c r="C32" s="25">
        <v>12.44</v>
      </c>
      <c r="D32" s="71">
        <v>7.9279999999999999</v>
      </c>
      <c r="E32" s="71">
        <v>7.3970000000000002</v>
      </c>
      <c r="F32" s="16"/>
      <c r="G32" s="16"/>
      <c r="H32" s="16"/>
      <c r="I32" s="72">
        <v>115.77</v>
      </c>
      <c r="J32" s="58">
        <v>2479</v>
      </c>
      <c r="K32" s="18">
        <f t="shared" ref="K32:K36" si="18">IF(ISBLANK(J32),"",(J32-$J$8))</f>
        <v>23</v>
      </c>
      <c r="L32" s="19">
        <f t="shared" ref="L32:L68" si="19">IF(ISBLANK(C32),"",(C32-C$16)*1000)</f>
        <v>-9.9999999999997868</v>
      </c>
      <c r="M32" s="19">
        <f t="shared" si="5"/>
        <v>-1.9999999999997797</v>
      </c>
      <c r="N32" s="19">
        <f t="shared" si="6"/>
        <v>0</v>
      </c>
      <c r="O32" s="19" t="str">
        <f t="shared" si="7"/>
        <v/>
      </c>
      <c r="P32" s="19" t="str">
        <f t="shared" si="8"/>
        <v/>
      </c>
      <c r="Q32" s="19" t="str">
        <f t="shared" si="9"/>
        <v/>
      </c>
      <c r="R32" s="19">
        <f t="shared" si="10"/>
        <v>-6.0000000000002274</v>
      </c>
      <c r="S32" s="27">
        <f t="shared" si="3"/>
        <v>-5.0000000000007816</v>
      </c>
      <c r="T32" s="28">
        <f t="shared" si="3"/>
        <v>0</v>
      </c>
      <c r="U32" s="28">
        <f t="shared" si="3"/>
        <v>0</v>
      </c>
      <c r="V32" s="28" t="str">
        <f t="shared" si="3"/>
        <v/>
      </c>
      <c r="W32" s="28" t="str">
        <f t="shared" si="3"/>
        <v/>
      </c>
      <c r="X32" s="29" t="str">
        <f t="shared" si="3"/>
        <v/>
      </c>
      <c r="Y32" s="24"/>
    </row>
    <row r="33" spans="2:25" ht="15" customHeight="1" x14ac:dyDescent="0.2">
      <c r="B33" s="31">
        <v>42510</v>
      </c>
      <c r="C33" s="25">
        <v>12.435</v>
      </c>
      <c r="D33" s="71">
        <v>7.9279999999999999</v>
      </c>
      <c r="E33" s="71">
        <v>7.3970000000000002</v>
      </c>
      <c r="F33" s="16"/>
      <c r="G33" s="16"/>
      <c r="H33" s="16"/>
      <c r="I33" s="72">
        <v>115.77</v>
      </c>
      <c r="J33" s="58">
        <v>2490</v>
      </c>
      <c r="K33" s="18">
        <f t="shared" si="18"/>
        <v>34</v>
      </c>
      <c r="L33" s="19">
        <f t="shared" si="19"/>
        <v>-14.999999999998792</v>
      </c>
      <c r="M33" s="19">
        <f t="shared" si="5"/>
        <v>-1.9999999999997797</v>
      </c>
      <c r="N33" s="19">
        <f t="shared" si="6"/>
        <v>0</v>
      </c>
      <c r="O33" s="19" t="str">
        <f t="shared" si="7"/>
        <v/>
      </c>
      <c r="P33" s="19" t="str">
        <f t="shared" si="8"/>
        <v/>
      </c>
      <c r="Q33" s="19" t="str">
        <f t="shared" si="9"/>
        <v/>
      </c>
      <c r="R33" s="19">
        <f t="shared" si="10"/>
        <v>-6.0000000000002274</v>
      </c>
      <c r="S33" s="27">
        <f t="shared" ref="S33:X48" si="20">IF(C33="","",((C33-C32)*1000)/($B33-$B32))</f>
        <v>-4.9999999999990052</v>
      </c>
      <c r="T33" s="28">
        <f t="shared" si="20"/>
        <v>0</v>
      </c>
      <c r="U33" s="28">
        <f t="shared" si="20"/>
        <v>0</v>
      </c>
      <c r="V33" s="28" t="str">
        <f t="shared" si="20"/>
        <v/>
      </c>
      <c r="W33" s="28" t="str">
        <f t="shared" si="20"/>
        <v/>
      </c>
      <c r="X33" s="29" t="str">
        <f t="shared" si="20"/>
        <v/>
      </c>
      <c r="Y33" s="24"/>
    </row>
    <row r="34" spans="2:25" ht="15" customHeight="1" x14ac:dyDescent="0.2">
      <c r="B34" s="31">
        <v>42513</v>
      </c>
      <c r="C34" s="25">
        <v>12.438000000000001</v>
      </c>
      <c r="D34" s="26">
        <v>7.9269999999999996</v>
      </c>
      <c r="E34" s="26">
        <v>7.3949999999999996</v>
      </c>
      <c r="F34" s="47">
        <v>12.944000000000001</v>
      </c>
      <c r="G34" s="47">
        <v>10.542</v>
      </c>
      <c r="H34" s="47">
        <v>10.362</v>
      </c>
      <c r="I34" s="57">
        <v>115.773</v>
      </c>
      <c r="J34" s="58">
        <v>2500</v>
      </c>
      <c r="K34" s="18">
        <f t="shared" si="18"/>
        <v>44</v>
      </c>
      <c r="L34" s="19">
        <f t="shared" si="19"/>
        <v>-11.999999999998678</v>
      </c>
      <c r="M34" s="19">
        <f t="shared" si="5"/>
        <v>-3.0000000000001137</v>
      </c>
      <c r="N34" s="19">
        <f t="shared" si="6"/>
        <v>-2.0000000000006679</v>
      </c>
      <c r="O34" s="19">
        <f>IF(ISBLANK(F34),"",((F34-F$34)*1000+L$34))</f>
        <v>-11.999999999998678</v>
      </c>
      <c r="P34" s="19">
        <f>IF(ISBLANK(G34),"",(G34-G$34)*1000)</f>
        <v>0</v>
      </c>
      <c r="Q34" s="19">
        <f>IF(ISBLANK(H34),"",(H34-H$34)*1000)</f>
        <v>0</v>
      </c>
      <c r="R34" s="19">
        <f t="shared" si="10"/>
        <v>-3.0000000000001137</v>
      </c>
      <c r="S34" s="27">
        <f t="shared" si="20"/>
        <v>1.000000000000038</v>
      </c>
      <c r="T34" s="28">
        <f t="shared" si="20"/>
        <v>-0.33333333333344467</v>
      </c>
      <c r="U34" s="28">
        <f t="shared" si="20"/>
        <v>-0.66666666666688934</v>
      </c>
      <c r="V34" s="28"/>
      <c r="W34" s="28"/>
      <c r="X34" s="29"/>
      <c r="Y34" s="24"/>
    </row>
    <row r="35" spans="2:25" ht="15" customHeight="1" x14ac:dyDescent="0.2">
      <c r="B35" s="31">
        <v>42514</v>
      </c>
      <c r="C35" s="25">
        <v>12.438000000000001</v>
      </c>
      <c r="D35" s="26">
        <v>7.9260000000000002</v>
      </c>
      <c r="E35" s="26">
        <v>7.3949999999999996</v>
      </c>
      <c r="F35" s="47">
        <v>12.945</v>
      </c>
      <c r="G35" s="47">
        <v>10.542999999999999</v>
      </c>
      <c r="H35" s="47">
        <v>10.362</v>
      </c>
      <c r="I35" s="57">
        <v>115.77200000000001</v>
      </c>
      <c r="J35" s="58">
        <v>2515</v>
      </c>
      <c r="K35" s="18">
        <f t="shared" si="18"/>
        <v>59</v>
      </c>
      <c r="L35" s="19">
        <f t="shared" si="19"/>
        <v>-11.999999999998678</v>
      </c>
      <c r="M35" s="19">
        <f t="shared" si="5"/>
        <v>-3.9999999999995595</v>
      </c>
      <c r="N35" s="19">
        <f t="shared" si="6"/>
        <v>-2.0000000000006679</v>
      </c>
      <c r="O35" s="19">
        <f t="shared" ref="O35:O98" si="21">IF(ISBLANK(F35),"",((F35-F$34)*1000+L$34))</f>
        <v>-10.999999999999233</v>
      </c>
      <c r="P35" s="19">
        <f t="shared" ref="P35:P98" si="22">IF(ISBLANK(G35),"",(G35-G$34)*1000)</f>
        <v>0.99999999999944578</v>
      </c>
      <c r="Q35" s="19">
        <f t="shared" ref="Q35:Q98" si="23">IF(ISBLANK(H35),"",(H35-H$34)*1000)</f>
        <v>0</v>
      </c>
      <c r="R35" s="19">
        <f t="shared" si="10"/>
        <v>-3.9999999999906777</v>
      </c>
      <c r="S35" s="27">
        <f t="shared" si="20"/>
        <v>0</v>
      </c>
      <c r="T35" s="28">
        <f t="shared" si="20"/>
        <v>-0.99999999999944578</v>
      </c>
      <c r="U35" s="28">
        <f t="shared" si="20"/>
        <v>0</v>
      </c>
      <c r="V35" s="28">
        <f t="shared" si="20"/>
        <v>0.99999999999944578</v>
      </c>
      <c r="W35" s="28">
        <f t="shared" si="20"/>
        <v>0.99999999999944578</v>
      </c>
      <c r="X35" s="29">
        <f t="shared" si="20"/>
        <v>0</v>
      </c>
      <c r="Y35" s="24"/>
    </row>
    <row r="36" spans="2:25" ht="15" customHeight="1" x14ac:dyDescent="0.2">
      <c r="B36" s="31">
        <v>42515</v>
      </c>
      <c r="C36" s="25">
        <v>12.438000000000001</v>
      </c>
      <c r="D36" s="26">
        <v>7.9249999999999998</v>
      </c>
      <c r="E36" s="26">
        <v>7.3949999999999996</v>
      </c>
      <c r="F36" s="47">
        <v>12.945</v>
      </c>
      <c r="G36" s="47">
        <v>10.542999999999999</v>
      </c>
      <c r="H36" s="47">
        <v>10.362</v>
      </c>
      <c r="I36" s="57">
        <v>115.771</v>
      </c>
      <c r="J36" s="58">
        <v>2524</v>
      </c>
      <c r="K36" s="18">
        <f t="shared" si="18"/>
        <v>68</v>
      </c>
      <c r="L36" s="19">
        <f t="shared" si="19"/>
        <v>-11.999999999998678</v>
      </c>
      <c r="M36" s="19">
        <f t="shared" si="5"/>
        <v>-4.9999999999998934</v>
      </c>
      <c r="N36" s="19">
        <f t="shared" si="6"/>
        <v>-2.0000000000006679</v>
      </c>
      <c r="O36" s="19">
        <f t="shared" si="21"/>
        <v>-10.999999999999233</v>
      </c>
      <c r="P36" s="19">
        <f t="shared" si="22"/>
        <v>0.99999999999944578</v>
      </c>
      <c r="Q36" s="19">
        <f t="shared" si="23"/>
        <v>0</v>
      </c>
      <c r="R36" s="19">
        <f t="shared" si="10"/>
        <v>-4.9999999999954525</v>
      </c>
      <c r="S36" s="27">
        <f t="shared" si="20"/>
        <v>0</v>
      </c>
      <c r="T36" s="28">
        <f t="shared" si="20"/>
        <v>-1.000000000000334</v>
      </c>
      <c r="U36" s="28">
        <f t="shared" si="20"/>
        <v>0</v>
      </c>
      <c r="V36" s="28">
        <f t="shared" si="20"/>
        <v>0</v>
      </c>
      <c r="W36" s="28">
        <f t="shared" si="20"/>
        <v>0</v>
      </c>
      <c r="X36" s="29">
        <f t="shared" si="20"/>
        <v>0</v>
      </c>
      <c r="Y36" s="24"/>
    </row>
    <row r="37" spans="2:25" ht="15" customHeight="1" x14ac:dyDescent="0.2">
      <c r="B37" s="31">
        <v>42516</v>
      </c>
      <c r="C37" s="25">
        <v>12.438000000000001</v>
      </c>
      <c r="D37" s="26">
        <v>7.9269999999999996</v>
      </c>
      <c r="E37" s="26">
        <v>7.3940000000000001</v>
      </c>
      <c r="F37" s="47">
        <v>12.945</v>
      </c>
      <c r="G37" s="47">
        <v>10.542999999999999</v>
      </c>
      <c r="H37" s="47">
        <v>10.362</v>
      </c>
      <c r="I37" s="57">
        <v>115.771</v>
      </c>
      <c r="J37" s="58">
        <v>2524</v>
      </c>
      <c r="K37" s="18">
        <f t="shared" ref="K37" si="24">IF(ISBLANK(J37),"",(J37-$J$8))</f>
        <v>68</v>
      </c>
      <c r="L37" s="19">
        <f t="shared" si="19"/>
        <v>-11.999999999998678</v>
      </c>
      <c r="M37" s="19">
        <f t="shared" si="5"/>
        <v>-3.0000000000001137</v>
      </c>
      <c r="N37" s="19">
        <f t="shared" si="6"/>
        <v>-3.0000000000001137</v>
      </c>
      <c r="O37" s="19">
        <f t="shared" si="21"/>
        <v>-10.999999999999233</v>
      </c>
      <c r="P37" s="19">
        <f t="shared" si="22"/>
        <v>0.99999999999944578</v>
      </c>
      <c r="Q37" s="19">
        <f t="shared" si="23"/>
        <v>0</v>
      </c>
      <c r="R37" s="19">
        <f t="shared" si="10"/>
        <v>-4.9999999999954525</v>
      </c>
      <c r="S37" s="27">
        <f t="shared" si="20"/>
        <v>0</v>
      </c>
      <c r="T37" s="28">
        <f t="shared" si="20"/>
        <v>1.9999999999997797</v>
      </c>
      <c r="U37" s="28">
        <f t="shared" si="20"/>
        <v>-0.99999999999944578</v>
      </c>
      <c r="V37" s="28">
        <f t="shared" si="20"/>
        <v>0</v>
      </c>
      <c r="W37" s="28">
        <f t="shared" si="20"/>
        <v>0</v>
      </c>
      <c r="X37" s="29">
        <f t="shared" si="20"/>
        <v>0</v>
      </c>
      <c r="Y37" s="24"/>
    </row>
    <row r="38" spans="2:25" ht="15" customHeight="1" x14ac:dyDescent="0.2">
      <c r="B38" s="31">
        <v>42522</v>
      </c>
      <c r="C38" s="73">
        <v>12.438000000000001</v>
      </c>
      <c r="D38" s="26">
        <v>7.9240000000000004</v>
      </c>
      <c r="E38" s="71">
        <v>7.3940000000000001</v>
      </c>
      <c r="F38" s="78">
        <v>12.945</v>
      </c>
      <c r="G38" s="47">
        <v>10.542999999999999</v>
      </c>
      <c r="H38" s="78">
        <v>10.362</v>
      </c>
      <c r="I38" s="57">
        <v>115.77</v>
      </c>
      <c r="J38" s="58">
        <v>2543</v>
      </c>
      <c r="K38" s="18">
        <f t="shared" ref="K38:K40" si="25">IF(ISBLANK(J38),"",(J38-$J$8))</f>
        <v>87</v>
      </c>
      <c r="L38" s="19">
        <f t="shared" si="19"/>
        <v>-11.999999999998678</v>
      </c>
      <c r="M38" s="19">
        <f t="shared" si="5"/>
        <v>-5.9999999999993392</v>
      </c>
      <c r="N38" s="19">
        <f t="shared" si="6"/>
        <v>-3.0000000000001137</v>
      </c>
      <c r="O38" s="19">
        <f t="shared" si="21"/>
        <v>-10.999999999999233</v>
      </c>
      <c r="P38" s="19">
        <f t="shared" si="22"/>
        <v>0.99999999999944578</v>
      </c>
      <c r="Q38" s="19">
        <f t="shared" si="23"/>
        <v>0</v>
      </c>
      <c r="R38" s="19">
        <f t="shared" si="10"/>
        <v>-6.0000000000002274</v>
      </c>
      <c r="S38" s="27">
        <f t="shared" si="20"/>
        <v>0</v>
      </c>
      <c r="T38" s="28">
        <f t="shared" si="20"/>
        <v>-0.49999999999987094</v>
      </c>
      <c r="U38" s="28">
        <f t="shared" si="20"/>
        <v>0</v>
      </c>
      <c r="V38" s="28">
        <f t="shared" si="20"/>
        <v>0</v>
      </c>
      <c r="W38" s="28">
        <f t="shared" si="20"/>
        <v>0</v>
      </c>
      <c r="X38" s="29">
        <f t="shared" si="20"/>
        <v>0</v>
      </c>
      <c r="Y38" s="24"/>
    </row>
    <row r="39" spans="2:25" ht="15" customHeight="1" x14ac:dyDescent="0.2">
      <c r="B39" s="31">
        <v>42529</v>
      </c>
      <c r="C39" s="73">
        <v>12.438000000000001</v>
      </c>
      <c r="D39" s="26">
        <v>7.9249999999999998</v>
      </c>
      <c r="E39" s="71">
        <v>7.3940000000000001</v>
      </c>
      <c r="F39" s="78">
        <v>12.945</v>
      </c>
      <c r="G39" s="47">
        <v>10.544</v>
      </c>
      <c r="H39" s="78">
        <v>10.362</v>
      </c>
      <c r="I39" s="57">
        <v>115.77</v>
      </c>
      <c r="J39" s="58">
        <v>2603</v>
      </c>
      <c r="K39" s="18">
        <f t="shared" si="25"/>
        <v>147</v>
      </c>
      <c r="L39" s="19">
        <f t="shared" si="19"/>
        <v>-11.999999999998678</v>
      </c>
      <c r="M39" s="19">
        <f t="shared" si="5"/>
        <v>-4.9999999999998934</v>
      </c>
      <c r="N39" s="19">
        <f t="shared" si="6"/>
        <v>-3.0000000000001137</v>
      </c>
      <c r="O39" s="19">
        <f t="shared" si="21"/>
        <v>-10.999999999999233</v>
      </c>
      <c r="P39" s="19">
        <f t="shared" si="22"/>
        <v>2.0000000000006679</v>
      </c>
      <c r="Q39" s="19">
        <f t="shared" si="23"/>
        <v>0</v>
      </c>
      <c r="R39" s="19">
        <f t="shared" si="10"/>
        <v>-6.0000000000002274</v>
      </c>
      <c r="S39" s="27">
        <f t="shared" si="20"/>
        <v>0</v>
      </c>
      <c r="T39" s="28">
        <f t="shared" si="20"/>
        <v>0.14285714285706369</v>
      </c>
      <c r="U39" s="28">
        <f t="shared" si="20"/>
        <v>0</v>
      </c>
      <c r="V39" s="28">
        <f t="shared" si="20"/>
        <v>0</v>
      </c>
      <c r="W39" s="28">
        <f t="shared" si="20"/>
        <v>0.14285714285731746</v>
      </c>
      <c r="X39" s="29">
        <f t="shared" si="20"/>
        <v>0</v>
      </c>
      <c r="Y39" s="24"/>
    </row>
    <row r="40" spans="2:25" ht="15" customHeight="1" x14ac:dyDescent="0.2">
      <c r="B40" s="31">
        <v>42558</v>
      </c>
      <c r="C40" s="73">
        <v>12.438000000000001</v>
      </c>
      <c r="D40" s="26">
        <v>7.9240000000000004</v>
      </c>
      <c r="E40" s="71">
        <v>7.3940000000000001</v>
      </c>
      <c r="F40" s="78">
        <v>12.945</v>
      </c>
      <c r="G40" s="47">
        <v>10.544</v>
      </c>
      <c r="H40" s="78">
        <v>10.362</v>
      </c>
      <c r="I40" s="57">
        <v>115.771</v>
      </c>
      <c r="J40" s="58">
        <v>2689</v>
      </c>
      <c r="K40" s="18">
        <f t="shared" si="25"/>
        <v>233</v>
      </c>
      <c r="L40" s="19">
        <f t="shared" si="19"/>
        <v>-11.999999999998678</v>
      </c>
      <c r="M40" s="19">
        <f t="shared" si="5"/>
        <v>-5.9999999999993392</v>
      </c>
      <c r="N40" s="19">
        <f t="shared" si="6"/>
        <v>-3.0000000000001137</v>
      </c>
      <c r="O40" s="19">
        <f t="shared" si="21"/>
        <v>-10.999999999999233</v>
      </c>
      <c r="P40" s="19">
        <f t="shared" si="22"/>
        <v>2.0000000000006679</v>
      </c>
      <c r="Q40" s="19">
        <f t="shared" si="23"/>
        <v>0</v>
      </c>
      <c r="R40" s="19">
        <f t="shared" si="10"/>
        <v>-4.9999999999954525</v>
      </c>
      <c r="S40" s="27">
        <f t="shared" si="20"/>
        <v>0</v>
      </c>
      <c r="T40" s="28">
        <f t="shared" si="20"/>
        <v>-3.4482758620670545E-2</v>
      </c>
      <c r="U40" s="28">
        <f t="shared" si="20"/>
        <v>0</v>
      </c>
      <c r="V40" s="28">
        <f t="shared" si="20"/>
        <v>0</v>
      </c>
      <c r="W40" s="28">
        <f t="shared" si="20"/>
        <v>0</v>
      </c>
      <c r="X40" s="29">
        <f t="shared" si="20"/>
        <v>0</v>
      </c>
      <c r="Y40" s="24"/>
    </row>
    <row r="41" spans="2:25" ht="15" customHeight="1" x14ac:dyDescent="0.2">
      <c r="B41" s="31"/>
      <c r="C41" s="25"/>
      <c r="D41" s="26"/>
      <c r="E41" s="26"/>
      <c r="F41" s="47"/>
      <c r="G41" s="47"/>
      <c r="H41" s="47"/>
      <c r="I41" s="57"/>
      <c r="J41" s="58"/>
      <c r="K41" s="18"/>
      <c r="L41" s="19" t="str">
        <f t="shared" si="19"/>
        <v/>
      </c>
      <c r="M41" s="19" t="str">
        <f t="shared" si="5"/>
        <v/>
      </c>
      <c r="N41" s="19" t="str">
        <f t="shared" si="6"/>
        <v/>
      </c>
      <c r="O41" s="19" t="str">
        <f t="shared" si="21"/>
        <v/>
      </c>
      <c r="P41" s="19" t="str">
        <f t="shared" si="22"/>
        <v/>
      </c>
      <c r="Q41" s="19" t="str">
        <f t="shared" si="23"/>
        <v/>
      </c>
      <c r="R41" s="19" t="str">
        <f t="shared" si="10"/>
        <v/>
      </c>
      <c r="S41" s="27" t="str">
        <f t="shared" si="20"/>
        <v/>
      </c>
      <c r="T41" s="28" t="str">
        <f t="shared" si="20"/>
        <v/>
      </c>
      <c r="U41" s="28" t="str">
        <f t="shared" si="20"/>
        <v/>
      </c>
      <c r="V41" s="28" t="str">
        <f t="shared" si="20"/>
        <v/>
      </c>
      <c r="W41" s="28" t="str">
        <f t="shared" si="20"/>
        <v/>
      </c>
      <c r="X41" s="29" t="str">
        <f t="shared" si="20"/>
        <v/>
      </c>
      <c r="Y41" s="24"/>
    </row>
    <row r="42" spans="2:25" ht="15" customHeight="1" x14ac:dyDescent="0.2">
      <c r="B42" s="31"/>
      <c r="C42" s="25"/>
      <c r="D42" s="26"/>
      <c r="E42" s="26"/>
      <c r="F42" s="47"/>
      <c r="G42" s="47"/>
      <c r="H42" s="47"/>
      <c r="I42" s="57"/>
      <c r="J42" s="58"/>
      <c r="K42" s="18"/>
      <c r="L42" s="19" t="str">
        <f t="shared" si="19"/>
        <v/>
      </c>
      <c r="M42" s="19" t="str">
        <f t="shared" si="5"/>
        <v/>
      </c>
      <c r="N42" s="19" t="str">
        <f t="shared" si="6"/>
        <v/>
      </c>
      <c r="O42" s="19" t="str">
        <f t="shared" si="21"/>
        <v/>
      </c>
      <c r="P42" s="19" t="str">
        <f t="shared" si="22"/>
        <v/>
      </c>
      <c r="Q42" s="19" t="str">
        <f t="shared" si="23"/>
        <v/>
      </c>
      <c r="R42" s="19" t="str">
        <f t="shared" si="10"/>
        <v/>
      </c>
      <c r="S42" s="27" t="str">
        <f t="shared" si="20"/>
        <v/>
      </c>
      <c r="T42" s="28" t="str">
        <f t="shared" si="20"/>
        <v/>
      </c>
      <c r="U42" s="28" t="str">
        <f t="shared" si="20"/>
        <v/>
      </c>
      <c r="V42" s="28" t="str">
        <f t="shared" si="20"/>
        <v/>
      </c>
      <c r="W42" s="28" t="str">
        <f t="shared" si="20"/>
        <v/>
      </c>
      <c r="X42" s="29" t="str">
        <f t="shared" si="20"/>
        <v/>
      </c>
      <c r="Y42" s="24"/>
    </row>
    <row r="43" spans="2:25" ht="15" customHeight="1" x14ac:dyDescent="0.2">
      <c r="B43" s="31"/>
      <c r="C43" s="25"/>
      <c r="D43" s="26"/>
      <c r="E43" s="26"/>
      <c r="F43" s="47"/>
      <c r="G43" s="47"/>
      <c r="H43" s="47"/>
      <c r="I43" s="57"/>
      <c r="J43" s="58"/>
      <c r="K43" s="18"/>
      <c r="L43" s="19" t="str">
        <f t="shared" si="19"/>
        <v/>
      </c>
      <c r="M43" s="19" t="str">
        <f t="shared" si="5"/>
        <v/>
      </c>
      <c r="N43" s="19" t="str">
        <f t="shared" si="6"/>
        <v/>
      </c>
      <c r="O43" s="19" t="str">
        <f t="shared" si="21"/>
        <v/>
      </c>
      <c r="P43" s="19" t="str">
        <f t="shared" si="22"/>
        <v/>
      </c>
      <c r="Q43" s="19" t="str">
        <f t="shared" si="23"/>
        <v/>
      </c>
      <c r="R43" s="19" t="str">
        <f t="shared" si="10"/>
        <v/>
      </c>
      <c r="S43" s="27" t="str">
        <f t="shared" si="20"/>
        <v/>
      </c>
      <c r="T43" s="28" t="str">
        <f t="shared" si="20"/>
        <v/>
      </c>
      <c r="U43" s="28" t="str">
        <f t="shared" si="20"/>
        <v/>
      </c>
      <c r="V43" s="28" t="str">
        <f t="shared" si="20"/>
        <v/>
      </c>
      <c r="W43" s="28" t="str">
        <f t="shared" si="20"/>
        <v/>
      </c>
      <c r="X43" s="29" t="str">
        <f t="shared" si="20"/>
        <v/>
      </c>
      <c r="Y43" s="24"/>
    </row>
    <row r="44" spans="2:25" ht="15" customHeight="1" x14ac:dyDescent="0.2">
      <c r="B44" s="31"/>
      <c r="C44" s="25"/>
      <c r="D44" s="26"/>
      <c r="E44" s="26"/>
      <c r="F44" s="47"/>
      <c r="G44" s="47"/>
      <c r="H44" s="47"/>
      <c r="I44" s="57"/>
      <c r="J44" s="58"/>
      <c r="K44" s="59"/>
      <c r="L44" s="19" t="str">
        <f t="shared" si="19"/>
        <v/>
      </c>
      <c r="M44" s="19" t="str">
        <f t="shared" si="5"/>
        <v/>
      </c>
      <c r="N44" s="19" t="str">
        <f t="shared" si="6"/>
        <v/>
      </c>
      <c r="O44" s="19" t="str">
        <f t="shared" si="21"/>
        <v/>
      </c>
      <c r="P44" s="19" t="str">
        <f t="shared" si="22"/>
        <v/>
      </c>
      <c r="Q44" s="19" t="str">
        <f t="shared" si="23"/>
        <v/>
      </c>
      <c r="R44" s="19" t="str">
        <f t="shared" si="10"/>
        <v/>
      </c>
      <c r="S44" s="27" t="str">
        <f t="shared" si="20"/>
        <v/>
      </c>
      <c r="T44" s="28" t="str">
        <f t="shared" si="20"/>
        <v/>
      </c>
      <c r="U44" s="28" t="str">
        <f t="shared" si="20"/>
        <v/>
      </c>
      <c r="V44" s="28" t="str">
        <f t="shared" si="20"/>
        <v/>
      </c>
      <c r="W44" s="28" t="str">
        <f t="shared" si="20"/>
        <v/>
      </c>
      <c r="X44" s="29" t="str">
        <f t="shared" si="20"/>
        <v/>
      </c>
      <c r="Y44" s="24"/>
    </row>
    <row r="45" spans="2:25" ht="15" customHeight="1" x14ac:dyDescent="0.2">
      <c r="B45" s="31"/>
      <c r="C45" s="25"/>
      <c r="D45" s="26"/>
      <c r="E45" s="26"/>
      <c r="F45" s="47"/>
      <c r="G45" s="47"/>
      <c r="H45" s="47"/>
      <c r="I45" s="57"/>
      <c r="J45" s="58"/>
      <c r="K45" s="59"/>
      <c r="L45" s="19" t="str">
        <f t="shared" si="19"/>
        <v/>
      </c>
      <c r="M45" s="19" t="str">
        <f t="shared" si="5"/>
        <v/>
      </c>
      <c r="N45" s="19" t="str">
        <f t="shared" si="6"/>
        <v/>
      </c>
      <c r="O45" s="19" t="str">
        <f t="shared" si="21"/>
        <v/>
      </c>
      <c r="P45" s="19" t="str">
        <f t="shared" si="22"/>
        <v/>
      </c>
      <c r="Q45" s="19" t="str">
        <f t="shared" si="23"/>
        <v/>
      </c>
      <c r="R45" s="19" t="str">
        <f t="shared" si="10"/>
        <v/>
      </c>
      <c r="S45" s="27" t="str">
        <f t="shared" si="20"/>
        <v/>
      </c>
      <c r="T45" s="28" t="str">
        <f t="shared" si="20"/>
        <v/>
      </c>
      <c r="U45" s="28" t="str">
        <f t="shared" si="20"/>
        <v/>
      </c>
      <c r="V45" s="28" t="str">
        <f t="shared" si="20"/>
        <v/>
      </c>
      <c r="W45" s="28" t="str">
        <f t="shared" si="20"/>
        <v/>
      </c>
      <c r="X45" s="29" t="str">
        <f t="shared" si="20"/>
        <v/>
      </c>
      <c r="Y45" s="24"/>
    </row>
    <row r="46" spans="2:25" ht="15" customHeight="1" x14ac:dyDescent="0.2">
      <c r="B46" s="31"/>
      <c r="C46" s="25"/>
      <c r="D46" s="26"/>
      <c r="E46" s="26"/>
      <c r="F46" s="47"/>
      <c r="G46" s="47"/>
      <c r="H46" s="47"/>
      <c r="I46" s="57"/>
      <c r="J46" s="58"/>
      <c r="K46" s="59"/>
      <c r="L46" s="19" t="str">
        <f t="shared" si="19"/>
        <v/>
      </c>
      <c r="M46" s="19" t="str">
        <f t="shared" si="5"/>
        <v/>
      </c>
      <c r="N46" s="19" t="str">
        <f t="shared" si="6"/>
        <v/>
      </c>
      <c r="O46" s="19" t="str">
        <f t="shared" si="21"/>
        <v/>
      </c>
      <c r="P46" s="19" t="str">
        <f t="shared" si="22"/>
        <v/>
      </c>
      <c r="Q46" s="19" t="str">
        <f t="shared" si="23"/>
        <v/>
      </c>
      <c r="R46" s="19" t="str">
        <f t="shared" si="10"/>
        <v/>
      </c>
      <c r="S46" s="27" t="str">
        <f t="shared" si="20"/>
        <v/>
      </c>
      <c r="T46" s="28" t="str">
        <f t="shared" si="20"/>
        <v/>
      </c>
      <c r="U46" s="28" t="str">
        <f t="shared" si="20"/>
        <v/>
      </c>
      <c r="V46" s="28" t="str">
        <f t="shared" si="20"/>
        <v/>
      </c>
      <c r="W46" s="28" t="str">
        <f t="shared" si="20"/>
        <v/>
      </c>
      <c r="X46" s="29" t="str">
        <f t="shared" si="2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19"/>
        <v/>
      </c>
      <c r="M47" s="19" t="str">
        <f t="shared" si="5"/>
        <v/>
      </c>
      <c r="N47" s="19" t="str">
        <f t="shared" si="6"/>
        <v/>
      </c>
      <c r="O47" s="19" t="str">
        <f t="shared" si="21"/>
        <v/>
      </c>
      <c r="P47" s="19" t="str">
        <f t="shared" si="22"/>
        <v/>
      </c>
      <c r="Q47" s="19" t="str">
        <f t="shared" si="23"/>
        <v/>
      </c>
      <c r="R47" s="19" t="str">
        <f t="shared" si="10"/>
        <v/>
      </c>
      <c r="S47" s="27" t="str">
        <f t="shared" si="20"/>
        <v/>
      </c>
      <c r="T47" s="28" t="str">
        <f t="shared" si="20"/>
        <v/>
      </c>
      <c r="U47" s="28" t="str">
        <f t="shared" si="20"/>
        <v/>
      </c>
      <c r="V47" s="28" t="str">
        <f t="shared" si="20"/>
        <v/>
      </c>
      <c r="W47" s="28" t="str">
        <f t="shared" si="20"/>
        <v/>
      </c>
      <c r="X47" s="29" t="str">
        <f t="shared" si="2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19"/>
        <v/>
      </c>
      <c r="M48" s="19" t="str">
        <f t="shared" si="5"/>
        <v/>
      </c>
      <c r="N48" s="19" t="str">
        <f t="shared" si="6"/>
        <v/>
      </c>
      <c r="O48" s="19" t="str">
        <f t="shared" si="21"/>
        <v/>
      </c>
      <c r="P48" s="19" t="str">
        <f t="shared" si="22"/>
        <v/>
      </c>
      <c r="Q48" s="19" t="str">
        <f t="shared" si="23"/>
        <v/>
      </c>
      <c r="R48" s="19" t="str">
        <f t="shared" si="10"/>
        <v/>
      </c>
      <c r="S48" s="27" t="str">
        <f t="shared" si="20"/>
        <v/>
      </c>
      <c r="T48" s="28" t="str">
        <f t="shared" si="20"/>
        <v/>
      </c>
      <c r="U48" s="28" t="str">
        <f t="shared" si="20"/>
        <v/>
      </c>
      <c r="V48" s="28" t="str">
        <f t="shared" si="20"/>
        <v/>
      </c>
      <c r="W48" s="28" t="str">
        <f t="shared" si="20"/>
        <v/>
      </c>
      <c r="X48" s="29" t="str">
        <f t="shared" si="2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19"/>
        <v/>
      </c>
      <c r="M49" s="19" t="str">
        <f t="shared" si="5"/>
        <v/>
      </c>
      <c r="N49" s="19" t="str">
        <f t="shared" si="6"/>
        <v/>
      </c>
      <c r="O49" s="19" t="str">
        <f t="shared" si="21"/>
        <v/>
      </c>
      <c r="P49" s="19" t="str">
        <f t="shared" si="22"/>
        <v/>
      </c>
      <c r="Q49" s="19" t="str">
        <f t="shared" si="23"/>
        <v/>
      </c>
      <c r="R49" s="19" t="str">
        <f t="shared" si="10"/>
        <v/>
      </c>
      <c r="S49" s="27" t="str">
        <f t="shared" ref="S49:X64" si="26">IF(C49="","",((C49-C48)*1000)/($B49-$B48))</f>
        <v/>
      </c>
      <c r="T49" s="28" t="str">
        <f t="shared" si="26"/>
        <v/>
      </c>
      <c r="U49" s="28" t="str">
        <f t="shared" si="26"/>
        <v/>
      </c>
      <c r="V49" s="28" t="str">
        <f t="shared" si="26"/>
        <v/>
      </c>
      <c r="W49" s="28" t="str">
        <f t="shared" si="26"/>
        <v/>
      </c>
      <c r="X49" s="29" t="str">
        <f t="shared" si="2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19"/>
        <v/>
      </c>
      <c r="M50" s="19" t="str">
        <f t="shared" si="5"/>
        <v/>
      </c>
      <c r="N50" s="19" t="str">
        <f t="shared" si="6"/>
        <v/>
      </c>
      <c r="O50" s="19" t="str">
        <f t="shared" si="21"/>
        <v/>
      </c>
      <c r="P50" s="19" t="str">
        <f t="shared" si="22"/>
        <v/>
      </c>
      <c r="Q50" s="19" t="str">
        <f t="shared" si="23"/>
        <v/>
      </c>
      <c r="R50" s="19" t="str">
        <f t="shared" si="10"/>
        <v/>
      </c>
      <c r="S50" s="27" t="str">
        <f t="shared" si="26"/>
        <v/>
      </c>
      <c r="T50" s="28" t="str">
        <f t="shared" si="26"/>
        <v/>
      </c>
      <c r="U50" s="28" t="str">
        <f t="shared" si="26"/>
        <v/>
      </c>
      <c r="V50" s="28" t="str">
        <f t="shared" si="26"/>
        <v/>
      </c>
      <c r="W50" s="28" t="str">
        <f t="shared" si="26"/>
        <v/>
      </c>
      <c r="X50" s="29" t="str">
        <f t="shared" si="2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19"/>
        <v/>
      </c>
      <c r="M51" s="19" t="str">
        <f t="shared" si="5"/>
        <v/>
      </c>
      <c r="N51" s="19" t="str">
        <f t="shared" si="6"/>
        <v/>
      </c>
      <c r="O51" s="19" t="str">
        <f t="shared" si="21"/>
        <v/>
      </c>
      <c r="P51" s="19" t="str">
        <f t="shared" si="22"/>
        <v/>
      </c>
      <c r="Q51" s="19" t="str">
        <f t="shared" si="23"/>
        <v/>
      </c>
      <c r="R51" s="19" t="str">
        <f t="shared" si="10"/>
        <v/>
      </c>
      <c r="S51" s="27" t="str">
        <f t="shared" si="26"/>
        <v/>
      </c>
      <c r="T51" s="28" t="str">
        <f t="shared" si="26"/>
        <v/>
      </c>
      <c r="U51" s="28" t="str">
        <f t="shared" si="26"/>
        <v/>
      </c>
      <c r="V51" s="28" t="str">
        <f t="shared" si="26"/>
        <v/>
      </c>
      <c r="W51" s="28" t="str">
        <f t="shared" si="26"/>
        <v/>
      </c>
      <c r="X51" s="29" t="str">
        <f t="shared" si="2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19"/>
        <v/>
      </c>
      <c r="M52" s="19" t="str">
        <f t="shared" si="5"/>
        <v/>
      </c>
      <c r="N52" s="19" t="str">
        <f t="shared" si="6"/>
        <v/>
      </c>
      <c r="O52" s="19" t="str">
        <f t="shared" si="21"/>
        <v/>
      </c>
      <c r="P52" s="19" t="str">
        <f t="shared" si="22"/>
        <v/>
      </c>
      <c r="Q52" s="19" t="str">
        <f t="shared" si="23"/>
        <v/>
      </c>
      <c r="R52" s="19" t="str">
        <f t="shared" si="10"/>
        <v/>
      </c>
      <c r="S52" s="27" t="str">
        <f t="shared" si="26"/>
        <v/>
      </c>
      <c r="T52" s="28" t="str">
        <f t="shared" si="26"/>
        <v/>
      </c>
      <c r="U52" s="28" t="str">
        <f t="shared" si="26"/>
        <v/>
      </c>
      <c r="V52" s="28" t="str">
        <f t="shared" si="26"/>
        <v/>
      </c>
      <c r="W52" s="28" t="str">
        <f t="shared" si="26"/>
        <v/>
      </c>
      <c r="X52" s="29" t="str">
        <f t="shared" si="2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19"/>
        <v/>
      </c>
      <c r="M53" s="19" t="str">
        <f t="shared" si="5"/>
        <v/>
      </c>
      <c r="N53" s="19" t="str">
        <f t="shared" si="6"/>
        <v/>
      </c>
      <c r="O53" s="19" t="str">
        <f t="shared" si="21"/>
        <v/>
      </c>
      <c r="P53" s="19" t="str">
        <f t="shared" si="22"/>
        <v/>
      </c>
      <c r="Q53" s="19" t="str">
        <f t="shared" si="23"/>
        <v/>
      </c>
      <c r="R53" s="19" t="str">
        <f t="shared" si="10"/>
        <v/>
      </c>
      <c r="S53" s="27" t="str">
        <f t="shared" si="26"/>
        <v/>
      </c>
      <c r="T53" s="28" t="str">
        <f t="shared" si="26"/>
        <v/>
      </c>
      <c r="U53" s="28" t="str">
        <f t="shared" si="26"/>
        <v/>
      </c>
      <c r="V53" s="28" t="str">
        <f t="shared" si="26"/>
        <v/>
      </c>
      <c r="W53" s="28" t="str">
        <f t="shared" si="26"/>
        <v/>
      </c>
      <c r="X53" s="29" t="str">
        <f t="shared" si="2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19"/>
        <v/>
      </c>
      <c r="M54" s="19" t="str">
        <f t="shared" si="5"/>
        <v/>
      </c>
      <c r="N54" s="19" t="str">
        <f t="shared" si="6"/>
        <v/>
      </c>
      <c r="O54" s="19" t="str">
        <f t="shared" si="21"/>
        <v/>
      </c>
      <c r="P54" s="19" t="str">
        <f t="shared" si="22"/>
        <v/>
      </c>
      <c r="Q54" s="19" t="str">
        <f t="shared" si="23"/>
        <v/>
      </c>
      <c r="R54" s="19" t="str">
        <f t="shared" si="10"/>
        <v/>
      </c>
      <c r="S54" s="27" t="str">
        <f t="shared" si="26"/>
        <v/>
      </c>
      <c r="T54" s="28" t="str">
        <f t="shared" si="26"/>
        <v/>
      </c>
      <c r="U54" s="28" t="str">
        <f t="shared" si="26"/>
        <v/>
      </c>
      <c r="V54" s="28" t="str">
        <f t="shared" si="26"/>
        <v/>
      </c>
      <c r="W54" s="28" t="str">
        <f t="shared" si="26"/>
        <v/>
      </c>
      <c r="X54" s="29" t="str">
        <f t="shared" si="2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19"/>
        <v/>
      </c>
      <c r="M55" s="19" t="str">
        <f t="shared" si="5"/>
        <v/>
      </c>
      <c r="N55" s="19" t="str">
        <f t="shared" si="6"/>
        <v/>
      </c>
      <c r="O55" s="19" t="str">
        <f t="shared" si="21"/>
        <v/>
      </c>
      <c r="P55" s="19" t="str">
        <f t="shared" si="22"/>
        <v/>
      </c>
      <c r="Q55" s="19" t="str">
        <f t="shared" si="23"/>
        <v/>
      </c>
      <c r="R55" s="19" t="str">
        <f t="shared" si="10"/>
        <v/>
      </c>
      <c r="S55" s="27" t="str">
        <f t="shared" si="26"/>
        <v/>
      </c>
      <c r="T55" s="28" t="str">
        <f t="shared" si="26"/>
        <v/>
      </c>
      <c r="U55" s="28" t="str">
        <f t="shared" si="26"/>
        <v/>
      </c>
      <c r="V55" s="28" t="str">
        <f t="shared" si="26"/>
        <v/>
      </c>
      <c r="W55" s="28" t="str">
        <f t="shared" si="26"/>
        <v/>
      </c>
      <c r="X55" s="29" t="str">
        <f t="shared" si="2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19"/>
        <v/>
      </c>
      <c r="M56" s="19" t="str">
        <f t="shared" si="5"/>
        <v/>
      </c>
      <c r="N56" s="19" t="str">
        <f t="shared" si="6"/>
        <v/>
      </c>
      <c r="O56" s="19" t="str">
        <f t="shared" si="21"/>
        <v/>
      </c>
      <c r="P56" s="19" t="str">
        <f t="shared" si="22"/>
        <v/>
      </c>
      <c r="Q56" s="19" t="str">
        <f t="shared" si="23"/>
        <v/>
      </c>
      <c r="R56" s="19" t="str">
        <f t="shared" si="10"/>
        <v/>
      </c>
      <c r="S56" s="27" t="str">
        <f t="shared" si="26"/>
        <v/>
      </c>
      <c r="T56" s="28" t="str">
        <f t="shared" si="26"/>
        <v/>
      </c>
      <c r="U56" s="28" t="str">
        <f t="shared" si="26"/>
        <v/>
      </c>
      <c r="V56" s="28" t="str">
        <f t="shared" si="26"/>
        <v/>
      </c>
      <c r="W56" s="28" t="str">
        <f t="shared" si="26"/>
        <v/>
      </c>
      <c r="X56" s="29" t="str">
        <f t="shared" si="2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19"/>
        <v/>
      </c>
      <c r="M57" s="19" t="str">
        <f t="shared" si="5"/>
        <v/>
      </c>
      <c r="N57" s="19" t="str">
        <f t="shared" si="6"/>
        <v/>
      </c>
      <c r="O57" s="19" t="str">
        <f t="shared" si="21"/>
        <v/>
      </c>
      <c r="P57" s="19" t="str">
        <f t="shared" si="22"/>
        <v/>
      </c>
      <c r="Q57" s="19" t="str">
        <f t="shared" si="23"/>
        <v/>
      </c>
      <c r="R57" s="19" t="str">
        <f t="shared" si="10"/>
        <v/>
      </c>
      <c r="S57" s="27" t="str">
        <f t="shared" si="26"/>
        <v/>
      </c>
      <c r="T57" s="28" t="str">
        <f t="shared" si="26"/>
        <v/>
      </c>
      <c r="U57" s="28" t="str">
        <f t="shared" si="26"/>
        <v/>
      </c>
      <c r="V57" s="28" t="str">
        <f t="shared" si="26"/>
        <v/>
      </c>
      <c r="W57" s="28" t="str">
        <f t="shared" si="26"/>
        <v/>
      </c>
      <c r="X57" s="29" t="str">
        <f t="shared" si="2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19"/>
        <v/>
      </c>
      <c r="M58" s="19" t="str">
        <f t="shared" si="5"/>
        <v/>
      </c>
      <c r="N58" s="19" t="str">
        <f t="shared" si="6"/>
        <v/>
      </c>
      <c r="O58" s="19" t="str">
        <f t="shared" si="21"/>
        <v/>
      </c>
      <c r="P58" s="19" t="str">
        <f t="shared" si="22"/>
        <v/>
      </c>
      <c r="Q58" s="19" t="str">
        <f t="shared" si="23"/>
        <v/>
      </c>
      <c r="R58" s="19" t="str">
        <f t="shared" si="10"/>
        <v/>
      </c>
      <c r="S58" s="27" t="str">
        <f t="shared" si="26"/>
        <v/>
      </c>
      <c r="T58" s="28" t="str">
        <f t="shared" si="26"/>
        <v/>
      </c>
      <c r="U58" s="28" t="str">
        <f t="shared" si="26"/>
        <v/>
      </c>
      <c r="V58" s="28" t="str">
        <f t="shared" si="26"/>
        <v/>
      </c>
      <c r="W58" s="28" t="str">
        <f t="shared" si="26"/>
        <v/>
      </c>
      <c r="X58" s="29" t="str">
        <f t="shared" si="2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19"/>
        <v/>
      </c>
      <c r="M59" s="19" t="str">
        <f t="shared" si="5"/>
        <v/>
      </c>
      <c r="N59" s="19" t="str">
        <f t="shared" si="6"/>
        <v/>
      </c>
      <c r="O59" s="19" t="str">
        <f t="shared" si="21"/>
        <v/>
      </c>
      <c r="P59" s="19" t="str">
        <f t="shared" si="22"/>
        <v/>
      </c>
      <c r="Q59" s="19" t="str">
        <f t="shared" si="23"/>
        <v/>
      </c>
      <c r="R59" s="19" t="str">
        <f t="shared" si="10"/>
        <v/>
      </c>
      <c r="S59" s="27" t="str">
        <f t="shared" si="26"/>
        <v/>
      </c>
      <c r="T59" s="28" t="str">
        <f t="shared" si="26"/>
        <v/>
      </c>
      <c r="U59" s="28" t="str">
        <f t="shared" si="26"/>
        <v/>
      </c>
      <c r="V59" s="28" t="str">
        <f t="shared" si="26"/>
        <v/>
      </c>
      <c r="W59" s="28" t="str">
        <f t="shared" si="26"/>
        <v/>
      </c>
      <c r="X59" s="29" t="str">
        <f t="shared" si="2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19"/>
        <v/>
      </c>
      <c r="M60" s="19" t="str">
        <f t="shared" si="5"/>
        <v/>
      </c>
      <c r="N60" s="19" t="str">
        <f t="shared" si="6"/>
        <v/>
      </c>
      <c r="O60" s="19" t="str">
        <f t="shared" si="21"/>
        <v/>
      </c>
      <c r="P60" s="19" t="str">
        <f t="shared" si="22"/>
        <v/>
      </c>
      <c r="Q60" s="19" t="str">
        <f t="shared" si="23"/>
        <v/>
      </c>
      <c r="R60" s="19" t="str">
        <f t="shared" si="10"/>
        <v/>
      </c>
      <c r="S60" s="27" t="str">
        <f t="shared" si="26"/>
        <v/>
      </c>
      <c r="T60" s="28" t="str">
        <f t="shared" si="26"/>
        <v/>
      </c>
      <c r="U60" s="28" t="str">
        <f t="shared" si="26"/>
        <v/>
      </c>
      <c r="V60" s="28" t="str">
        <f t="shared" si="26"/>
        <v/>
      </c>
      <c r="W60" s="28" t="str">
        <f t="shared" si="26"/>
        <v/>
      </c>
      <c r="X60" s="29" t="str">
        <f t="shared" si="2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19"/>
        <v/>
      </c>
      <c r="M61" s="19" t="str">
        <f t="shared" si="5"/>
        <v/>
      </c>
      <c r="N61" s="19" t="str">
        <f t="shared" si="6"/>
        <v/>
      </c>
      <c r="O61" s="19" t="str">
        <f t="shared" si="21"/>
        <v/>
      </c>
      <c r="P61" s="19" t="str">
        <f t="shared" si="22"/>
        <v/>
      </c>
      <c r="Q61" s="19" t="str">
        <f t="shared" si="23"/>
        <v/>
      </c>
      <c r="R61" s="19" t="str">
        <f t="shared" si="10"/>
        <v/>
      </c>
      <c r="S61" s="27" t="str">
        <f t="shared" si="26"/>
        <v/>
      </c>
      <c r="T61" s="28" t="str">
        <f t="shared" si="26"/>
        <v/>
      </c>
      <c r="U61" s="28" t="str">
        <f t="shared" si="26"/>
        <v/>
      </c>
      <c r="V61" s="28" t="str">
        <f t="shared" si="26"/>
        <v/>
      </c>
      <c r="W61" s="28" t="str">
        <f t="shared" si="26"/>
        <v/>
      </c>
      <c r="X61" s="29" t="str">
        <f t="shared" si="2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19"/>
        <v/>
      </c>
      <c r="M62" s="19" t="str">
        <f t="shared" si="5"/>
        <v/>
      </c>
      <c r="N62" s="19" t="str">
        <f t="shared" si="6"/>
        <v/>
      </c>
      <c r="O62" s="19" t="str">
        <f t="shared" si="21"/>
        <v/>
      </c>
      <c r="P62" s="19" t="str">
        <f t="shared" si="22"/>
        <v/>
      </c>
      <c r="Q62" s="19" t="str">
        <f t="shared" si="23"/>
        <v/>
      </c>
      <c r="R62" s="19" t="str">
        <f t="shared" si="10"/>
        <v/>
      </c>
      <c r="S62" s="27" t="str">
        <f t="shared" si="26"/>
        <v/>
      </c>
      <c r="T62" s="28" t="str">
        <f t="shared" si="26"/>
        <v/>
      </c>
      <c r="U62" s="28" t="str">
        <f t="shared" si="26"/>
        <v/>
      </c>
      <c r="V62" s="28" t="str">
        <f t="shared" si="26"/>
        <v/>
      </c>
      <c r="W62" s="28" t="str">
        <f t="shared" si="26"/>
        <v/>
      </c>
      <c r="X62" s="29" t="str">
        <f t="shared" si="2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si="19"/>
        <v/>
      </c>
      <c r="M63" s="19" t="str">
        <f t="shared" si="5"/>
        <v/>
      </c>
      <c r="N63" s="19" t="str">
        <f t="shared" si="6"/>
        <v/>
      </c>
      <c r="O63" s="19" t="str">
        <f t="shared" si="21"/>
        <v/>
      </c>
      <c r="P63" s="19" t="str">
        <f t="shared" si="22"/>
        <v/>
      </c>
      <c r="Q63" s="19" t="str">
        <f t="shared" si="23"/>
        <v/>
      </c>
      <c r="R63" s="19" t="str">
        <f t="shared" si="10"/>
        <v/>
      </c>
      <c r="S63" s="27" t="str">
        <f t="shared" si="26"/>
        <v/>
      </c>
      <c r="T63" s="28" t="str">
        <f t="shared" si="26"/>
        <v/>
      </c>
      <c r="U63" s="28" t="str">
        <f t="shared" si="26"/>
        <v/>
      </c>
      <c r="V63" s="28" t="str">
        <f t="shared" si="26"/>
        <v/>
      </c>
      <c r="W63" s="28" t="str">
        <f t="shared" si="26"/>
        <v/>
      </c>
      <c r="X63" s="29" t="str">
        <f t="shared" si="2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9"/>
        <v/>
      </c>
      <c r="M64" s="19" t="str">
        <f t="shared" si="5"/>
        <v/>
      </c>
      <c r="N64" s="19" t="str">
        <f t="shared" si="6"/>
        <v/>
      </c>
      <c r="O64" s="19" t="str">
        <f t="shared" si="21"/>
        <v/>
      </c>
      <c r="P64" s="19" t="str">
        <f t="shared" si="22"/>
        <v/>
      </c>
      <c r="Q64" s="19" t="str">
        <f t="shared" si="23"/>
        <v/>
      </c>
      <c r="R64" s="19" t="str">
        <f t="shared" si="10"/>
        <v/>
      </c>
      <c r="S64" s="27" t="str">
        <f t="shared" si="26"/>
        <v/>
      </c>
      <c r="T64" s="28" t="str">
        <f t="shared" si="26"/>
        <v/>
      </c>
      <c r="U64" s="28" t="str">
        <f t="shared" si="26"/>
        <v/>
      </c>
      <c r="V64" s="28" t="str">
        <f t="shared" si="26"/>
        <v/>
      </c>
      <c r="W64" s="28" t="str">
        <f t="shared" si="26"/>
        <v/>
      </c>
      <c r="X64" s="29" t="str">
        <f t="shared" si="2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9"/>
        <v/>
      </c>
      <c r="M65" s="19" t="str">
        <f t="shared" si="5"/>
        <v/>
      </c>
      <c r="N65" s="19" t="str">
        <f t="shared" si="6"/>
        <v/>
      </c>
      <c r="O65" s="19" t="str">
        <f t="shared" si="21"/>
        <v/>
      </c>
      <c r="P65" s="19" t="str">
        <f t="shared" si="22"/>
        <v/>
      </c>
      <c r="Q65" s="19" t="str">
        <f t="shared" si="23"/>
        <v/>
      </c>
      <c r="R65" s="19" t="str">
        <f t="shared" si="10"/>
        <v/>
      </c>
      <c r="S65" s="27" t="str">
        <f t="shared" ref="S65:X80" si="27">IF(C65="","",((C65-C64)*1000)/($B65-$B64))</f>
        <v/>
      </c>
      <c r="T65" s="28" t="str">
        <f t="shared" si="27"/>
        <v/>
      </c>
      <c r="U65" s="28" t="str">
        <f t="shared" si="27"/>
        <v/>
      </c>
      <c r="V65" s="28" t="str">
        <f t="shared" si="27"/>
        <v/>
      </c>
      <c r="W65" s="28" t="str">
        <f t="shared" si="27"/>
        <v/>
      </c>
      <c r="X65" s="29" t="str">
        <f t="shared" si="27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9"/>
        <v/>
      </c>
      <c r="M66" s="19" t="str">
        <f t="shared" si="5"/>
        <v/>
      </c>
      <c r="N66" s="19" t="str">
        <f t="shared" si="6"/>
        <v/>
      </c>
      <c r="O66" s="19" t="str">
        <f t="shared" si="21"/>
        <v/>
      </c>
      <c r="P66" s="19" t="str">
        <f t="shared" si="22"/>
        <v/>
      </c>
      <c r="Q66" s="19" t="str">
        <f t="shared" si="23"/>
        <v/>
      </c>
      <c r="R66" s="19" t="str">
        <f t="shared" si="10"/>
        <v/>
      </c>
      <c r="S66" s="27" t="str">
        <f t="shared" si="27"/>
        <v/>
      </c>
      <c r="T66" s="28" t="str">
        <f t="shared" si="27"/>
        <v/>
      </c>
      <c r="U66" s="28" t="str">
        <f t="shared" si="27"/>
        <v/>
      </c>
      <c r="V66" s="28" t="str">
        <f t="shared" si="27"/>
        <v/>
      </c>
      <c r="W66" s="28" t="str">
        <f t="shared" si="27"/>
        <v/>
      </c>
      <c r="X66" s="29" t="str">
        <f t="shared" si="27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9"/>
        <v/>
      </c>
      <c r="M67" s="19" t="str">
        <f t="shared" si="5"/>
        <v/>
      </c>
      <c r="N67" s="19" t="str">
        <f t="shared" si="6"/>
        <v/>
      </c>
      <c r="O67" s="19" t="str">
        <f t="shared" si="21"/>
        <v/>
      </c>
      <c r="P67" s="19" t="str">
        <f t="shared" si="22"/>
        <v/>
      </c>
      <c r="Q67" s="19" t="str">
        <f t="shared" si="23"/>
        <v/>
      </c>
      <c r="R67" s="19" t="str">
        <f t="shared" si="10"/>
        <v/>
      </c>
      <c r="S67" s="27" t="str">
        <f t="shared" si="27"/>
        <v/>
      </c>
      <c r="T67" s="28" t="str">
        <f t="shared" si="27"/>
        <v/>
      </c>
      <c r="U67" s="28" t="str">
        <f t="shared" si="27"/>
        <v/>
      </c>
      <c r="V67" s="28" t="str">
        <f t="shared" si="27"/>
        <v/>
      </c>
      <c r="W67" s="28" t="str">
        <f t="shared" si="27"/>
        <v/>
      </c>
      <c r="X67" s="29" t="str">
        <f t="shared" si="27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9"/>
        <v/>
      </c>
      <c r="M68" s="19" t="str">
        <f t="shared" si="5"/>
        <v/>
      </c>
      <c r="N68" s="19" t="str">
        <f t="shared" si="6"/>
        <v/>
      </c>
      <c r="O68" s="19" t="str">
        <f t="shared" si="21"/>
        <v/>
      </c>
      <c r="P68" s="19" t="str">
        <f t="shared" si="22"/>
        <v/>
      </c>
      <c r="Q68" s="19" t="str">
        <f t="shared" si="23"/>
        <v/>
      </c>
      <c r="R68" s="19" t="str">
        <f t="shared" si="10"/>
        <v/>
      </c>
      <c r="S68" s="27" t="str">
        <f t="shared" si="27"/>
        <v/>
      </c>
      <c r="T68" s="28" t="str">
        <f t="shared" si="27"/>
        <v/>
      </c>
      <c r="U68" s="28" t="str">
        <f t="shared" si="27"/>
        <v/>
      </c>
      <c r="V68" s="28" t="str">
        <f t="shared" si="27"/>
        <v/>
      </c>
      <c r="W68" s="28" t="str">
        <f t="shared" si="27"/>
        <v/>
      </c>
      <c r="X68" s="29" t="str">
        <f t="shared" si="27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ref="L69:L132" si="28">IF(ISBLANK(C69),"",(C69-C$16)*1000)</f>
        <v/>
      </c>
      <c r="M69" s="19" t="str">
        <f t="shared" si="5"/>
        <v/>
      </c>
      <c r="N69" s="19" t="str">
        <f t="shared" si="6"/>
        <v/>
      </c>
      <c r="O69" s="19" t="str">
        <f t="shared" si="21"/>
        <v/>
      </c>
      <c r="P69" s="19" t="str">
        <f t="shared" si="22"/>
        <v/>
      </c>
      <c r="Q69" s="19" t="str">
        <f t="shared" si="23"/>
        <v/>
      </c>
      <c r="R69" s="19" t="str">
        <f t="shared" si="10"/>
        <v/>
      </c>
      <c r="S69" s="27" t="str">
        <f t="shared" si="27"/>
        <v/>
      </c>
      <c r="T69" s="28" t="str">
        <f t="shared" si="27"/>
        <v/>
      </c>
      <c r="U69" s="28" t="str">
        <f t="shared" si="27"/>
        <v/>
      </c>
      <c r="V69" s="28" t="str">
        <f t="shared" si="27"/>
        <v/>
      </c>
      <c r="W69" s="28" t="str">
        <f t="shared" si="27"/>
        <v/>
      </c>
      <c r="X69" s="29" t="str">
        <f t="shared" si="27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28"/>
        <v/>
      </c>
      <c r="M70" s="19" t="str">
        <f t="shared" si="5"/>
        <v/>
      </c>
      <c r="N70" s="19" t="str">
        <f t="shared" si="6"/>
        <v/>
      </c>
      <c r="O70" s="19" t="str">
        <f t="shared" si="21"/>
        <v/>
      </c>
      <c r="P70" s="19" t="str">
        <f t="shared" si="22"/>
        <v/>
      </c>
      <c r="Q70" s="19" t="str">
        <f t="shared" si="23"/>
        <v/>
      </c>
      <c r="R70" s="19" t="str">
        <f t="shared" si="10"/>
        <v/>
      </c>
      <c r="S70" s="27" t="str">
        <f t="shared" si="27"/>
        <v/>
      </c>
      <c r="T70" s="28" t="str">
        <f t="shared" si="27"/>
        <v/>
      </c>
      <c r="U70" s="28" t="str">
        <f t="shared" si="27"/>
        <v/>
      </c>
      <c r="V70" s="28" t="str">
        <f t="shared" si="27"/>
        <v/>
      </c>
      <c r="W70" s="28" t="str">
        <f t="shared" si="27"/>
        <v/>
      </c>
      <c r="X70" s="29" t="str">
        <f t="shared" si="27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28"/>
        <v/>
      </c>
      <c r="M71" s="19" t="str">
        <f t="shared" si="5"/>
        <v/>
      </c>
      <c r="N71" s="19" t="str">
        <f t="shared" si="6"/>
        <v/>
      </c>
      <c r="O71" s="19" t="str">
        <f t="shared" si="21"/>
        <v/>
      </c>
      <c r="P71" s="19" t="str">
        <f t="shared" si="22"/>
        <v/>
      </c>
      <c r="Q71" s="19" t="str">
        <f t="shared" si="23"/>
        <v/>
      </c>
      <c r="R71" s="19" t="str">
        <f t="shared" si="10"/>
        <v/>
      </c>
      <c r="S71" s="27" t="str">
        <f t="shared" si="27"/>
        <v/>
      </c>
      <c r="T71" s="28" t="str">
        <f t="shared" si="27"/>
        <v/>
      </c>
      <c r="U71" s="28" t="str">
        <f t="shared" si="27"/>
        <v/>
      </c>
      <c r="V71" s="28" t="str">
        <f t="shared" si="27"/>
        <v/>
      </c>
      <c r="W71" s="28" t="str">
        <f t="shared" si="27"/>
        <v/>
      </c>
      <c r="X71" s="29" t="str">
        <f t="shared" si="27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28"/>
        <v/>
      </c>
      <c r="M72" s="19" t="str">
        <f t="shared" si="5"/>
        <v/>
      </c>
      <c r="N72" s="19" t="str">
        <f t="shared" si="6"/>
        <v/>
      </c>
      <c r="O72" s="19" t="str">
        <f t="shared" si="21"/>
        <v/>
      </c>
      <c r="P72" s="19" t="str">
        <f t="shared" si="22"/>
        <v/>
      </c>
      <c r="Q72" s="19" t="str">
        <f t="shared" si="23"/>
        <v/>
      </c>
      <c r="R72" s="19" t="str">
        <f t="shared" si="10"/>
        <v/>
      </c>
      <c r="S72" s="27" t="str">
        <f t="shared" si="27"/>
        <v/>
      </c>
      <c r="T72" s="28" t="str">
        <f t="shared" si="27"/>
        <v/>
      </c>
      <c r="U72" s="28" t="str">
        <f t="shared" si="27"/>
        <v/>
      </c>
      <c r="V72" s="28" t="str">
        <f t="shared" si="27"/>
        <v/>
      </c>
      <c r="W72" s="28" t="str">
        <f t="shared" si="27"/>
        <v/>
      </c>
      <c r="X72" s="29" t="str">
        <f t="shared" si="27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28"/>
        <v/>
      </c>
      <c r="M73" s="19" t="str">
        <f t="shared" si="5"/>
        <v/>
      </c>
      <c r="N73" s="19" t="str">
        <f t="shared" si="6"/>
        <v/>
      </c>
      <c r="O73" s="19" t="str">
        <f t="shared" si="21"/>
        <v/>
      </c>
      <c r="P73" s="19" t="str">
        <f t="shared" si="22"/>
        <v/>
      </c>
      <c r="Q73" s="19" t="str">
        <f t="shared" si="23"/>
        <v/>
      </c>
      <c r="R73" s="19" t="str">
        <f t="shared" si="10"/>
        <v/>
      </c>
      <c r="S73" s="27" t="str">
        <f t="shared" si="27"/>
        <v/>
      </c>
      <c r="T73" s="28" t="str">
        <f t="shared" si="27"/>
        <v/>
      </c>
      <c r="U73" s="28" t="str">
        <f t="shared" si="27"/>
        <v/>
      </c>
      <c r="V73" s="28" t="str">
        <f t="shared" si="27"/>
        <v/>
      </c>
      <c r="W73" s="28" t="str">
        <f t="shared" si="27"/>
        <v/>
      </c>
      <c r="X73" s="29" t="str">
        <f t="shared" si="27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28"/>
        <v/>
      </c>
      <c r="M74" s="19" t="str">
        <f t="shared" si="5"/>
        <v/>
      </c>
      <c r="N74" s="19" t="str">
        <f t="shared" si="6"/>
        <v/>
      </c>
      <c r="O74" s="19" t="str">
        <f t="shared" si="21"/>
        <v/>
      </c>
      <c r="P74" s="19" t="str">
        <f t="shared" si="22"/>
        <v/>
      </c>
      <c r="Q74" s="19" t="str">
        <f t="shared" si="23"/>
        <v/>
      </c>
      <c r="R74" s="19" t="str">
        <f t="shared" si="10"/>
        <v/>
      </c>
      <c r="S74" s="27" t="str">
        <f t="shared" si="27"/>
        <v/>
      </c>
      <c r="T74" s="28" t="str">
        <f t="shared" si="27"/>
        <v/>
      </c>
      <c r="U74" s="28" t="str">
        <f t="shared" si="27"/>
        <v/>
      </c>
      <c r="V74" s="28" t="str">
        <f t="shared" si="27"/>
        <v/>
      </c>
      <c r="W74" s="28" t="str">
        <f t="shared" si="27"/>
        <v/>
      </c>
      <c r="X74" s="29" t="str">
        <f t="shared" si="27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28"/>
        <v/>
      </c>
      <c r="M75" s="19" t="str">
        <f t="shared" si="5"/>
        <v/>
      </c>
      <c r="N75" s="19" t="str">
        <f t="shared" si="6"/>
        <v/>
      </c>
      <c r="O75" s="19" t="str">
        <f t="shared" si="21"/>
        <v/>
      </c>
      <c r="P75" s="19" t="str">
        <f t="shared" si="22"/>
        <v/>
      </c>
      <c r="Q75" s="19" t="str">
        <f t="shared" si="23"/>
        <v/>
      </c>
      <c r="R75" s="19" t="str">
        <f t="shared" si="10"/>
        <v/>
      </c>
      <c r="S75" s="27" t="str">
        <f t="shared" si="27"/>
        <v/>
      </c>
      <c r="T75" s="28" t="str">
        <f t="shared" si="27"/>
        <v/>
      </c>
      <c r="U75" s="28" t="str">
        <f t="shared" si="27"/>
        <v/>
      </c>
      <c r="V75" s="28" t="str">
        <f t="shared" si="27"/>
        <v/>
      </c>
      <c r="W75" s="28" t="str">
        <f t="shared" si="27"/>
        <v/>
      </c>
      <c r="X75" s="29" t="str">
        <f t="shared" si="27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28"/>
        <v/>
      </c>
      <c r="M76" s="19" t="str">
        <f t="shared" si="5"/>
        <v/>
      </c>
      <c r="N76" s="19" t="str">
        <f t="shared" si="6"/>
        <v/>
      </c>
      <c r="O76" s="19" t="str">
        <f t="shared" si="21"/>
        <v/>
      </c>
      <c r="P76" s="19" t="str">
        <f t="shared" si="22"/>
        <v/>
      </c>
      <c r="Q76" s="19" t="str">
        <f t="shared" si="23"/>
        <v/>
      </c>
      <c r="R76" s="19" t="str">
        <f t="shared" si="10"/>
        <v/>
      </c>
      <c r="S76" s="27" t="str">
        <f t="shared" si="27"/>
        <v/>
      </c>
      <c r="T76" s="28" t="str">
        <f t="shared" si="27"/>
        <v/>
      </c>
      <c r="U76" s="28" t="str">
        <f t="shared" si="27"/>
        <v/>
      </c>
      <c r="V76" s="28" t="str">
        <f t="shared" si="27"/>
        <v/>
      </c>
      <c r="W76" s="28" t="str">
        <f t="shared" si="27"/>
        <v/>
      </c>
      <c r="X76" s="29" t="str">
        <f t="shared" si="27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28"/>
        <v/>
      </c>
      <c r="M77" s="19" t="str">
        <f t="shared" si="5"/>
        <v/>
      </c>
      <c r="N77" s="19" t="str">
        <f t="shared" si="6"/>
        <v/>
      </c>
      <c r="O77" s="19" t="str">
        <f t="shared" si="21"/>
        <v/>
      </c>
      <c r="P77" s="19" t="str">
        <f t="shared" si="22"/>
        <v/>
      </c>
      <c r="Q77" s="19" t="str">
        <f t="shared" si="23"/>
        <v/>
      </c>
      <c r="R77" s="19" t="str">
        <f t="shared" si="10"/>
        <v/>
      </c>
      <c r="S77" s="27" t="str">
        <f t="shared" si="27"/>
        <v/>
      </c>
      <c r="T77" s="28" t="str">
        <f t="shared" si="27"/>
        <v/>
      </c>
      <c r="U77" s="28" t="str">
        <f t="shared" si="27"/>
        <v/>
      </c>
      <c r="V77" s="28" t="str">
        <f t="shared" si="27"/>
        <v/>
      </c>
      <c r="W77" s="28" t="str">
        <f t="shared" si="27"/>
        <v/>
      </c>
      <c r="X77" s="29" t="str">
        <f t="shared" si="27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28"/>
        <v/>
      </c>
      <c r="M78" s="19" t="str">
        <f t="shared" si="5"/>
        <v/>
      </c>
      <c r="N78" s="19" t="str">
        <f t="shared" si="6"/>
        <v/>
      </c>
      <c r="O78" s="19" t="str">
        <f t="shared" si="21"/>
        <v/>
      </c>
      <c r="P78" s="19" t="str">
        <f t="shared" si="22"/>
        <v/>
      </c>
      <c r="Q78" s="19" t="str">
        <f t="shared" si="23"/>
        <v/>
      </c>
      <c r="R78" s="19" t="str">
        <f t="shared" si="10"/>
        <v/>
      </c>
      <c r="S78" s="27" t="str">
        <f t="shared" si="27"/>
        <v/>
      </c>
      <c r="T78" s="28" t="str">
        <f t="shared" si="27"/>
        <v/>
      </c>
      <c r="U78" s="28" t="str">
        <f t="shared" si="27"/>
        <v/>
      </c>
      <c r="V78" s="28" t="str">
        <f t="shared" si="27"/>
        <v/>
      </c>
      <c r="W78" s="28" t="str">
        <f t="shared" si="27"/>
        <v/>
      </c>
      <c r="X78" s="29" t="str">
        <f t="shared" si="27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28"/>
        <v/>
      </c>
      <c r="M79" s="19" t="str">
        <f t="shared" si="5"/>
        <v/>
      </c>
      <c r="N79" s="19" t="str">
        <f t="shared" si="6"/>
        <v/>
      </c>
      <c r="O79" s="19" t="str">
        <f t="shared" si="21"/>
        <v/>
      </c>
      <c r="P79" s="19" t="str">
        <f t="shared" si="22"/>
        <v/>
      </c>
      <c r="Q79" s="19" t="str">
        <f t="shared" si="23"/>
        <v/>
      </c>
      <c r="R79" s="19" t="str">
        <f t="shared" si="10"/>
        <v/>
      </c>
      <c r="S79" s="27" t="str">
        <f t="shared" si="27"/>
        <v/>
      </c>
      <c r="T79" s="28" t="str">
        <f t="shared" si="27"/>
        <v/>
      </c>
      <c r="U79" s="28" t="str">
        <f t="shared" si="27"/>
        <v/>
      </c>
      <c r="V79" s="28" t="str">
        <f t="shared" si="27"/>
        <v/>
      </c>
      <c r="W79" s="28" t="str">
        <f t="shared" si="27"/>
        <v/>
      </c>
      <c r="X79" s="29" t="str">
        <f t="shared" si="27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28"/>
        <v/>
      </c>
      <c r="M80" s="19" t="str">
        <f t="shared" si="5"/>
        <v/>
      </c>
      <c r="N80" s="19" t="str">
        <f t="shared" si="6"/>
        <v/>
      </c>
      <c r="O80" s="19" t="str">
        <f t="shared" si="21"/>
        <v/>
      </c>
      <c r="P80" s="19" t="str">
        <f t="shared" si="22"/>
        <v/>
      </c>
      <c r="Q80" s="19" t="str">
        <f t="shared" si="23"/>
        <v/>
      </c>
      <c r="R80" s="19" t="str">
        <f t="shared" si="10"/>
        <v/>
      </c>
      <c r="S80" s="27" t="str">
        <f t="shared" si="27"/>
        <v/>
      </c>
      <c r="T80" s="28" t="str">
        <f t="shared" si="27"/>
        <v/>
      </c>
      <c r="U80" s="28" t="str">
        <f t="shared" si="27"/>
        <v/>
      </c>
      <c r="V80" s="28" t="str">
        <f t="shared" si="27"/>
        <v/>
      </c>
      <c r="W80" s="28" t="str">
        <f t="shared" si="27"/>
        <v/>
      </c>
      <c r="X80" s="29" t="str">
        <f t="shared" si="27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28"/>
        <v/>
      </c>
      <c r="M81" s="19" t="str">
        <f t="shared" si="5"/>
        <v/>
      </c>
      <c r="N81" s="19" t="str">
        <f t="shared" si="6"/>
        <v/>
      </c>
      <c r="O81" s="19" t="str">
        <f t="shared" si="21"/>
        <v/>
      </c>
      <c r="P81" s="19" t="str">
        <f t="shared" si="22"/>
        <v/>
      </c>
      <c r="Q81" s="19" t="str">
        <f t="shared" si="23"/>
        <v/>
      </c>
      <c r="R81" s="19" t="str">
        <f t="shared" si="10"/>
        <v/>
      </c>
      <c r="S81" s="27" t="str">
        <f t="shared" ref="S81:X96" si="29">IF(C81="","",((C81-C80)*1000)/($B81-$B80))</f>
        <v/>
      </c>
      <c r="T81" s="28" t="str">
        <f t="shared" si="29"/>
        <v/>
      </c>
      <c r="U81" s="28" t="str">
        <f t="shared" si="29"/>
        <v/>
      </c>
      <c r="V81" s="28" t="str">
        <f t="shared" si="29"/>
        <v/>
      </c>
      <c r="W81" s="28" t="str">
        <f t="shared" si="29"/>
        <v/>
      </c>
      <c r="X81" s="29" t="str">
        <f t="shared" si="29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28"/>
        <v/>
      </c>
      <c r="M82" s="19" t="str">
        <f t="shared" si="5"/>
        <v/>
      </c>
      <c r="N82" s="19" t="str">
        <f t="shared" si="6"/>
        <v/>
      </c>
      <c r="O82" s="19" t="str">
        <f t="shared" si="21"/>
        <v/>
      </c>
      <c r="P82" s="19" t="str">
        <f t="shared" si="22"/>
        <v/>
      </c>
      <c r="Q82" s="19" t="str">
        <f t="shared" si="23"/>
        <v/>
      </c>
      <c r="R82" s="19" t="str">
        <f t="shared" si="10"/>
        <v/>
      </c>
      <c r="S82" s="27" t="str">
        <f t="shared" si="29"/>
        <v/>
      </c>
      <c r="T82" s="28" t="str">
        <f t="shared" si="29"/>
        <v/>
      </c>
      <c r="U82" s="28" t="str">
        <f t="shared" si="29"/>
        <v/>
      </c>
      <c r="V82" s="28" t="str">
        <f t="shared" si="29"/>
        <v/>
      </c>
      <c r="W82" s="28" t="str">
        <f t="shared" si="29"/>
        <v/>
      </c>
      <c r="X82" s="29" t="str">
        <f t="shared" si="29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28"/>
        <v/>
      </c>
      <c r="M83" s="19" t="str">
        <f t="shared" ref="M83:M146" si="30">IF(ISBLANK(D83),"",(D83-D$18)*1000)</f>
        <v/>
      </c>
      <c r="N83" s="19" t="str">
        <f t="shared" ref="N83:N146" si="31">IF(ISBLANK(E83),"",(E83-E$18)*1000)</f>
        <v/>
      </c>
      <c r="O83" s="19" t="str">
        <f t="shared" si="21"/>
        <v/>
      </c>
      <c r="P83" s="19" t="str">
        <f t="shared" si="22"/>
        <v/>
      </c>
      <c r="Q83" s="19" t="str">
        <f t="shared" si="23"/>
        <v/>
      </c>
      <c r="R83" s="19" t="str">
        <f t="shared" ref="R83:R146" si="32">IF(ISBLANK(I83),"",(I83-I$18)*1000)</f>
        <v/>
      </c>
      <c r="S83" s="27" t="str">
        <f t="shared" si="29"/>
        <v/>
      </c>
      <c r="T83" s="28" t="str">
        <f t="shared" si="29"/>
        <v/>
      </c>
      <c r="U83" s="28" t="str">
        <f t="shared" si="29"/>
        <v/>
      </c>
      <c r="V83" s="28" t="str">
        <f t="shared" si="29"/>
        <v/>
      </c>
      <c r="W83" s="28" t="str">
        <f t="shared" si="29"/>
        <v/>
      </c>
      <c r="X83" s="29" t="str">
        <f t="shared" si="29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28"/>
        <v/>
      </c>
      <c r="M84" s="19" t="str">
        <f t="shared" si="30"/>
        <v/>
      </c>
      <c r="N84" s="19" t="str">
        <f t="shared" si="31"/>
        <v/>
      </c>
      <c r="O84" s="19" t="str">
        <f t="shared" si="21"/>
        <v/>
      </c>
      <c r="P84" s="19" t="str">
        <f t="shared" si="22"/>
        <v/>
      </c>
      <c r="Q84" s="19" t="str">
        <f t="shared" si="23"/>
        <v/>
      </c>
      <c r="R84" s="19" t="str">
        <f t="shared" si="32"/>
        <v/>
      </c>
      <c r="S84" s="27" t="str">
        <f t="shared" si="29"/>
        <v/>
      </c>
      <c r="T84" s="28" t="str">
        <f t="shared" si="29"/>
        <v/>
      </c>
      <c r="U84" s="28" t="str">
        <f t="shared" si="29"/>
        <v/>
      </c>
      <c r="V84" s="28" t="str">
        <f t="shared" si="29"/>
        <v/>
      </c>
      <c r="W84" s="28" t="str">
        <f t="shared" si="29"/>
        <v/>
      </c>
      <c r="X84" s="29" t="str">
        <f t="shared" si="29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28"/>
        <v/>
      </c>
      <c r="M85" s="19" t="str">
        <f t="shared" si="30"/>
        <v/>
      </c>
      <c r="N85" s="19" t="str">
        <f t="shared" si="31"/>
        <v/>
      </c>
      <c r="O85" s="19" t="str">
        <f t="shared" si="21"/>
        <v/>
      </c>
      <c r="P85" s="19" t="str">
        <f t="shared" si="22"/>
        <v/>
      </c>
      <c r="Q85" s="19" t="str">
        <f t="shared" si="23"/>
        <v/>
      </c>
      <c r="R85" s="19" t="str">
        <f t="shared" si="32"/>
        <v/>
      </c>
      <c r="S85" s="27" t="str">
        <f t="shared" si="29"/>
        <v/>
      </c>
      <c r="T85" s="28" t="str">
        <f t="shared" si="29"/>
        <v/>
      </c>
      <c r="U85" s="28" t="str">
        <f t="shared" si="29"/>
        <v/>
      </c>
      <c r="V85" s="28" t="str">
        <f t="shared" si="29"/>
        <v/>
      </c>
      <c r="W85" s="28" t="str">
        <f t="shared" si="29"/>
        <v/>
      </c>
      <c r="X85" s="29" t="str">
        <f t="shared" si="29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28"/>
        <v/>
      </c>
      <c r="M86" s="19" t="str">
        <f t="shared" si="30"/>
        <v/>
      </c>
      <c r="N86" s="19" t="str">
        <f t="shared" si="31"/>
        <v/>
      </c>
      <c r="O86" s="19" t="str">
        <f t="shared" si="21"/>
        <v/>
      </c>
      <c r="P86" s="19" t="str">
        <f t="shared" si="22"/>
        <v/>
      </c>
      <c r="Q86" s="19" t="str">
        <f t="shared" si="23"/>
        <v/>
      </c>
      <c r="R86" s="19" t="str">
        <f t="shared" si="32"/>
        <v/>
      </c>
      <c r="S86" s="27" t="str">
        <f t="shared" si="29"/>
        <v/>
      </c>
      <c r="T86" s="28" t="str">
        <f t="shared" si="29"/>
        <v/>
      </c>
      <c r="U86" s="28" t="str">
        <f t="shared" si="29"/>
        <v/>
      </c>
      <c r="V86" s="28" t="str">
        <f t="shared" si="29"/>
        <v/>
      </c>
      <c r="W86" s="28" t="str">
        <f t="shared" si="29"/>
        <v/>
      </c>
      <c r="X86" s="29" t="str">
        <f t="shared" si="29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28"/>
        <v/>
      </c>
      <c r="M87" s="19" t="str">
        <f t="shared" si="30"/>
        <v/>
      </c>
      <c r="N87" s="19" t="str">
        <f t="shared" si="31"/>
        <v/>
      </c>
      <c r="O87" s="19" t="str">
        <f t="shared" si="21"/>
        <v/>
      </c>
      <c r="P87" s="19" t="str">
        <f t="shared" si="22"/>
        <v/>
      </c>
      <c r="Q87" s="19" t="str">
        <f t="shared" si="23"/>
        <v/>
      </c>
      <c r="R87" s="19" t="str">
        <f t="shared" si="32"/>
        <v/>
      </c>
      <c r="S87" s="27" t="str">
        <f t="shared" si="29"/>
        <v/>
      </c>
      <c r="T87" s="28" t="str">
        <f t="shared" si="29"/>
        <v/>
      </c>
      <c r="U87" s="28" t="str">
        <f t="shared" si="29"/>
        <v/>
      </c>
      <c r="V87" s="28" t="str">
        <f t="shared" si="29"/>
        <v/>
      </c>
      <c r="W87" s="28" t="str">
        <f t="shared" si="29"/>
        <v/>
      </c>
      <c r="X87" s="29" t="str">
        <f t="shared" si="29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28"/>
        <v/>
      </c>
      <c r="M88" s="19" t="str">
        <f t="shared" si="30"/>
        <v/>
      </c>
      <c r="N88" s="19" t="str">
        <f t="shared" si="31"/>
        <v/>
      </c>
      <c r="O88" s="19" t="str">
        <f t="shared" si="21"/>
        <v/>
      </c>
      <c r="P88" s="19" t="str">
        <f t="shared" si="22"/>
        <v/>
      </c>
      <c r="Q88" s="19" t="str">
        <f t="shared" si="23"/>
        <v/>
      </c>
      <c r="R88" s="19" t="str">
        <f t="shared" si="32"/>
        <v/>
      </c>
      <c r="S88" s="27" t="str">
        <f t="shared" si="29"/>
        <v/>
      </c>
      <c r="T88" s="28" t="str">
        <f t="shared" si="29"/>
        <v/>
      </c>
      <c r="U88" s="28" t="str">
        <f t="shared" si="29"/>
        <v/>
      </c>
      <c r="V88" s="28" t="str">
        <f t="shared" si="29"/>
        <v/>
      </c>
      <c r="W88" s="28" t="str">
        <f t="shared" si="29"/>
        <v/>
      </c>
      <c r="X88" s="29" t="str">
        <f t="shared" si="29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28"/>
        <v/>
      </c>
      <c r="M89" s="19" t="str">
        <f t="shared" si="30"/>
        <v/>
      </c>
      <c r="N89" s="19" t="str">
        <f t="shared" si="31"/>
        <v/>
      </c>
      <c r="O89" s="19" t="str">
        <f t="shared" si="21"/>
        <v/>
      </c>
      <c r="P89" s="19" t="str">
        <f t="shared" si="22"/>
        <v/>
      </c>
      <c r="Q89" s="19" t="str">
        <f t="shared" si="23"/>
        <v/>
      </c>
      <c r="R89" s="19" t="str">
        <f t="shared" si="32"/>
        <v/>
      </c>
      <c r="S89" s="27" t="str">
        <f t="shared" si="29"/>
        <v/>
      </c>
      <c r="T89" s="28" t="str">
        <f t="shared" si="29"/>
        <v/>
      </c>
      <c r="U89" s="28" t="str">
        <f t="shared" si="29"/>
        <v/>
      </c>
      <c r="V89" s="28" t="str">
        <f t="shared" si="29"/>
        <v/>
      </c>
      <c r="W89" s="28" t="str">
        <f t="shared" si="29"/>
        <v/>
      </c>
      <c r="X89" s="29" t="str">
        <f t="shared" si="29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28"/>
        <v/>
      </c>
      <c r="M90" s="19" t="str">
        <f t="shared" si="30"/>
        <v/>
      </c>
      <c r="N90" s="19" t="str">
        <f t="shared" si="31"/>
        <v/>
      </c>
      <c r="O90" s="19" t="str">
        <f t="shared" si="21"/>
        <v/>
      </c>
      <c r="P90" s="19" t="str">
        <f t="shared" si="22"/>
        <v/>
      </c>
      <c r="Q90" s="19" t="str">
        <f t="shared" si="23"/>
        <v/>
      </c>
      <c r="R90" s="19" t="str">
        <f t="shared" si="32"/>
        <v/>
      </c>
      <c r="S90" s="27" t="str">
        <f t="shared" si="29"/>
        <v/>
      </c>
      <c r="T90" s="28" t="str">
        <f t="shared" si="29"/>
        <v/>
      </c>
      <c r="U90" s="28" t="str">
        <f t="shared" si="29"/>
        <v/>
      </c>
      <c r="V90" s="28" t="str">
        <f t="shared" si="29"/>
        <v/>
      </c>
      <c r="W90" s="28" t="str">
        <f t="shared" si="29"/>
        <v/>
      </c>
      <c r="X90" s="29" t="str">
        <f t="shared" si="29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28"/>
        <v/>
      </c>
      <c r="M91" s="19" t="str">
        <f t="shared" si="30"/>
        <v/>
      </c>
      <c r="N91" s="19" t="str">
        <f t="shared" si="31"/>
        <v/>
      </c>
      <c r="O91" s="19" t="str">
        <f t="shared" si="21"/>
        <v/>
      </c>
      <c r="P91" s="19" t="str">
        <f t="shared" si="22"/>
        <v/>
      </c>
      <c r="Q91" s="19" t="str">
        <f t="shared" si="23"/>
        <v/>
      </c>
      <c r="R91" s="19" t="str">
        <f t="shared" si="32"/>
        <v/>
      </c>
      <c r="S91" s="27" t="str">
        <f t="shared" si="29"/>
        <v/>
      </c>
      <c r="T91" s="28" t="str">
        <f t="shared" si="29"/>
        <v/>
      </c>
      <c r="U91" s="28" t="str">
        <f t="shared" si="29"/>
        <v/>
      </c>
      <c r="V91" s="28" t="str">
        <f t="shared" si="29"/>
        <v/>
      </c>
      <c r="W91" s="28" t="str">
        <f t="shared" si="29"/>
        <v/>
      </c>
      <c r="X91" s="29" t="str">
        <f t="shared" si="29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28"/>
        <v/>
      </c>
      <c r="M92" s="19" t="str">
        <f t="shared" si="30"/>
        <v/>
      </c>
      <c r="N92" s="19" t="str">
        <f t="shared" si="31"/>
        <v/>
      </c>
      <c r="O92" s="19" t="str">
        <f t="shared" si="21"/>
        <v/>
      </c>
      <c r="P92" s="19" t="str">
        <f t="shared" si="22"/>
        <v/>
      </c>
      <c r="Q92" s="19" t="str">
        <f t="shared" si="23"/>
        <v/>
      </c>
      <c r="R92" s="19" t="str">
        <f t="shared" si="32"/>
        <v/>
      </c>
      <c r="S92" s="27" t="str">
        <f t="shared" si="29"/>
        <v/>
      </c>
      <c r="T92" s="28" t="str">
        <f t="shared" si="29"/>
        <v/>
      </c>
      <c r="U92" s="28" t="str">
        <f t="shared" si="29"/>
        <v/>
      </c>
      <c r="V92" s="28" t="str">
        <f t="shared" si="29"/>
        <v/>
      </c>
      <c r="W92" s="28" t="str">
        <f t="shared" si="29"/>
        <v/>
      </c>
      <c r="X92" s="29" t="str">
        <f t="shared" si="29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28"/>
        <v/>
      </c>
      <c r="M93" s="19" t="str">
        <f t="shared" si="30"/>
        <v/>
      </c>
      <c r="N93" s="19" t="str">
        <f t="shared" si="31"/>
        <v/>
      </c>
      <c r="O93" s="19" t="str">
        <f t="shared" si="21"/>
        <v/>
      </c>
      <c r="P93" s="19" t="str">
        <f t="shared" si="22"/>
        <v/>
      </c>
      <c r="Q93" s="19" t="str">
        <f t="shared" si="23"/>
        <v/>
      </c>
      <c r="R93" s="19" t="str">
        <f t="shared" si="32"/>
        <v/>
      </c>
      <c r="S93" s="27" t="str">
        <f t="shared" si="29"/>
        <v/>
      </c>
      <c r="T93" s="28" t="str">
        <f t="shared" si="29"/>
        <v/>
      </c>
      <c r="U93" s="28" t="str">
        <f t="shared" si="29"/>
        <v/>
      </c>
      <c r="V93" s="28" t="str">
        <f t="shared" si="29"/>
        <v/>
      </c>
      <c r="W93" s="28" t="str">
        <f t="shared" si="29"/>
        <v/>
      </c>
      <c r="X93" s="29" t="str">
        <f t="shared" si="29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28"/>
        <v/>
      </c>
      <c r="M94" s="19" t="str">
        <f t="shared" si="30"/>
        <v/>
      </c>
      <c r="N94" s="19" t="str">
        <f t="shared" si="31"/>
        <v/>
      </c>
      <c r="O94" s="19" t="str">
        <f t="shared" si="21"/>
        <v/>
      </c>
      <c r="P94" s="19" t="str">
        <f t="shared" si="22"/>
        <v/>
      </c>
      <c r="Q94" s="19" t="str">
        <f t="shared" si="23"/>
        <v/>
      </c>
      <c r="R94" s="19" t="str">
        <f t="shared" si="32"/>
        <v/>
      </c>
      <c r="S94" s="27" t="str">
        <f t="shared" si="29"/>
        <v/>
      </c>
      <c r="T94" s="28" t="str">
        <f t="shared" si="29"/>
        <v/>
      </c>
      <c r="U94" s="28" t="str">
        <f t="shared" si="29"/>
        <v/>
      </c>
      <c r="V94" s="28" t="str">
        <f t="shared" si="29"/>
        <v/>
      </c>
      <c r="W94" s="28" t="str">
        <f t="shared" si="29"/>
        <v/>
      </c>
      <c r="X94" s="29" t="str">
        <f t="shared" si="29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28"/>
        <v/>
      </c>
      <c r="M95" s="19" t="str">
        <f t="shared" si="30"/>
        <v/>
      </c>
      <c r="N95" s="19" t="str">
        <f t="shared" si="31"/>
        <v/>
      </c>
      <c r="O95" s="19" t="str">
        <f t="shared" si="21"/>
        <v/>
      </c>
      <c r="P95" s="19" t="str">
        <f t="shared" si="22"/>
        <v/>
      </c>
      <c r="Q95" s="19" t="str">
        <f t="shared" si="23"/>
        <v/>
      </c>
      <c r="R95" s="19" t="str">
        <f t="shared" si="32"/>
        <v/>
      </c>
      <c r="S95" s="27" t="str">
        <f t="shared" si="29"/>
        <v/>
      </c>
      <c r="T95" s="28" t="str">
        <f t="shared" si="29"/>
        <v/>
      </c>
      <c r="U95" s="28" t="str">
        <f t="shared" si="29"/>
        <v/>
      </c>
      <c r="V95" s="28" t="str">
        <f t="shared" si="29"/>
        <v/>
      </c>
      <c r="W95" s="28" t="str">
        <f t="shared" si="29"/>
        <v/>
      </c>
      <c r="X95" s="29" t="str">
        <f t="shared" si="29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28"/>
        <v/>
      </c>
      <c r="M96" s="19" t="str">
        <f t="shared" si="30"/>
        <v/>
      </c>
      <c r="N96" s="19" t="str">
        <f t="shared" si="31"/>
        <v/>
      </c>
      <c r="O96" s="19" t="str">
        <f t="shared" si="21"/>
        <v/>
      </c>
      <c r="P96" s="19" t="str">
        <f t="shared" si="22"/>
        <v/>
      </c>
      <c r="Q96" s="19" t="str">
        <f t="shared" si="23"/>
        <v/>
      </c>
      <c r="R96" s="19" t="str">
        <f t="shared" si="32"/>
        <v/>
      </c>
      <c r="S96" s="27" t="str">
        <f t="shared" si="29"/>
        <v/>
      </c>
      <c r="T96" s="28" t="str">
        <f t="shared" si="29"/>
        <v/>
      </c>
      <c r="U96" s="28" t="str">
        <f t="shared" si="29"/>
        <v/>
      </c>
      <c r="V96" s="28" t="str">
        <f t="shared" si="29"/>
        <v/>
      </c>
      <c r="W96" s="28" t="str">
        <f t="shared" si="29"/>
        <v/>
      </c>
      <c r="X96" s="29" t="str">
        <f t="shared" si="29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28"/>
        <v/>
      </c>
      <c r="M97" s="19" t="str">
        <f t="shared" si="30"/>
        <v/>
      </c>
      <c r="N97" s="19" t="str">
        <f t="shared" si="31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32"/>
        <v/>
      </c>
      <c r="S97" s="27" t="str">
        <f t="shared" ref="S97:X112" si="33">IF(C97="","",((C97-C96)*1000)/($B97-$B96))</f>
        <v/>
      </c>
      <c r="T97" s="28" t="str">
        <f t="shared" si="33"/>
        <v/>
      </c>
      <c r="U97" s="28" t="str">
        <f t="shared" si="33"/>
        <v/>
      </c>
      <c r="V97" s="28" t="str">
        <f t="shared" si="33"/>
        <v/>
      </c>
      <c r="W97" s="28" t="str">
        <f t="shared" si="33"/>
        <v/>
      </c>
      <c r="X97" s="29" t="str">
        <f t="shared" si="33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28"/>
        <v/>
      </c>
      <c r="M98" s="19" t="str">
        <f t="shared" si="30"/>
        <v/>
      </c>
      <c r="N98" s="19" t="str">
        <f t="shared" si="31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32"/>
        <v/>
      </c>
      <c r="S98" s="27" t="str">
        <f t="shared" si="33"/>
        <v/>
      </c>
      <c r="T98" s="28" t="str">
        <f t="shared" si="33"/>
        <v/>
      </c>
      <c r="U98" s="28" t="str">
        <f t="shared" si="33"/>
        <v/>
      </c>
      <c r="V98" s="28" t="str">
        <f t="shared" si="33"/>
        <v/>
      </c>
      <c r="W98" s="28" t="str">
        <f t="shared" si="33"/>
        <v/>
      </c>
      <c r="X98" s="29" t="str">
        <f t="shared" si="33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28"/>
        <v/>
      </c>
      <c r="M99" s="19" t="str">
        <f t="shared" si="30"/>
        <v/>
      </c>
      <c r="N99" s="19" t="str">
        <f t="shared" si="31"/>
        <v/>
      </c>
      <c r="O99" s="19" t="str">
        <f t="shared" ref="O99:O153" si="34">IF(ISBLANK(F99),"",((F99-F$34)*1000+L$34))</f>
        <v/>
      </c>
      <c r="P99" s="19" t="str">
        <f t="shared" ref="P99:P153" si="35">IF(ISBLANK(G99),"",(G99-G$34)*1000)</f>
        <v/>
      </c>
      <c r="Q99" s="19" t="str">
        <f t="shared" ref="Q99:Q153" si="36">IF(ISBLANK(H99),"",(H99-H$34)*1000)</f>
        <v/>
      </c>
      <c r="R99" s="19" t="str">
        <f t="shared" si="32"/>
        <v/>
      </c>
      <c r="S99" s="27" t="str">
        <f t="shared" si="33"/>
        <v/>
      </c>
      <c r="T99" s="28" t="str">
        <f t="shared" si="33"/>
        <v/>
      </c>
      <c r="U99" s="28" t="str">
        <f t="shared" si="33"/>
        <v/>
      </c>
      <c r="V99" s="28" t="str">
        <f t="shared" si="33"/>
        <v/>
      </c>
      <c r="W99" s="28" t="str">
        <f t="shared" si="33"/>
        <v/>
      </c>
      <c r="X99" s="29" t="str">
        <f t="shared" si="33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28"/>
        <v/>
      </c>
      <c r="M100" s="19" t="str">
        <f t="shared" si="30"/>
        <v/>
      </c>
      <c r="N100" s="19" t="str">
        <f t="shared" si="31"/>
        <v/>
      </c>
      <c r="O100" s="19" t="str">
        <f t="shared" si="34"/>
        <v/>
      </c>
      <c r="P100" s="19" t="str">
        <f t="shared" si="35"/>
        <v/>
      </c>
      <c r="Q100" s="19" t="str">
        <f t="shared" si="36"/>
        <v/>
      </c>
      <c r="R100" s="19" t="str">
        <f t="shared" si="32"/>
        <v/>
      </c>
      <c r="S100" s="27" t="str">
        <f t="shared" si="33"/>
        <v/>
      </c>
      <c r="T100" s="28" t="str">
        <f t="shared" si="33"/>
        <v/>
      </c>
      <c r="U100" s="28" t="str">
        <f t="shared" si="33"/>
        <v/>
      </c>
      <c r="V100" s="28" t="str">
        <f t="shared" si="33"/>
        <v/>
      </c>
      <c r="W100" s="28" t="str">
        <f t="shared" si="33"/>
        <v/>
      </c>
      <c r="X100" s="29" t="str">
        <f t="shared" si="33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28"/>
        <v/>
      </c>
      <c r="M101" s="19" t="str">
        <f t="shared" si="30"/>
        <v/>
      </c>
      <c r="N101" s="19" t="str">
        <f t="shared" si="31"/>
        <v/>
      </c>
      <c r="O101" s="19" t="str">
        <f t="shared" si="34"/>
        <v/>
      </c>
      <c r="P101" s="19" t="str">
        <f t="shared" si="35"/>
        <v/>
      </c>
      <c r="Q101" s="19" t="str">
        <f t="shared" si="36"/>
        <v/>
      </c>
      <c r="R101" s="19" t="str">
        <f t="shared" si="32"/>
        <v/>
      </c>
      <c r="S101" s="27" t="str">
        <f t="shared" si="33"/>
        <v/>
      </c>
      <c r="T101" s="28" t="str">
        <f t="shared" si="33"/>
        <v/>
      </c>
      <c r="U101" s="28" t="str">
        <f t="shared" si="33"/>
        <v/>
      </c>
      <c r="V101" s="28" t="str">
        <f t="shared" si="33"/>
        <v/>
      </c>
      <c r="W101" s="28" t="str">
        <f t="shared" si="33"/>
        <v/>
      </c>
      <c r="X101" s="29" t="str">
        <f t="shared" si="33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28"/>
        <v/>
      </c>
      <c r="M102" s="19" t="str">
        <f t="shared" si="30"/>
        <v/>
      </c>
      <c r="N102" s="19" t="str">
        <f t="shared" si="31"/>
        <v/>
      </c>
      <c r="O102" s="19" t="str">
        <f t="shared" si="34"/>
        <v/>
      </c>
      <c r="P102" s="19" t="str">
        <f t="shared" si="35"/>
        <v/>
      </c>
      <c r="Q102" s="19" t="str">
        <f t="shared" si="36"/>
        <v/>
      </c>
      <c r="R102" s="19" t="str">
        <f t="shared" si="32"/>
        <v/>
      </c>
      <c r="S102" s="27" t="str">
        <f t="shared" si="33"/>
        <v/>
      </c>
      <c r="T102" s="28" t="str">
        <f t="shared" si="33"/>
        <v/>
      </c>
      <c r="U102" s="28" t="str">
        <f t="shared" si="33"/>
        <v/>
      </c>
      <c r="V102" s="28" t="str">
        <f t="shared" si="33"/>
        <v/>
      </c>
      <c r="W102" s="28" t="str">
        <f t="shared" si="33"/>
        <v/>
      </c>
      <c r="X102" s="29" t="str">
        <f t="shared" si="33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28"/>
        <v/>
      </c>
      <c r="M103" s="19" t="str">
        <f t="shared" si="30"/>
        <v/>
      </c>
      <c r="N103" s="19" t="str">
        <f t="shared" si="31"/>
        <v/>
      </c>
      <c r="O103" s="19" t="str">
        <f t="shared" si="34"/>
        <v/>
      </c>
      <c r="P103" s="19" t="str">
        <f t="shared" si="35"/>
        <v/>
      </c>
      <c r="Q103" s="19" t="str">
        <f t="shared" si="36"/>
        <v/>
      </c>
      <c r="R103" s="19" t="str">
        <f t="shared" si="32"/>
        <v/>
      </c>
      <c r="S103" s="27" t="str">
        <f t="shared" si="33"/>
        <v/>
      </c>
      <c r="T103" s="28" t="str">
        <f t="shared" si="33"/>
        <v/>
      </c>
      <c r="U103" s="28" t="str">
        <f t="shared" si="33"/>
        <v/>
      </c>
      <c r="V103" s="28" t="str">
        <f t="shared" si="33"/>
        <v/>
      </c>
      <c r="W103" s="28" t="str">
        <f t="shared" si="33"/>
        <v/>
      </c>
      <c r="X103" s="29" t="str">
        <f t="shared" si="33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28"/>
        <v/>
      </c>
      <c r="M104" s="19" t="str">
        <f t="shared" si="30"/>
        <v/>
      </c>
      <c r="N104" s="19" t="str">
        <f t="shared" si="31"/>
        <v/>
      </c>
      <c r="O104" s="19" t="str">
        <f t="shared" si="34"/>
        <v/>
      </c>
      <c r="P104" s="19" t="str">
        <f t="shared" si="35"/>
        <v/>
      </c>
      <c r="Q104" s="19" t="str">
        <f t="shared" si="36"/>
        <v/>
      </c>
      <c r="R104" s="19" t="str">
        <f t="shared" si="32"/>
        <v/>
      </c>
      <c r="S104" s="27" t="str">
        <f t="shared" si="33"/>
        <v/>
      </c>
      <c r="T104" s="28" t="str">
        <f t="shared" si="33"/>
        <v/>
      </c>
      <c r="U104" s="28" t="str">
        <f t="shared" si="33"/>
        <v/>
      </c>
      <c r="V104" s="28" t="str">
        <f t="shared" si="33"/>
        <v/>
      </c>
      <c r="W104" s="28" t="str">
        <f t="shared" si="33"/>
        <v/>
      </c>
      <c r="X104" s="29" t="str">
        <f t="shared" si="33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28"/>
        <v/>
      </c>
      <c r="M105" s="19" t="str">
        <f t="shared" si="30"/>
        <v/>
      </c>
      <c r="N105" s="19" t="str">
        <f t="shared" si="31"/>
        <v/>
      </c>
      <c r="O105" s="19" t="str">
        <f t="shared" si="34"/>
        <v/>
      </c>
      <c r="P105" s="19" t="str">
        <f t="shared" si="35"/>
        <v/>
      </c>
      <c r="Q105" s="19" t="str">
        <f t="shared" si="36"/>
        <v/>
      </c>
      <c r="R105" s="19" t="str">
        <f t="shared" si="32"/>
        <v/>
      </c>
      <c r="S105" s="27" t="str">
        <f t="shared" si="33"/>
        <v/>
      </c>
      <c r="T105" s="28" t="str">
        <f t="shared" si="33"/>
        <v/>
      </c>
      <c r="U105" s="28" t="str">
        <f t="shared" si="33"/>
        <v/>
      </c>
      <c r="V105" s="28" t="str">
        <f t="shared" si="33"/>
        <v/>
      </c>
      <c r="W105" s="28" t="str">
        <f t="shared" si="33"/>
        <v/>
      </c>
      <c r="X105" s="29" t="str">
        <f t="shared" si="33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28"/>
        <v/>
      </c>
      <c r="M106" s="19" t="str">
        <f t="shared" si="30"/>
        <v/>
      </c>
      <c r="N106" s="19" t="str">
        <f t="shared" si="31"/>
        <v/>
      </c>
      <c r="O106" s="19" t="str">
        <f t="shared" si="34"/>
        <v/>
      </c>
      <c r="P106" s="19" t="str">
        <f t="shared" si="35"/>
        <v/>
      </c>
      <c r="Q106" s="19" t="str">
        <f t="shared" si="36"/>
        <v/>
      </c>
      <c r="R106" s="19" t="str">
        <f t="shared" si="32"/>
        <v/>
      </c>
      <c r="S106" s="27" t="str">
        <f t="shared" si="33"/>
        <v/>
      </c>
      <c r="T106" s="28" t="str">
        <f t="shared" si="33"/>
        <v/>
      </c>
      <c r="U106" s="28" t="str">
        <f t="shared" si="33"/>
        <v/>
      </c>
      <c r="V106" s="28" t="str">
        <f t="shared" si="33"/>
        <v/>
      </c>
      <c r="W106" s="28" t="str">
        <f t="shared" si="33"/>
        <v/>
      </c>
      <c r="X106" s="29" t="str">
        <f t="shared" si="33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28"/>
        <v/>
      </c>
      <c r="M107" s="19" t="str">
        <f t="shared" si="30"/>
        <v/>
      </c>
      <c r="N107" s="19" t="str">
        <f t="shared" si="31"/>
        <v/>
      </c>
      <c r="O107" s="19" t="str">
        <f t="shared" si="34"/>
        <v/>
      </c>
      <c r="P107" s="19" t="str">
        <f t="shared" si="35"/>
        <v/>
      </c>
      <c r="Q107" s="19" t="str">
        <f t="shared" si="36"/>
        <v/>
      </c>
      <c r="R107" s="19" t="str">
        <f t="shared" si="32"/>
        <v/>
      </c>
      <c r="S107" s="27" t="str">
        <f t="shared" si="33"/>
        <v/>
      </c>
      <c r="T107" s="28" t="str">
        <f t="shared" si="33"/>
        <v/>
      </c>
      <c r="U107" s="28" t="str">
        <f t="shared" si="33"/>
        <v/>
      </c>
      <c r="V107" s="28" t="str">
        <f t="shared" si="33"/>
        <v/>
      </c>
      <c r="W107" s="28" t="str">
        <f t="shared" si="33"/>
        <v/>
      </c>
      <c r="X107" s="29" t="str">
        <f t="shared" si="33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28"/>
        <v/>
      </c>
      <c r="M108" s="19" t="str">
        <f t="shared" si="30"/>
        <v/>
      </c>
      <c r="N108" s="19" t="str">
        <f t="shared" si="31"/>
        <v/>
      </c>
      <c r="O108" s="19" t="str">
        <f t="shared" si="34"/>
        <v/>
      </c>
      <c r="P108" s="19" t="str">
        <f t="shared" si="35"/>
        <v/>
      </c>
      <c r="Q108" s="19" t="str">
        <f t="shared" si="36"/>
        <v/>
      </c>
      <c r="R108" s="19" t="str">
        <f t="shared" si="32"/>
        <v/>
      </c>
      <c r="S108" s="27" t="str">
        <f t="shared" si="33"/>
        <v/>
      </c>
      <c r="T108" s="28" t="str">
        <f t="shared" si="33"/>
        <v/>
      </c>
      <c r="U108" s="28" t="str">
        <f t="shared" si="33"/>
        <v/>
      </c>
      <c r="V108" s="28" t="str">
        <f t="shared" si="33"/>
        <v/>
      </c>
      <c r="W108" s="28" t="str">
        <f t="shared" si="33"/>
        <v/>
      </c>
      <c r="X108" s="29" t="str">
        <f t="shared" si="33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28"/>
        <v/>
      </c>
      <c r="M109" s="19" t="str">
        <f t="shared" si="30"/>
        <v/>
      </c>
      <c r="N109" s="19" t="str">
        <f t="shared" si="31"/>
        <v/>
      </c>
      <c r="O109" s="19" t="str">
        <f t="shared" si="34"/>
        <v/>
      </c>
      <c r="P109" s="19" t="str">
        <f t="shared" si="35"/>
        <v/>
      </c>
      <c r="Q109" s="19" t="str">
        <f t="shared" si="36"/>
        <v/>
      </c>
      <c r="R109" s="19" t="str">
        <f t="shared" si="32"/>
        <v/>
      </c>
      <c r="S109" s="27" t="str">
        <f t="shared" si="33"/>
        <v/>
      </c>
      <c r="T109" s="28" t="str">
        <f t="shared" si="33"/>
        <v/>
      </c>
      <c r="U109" s="28" t="str">
        <f t="shared" si="33"/>
        <v/>
      </c>
      <c r="V109" s="28" t="str">
        <f t="shared" si="33"/>
        <v/>
      </c>
      <c r="W109" s="28" t="str">
        <f t="shared" si="33"/>
        <v/>
      </c>
      <c r="X109" s="29" t="str">
        <f t="shared" si="33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28"/>
        <v/>
      </c>
      <c r="M110" s="19" t="str">
        <f t="shared" si="30"/>
        <v/>
      </c>
      <c r="N110" s="19" t="str">
        <f t="shared" si="31"/>
        <v/>
      </c>
      <c r="O110" s="19" t="str">
        <f t="shared" si="34"/>
        <v/>
      </c>
      <c r="P110" s="19" t="str">
        <f t="shared" si="35"/>
        <v/>
      </c>
      <c r="Q110" s="19" t="str">
        <f t="shared" si="36"/>
        <v/>
      </c>
      <c r="R110" s="19" t="str">
        <f t="shared" si="32"/>
        <v/>
      </c>
      <c r="S110" s="27" t="str">
        <f t="shared" si="33"/>
        <v/>
      </c>
      <c r="T110" s="28" t="str">
        <f t="shared" si="33"/>
        <v/>
      </c>
      <c r="U110" s="28" t="str">
        <f t="shared" si="33"/>
        <v/>
      </c>
      <c r="V110" s="28" t="str">
        <f t="shared" si="33"/>
        <v/>
      </c>
      <c r="W110" s="28" t="str">
        <f t="shared" si="33"/>
        <v/>
      </c>
      <c r="X110" s="29" t="str">
        <f t="shared" si="33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28"/>
        <v/>
      </c>
      <c r="M111" s="19" t="str">
        <f t="shared" si="30"/>
        <v/>
      </c>
      <c r="N111" s="19" t="str">
        <f t="shared" si="31"/>
        <v/>
      </c>
      <c r="O111" s="19" t="str">
        <f t="shared" si="34"/>
        <v/>
      </c>
      <c r="P111" s="19" t="str">
        <f t="shared" si="35"/>
        <v/>
      </c>
      <c r="Q111" s="19" t="str">
        <f t="shared" si="36"/>
        <v/>
      </c>
      <c r="R111" s="19" t="str">
        <f t="shared" si="32"/>
        <v/>
      </c>
      <c r="S111" s="27" t="str">
        <f t="shared" si="33"/>
        <v/>
      </c>
      <c r="T111" s="28" t="str">
        <f t="shared" si="33"/>
        <v/>
      </c>
      <c r="U111" s="28" t="str">
        <f t="shared" si="33"/>
        <v/>
      </c>
      <c r="V111" s="28" t="str">
        <f t="shared" si="33"/>
        <v/>
      </c>
      <c r="W111" s="28" t="str">
        <f t="shared" si="33"/>
        <v/>
      </c>
      <c r="X111" s="29" t="str">
        <f t="shared" si="33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28"/>
        <v/>
      </c>
      <c r="M112" s="19" t="str">
        <f t="shared" si="30"/>
        <v/>
      </c>
      <c r="N112" s="19" t="str">
        <f t="shared" si="31"/>
        <v/>
      </c>
      <c r="O112" s="19" t="str">
        <f t="shared" si="34"/>
        <v/>
      </c>
      <c r="P112" s="19" t="str">
        <f t="shared" si="35"/>
        <v/>
      </c>
      <c r="Q112" s="19" t="str">
        <f t="shared" si="36"/>
        <v/>
      </c>
      <c r="R112" s="19" t="str">
        <f t="shared" si="32"/>
        <v/>
      </c>
      <c r="S112" s="27" t="str">
        <f t="shared" si="33"/>
        <v/>
      </c>
      <c r="T112" s="28" t="str">
        <f t="shared" si="33"/>
        <v/>
      </c>
      <c r="U112" s="28" t="str">
        <f t="shared" si="33"/>
        <v/>
      </c>
      <c r="V112" s="28" t="str">
        <f t="shared" si="33"/>
        <v/>
      </c>
      <c r="W112" s="28" t="str">
        <f t="shared" si="33"/>
        <v/>
      </c>
      <c r="X112" s="29" t="str">
        <f t="shared" si="33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28"/>
        <v/>
      </c>
      <c r="M113" s="19" t="str">
        <f t="shared" si="30"/>
        <v/>
      </c>
      <c r="N113" s="19" t="str">
        <f t="shared" si="31"/>
        <v/>
      </c>
      <c r="O113" s="19" t="str">
        <f t="shared" si="34"/>
        <v/>
      </c>
      <c r="P113" s="19" t="str">
        <f t="shared" si="35"/>
        <v/>
      </c>
      <c r="Q113" s="19" t="str">
        <f t="shared" si="36"/>
        <v/>
      </c>
      <c r="R113" s="19" t="str">
        <f t="shared" si="32"/>
        <v/>
      </c>
      <c r="S113" s="27" t="str">
        <f t="shared" ref="S113:X128" si="37">IF(C113="","",((C113-C112)*1000)/($B113-$B112))</f>
        <v/>
      </c>
      <c r="T113" s="28" t="str">
        <f t="shared" si="37"/>
        <v/>
      </c>
      <c r="U113" s="28" t="str">
        <f t="shared" si="37"/>
        <v/>
      </c>
      <c r="V113" s="28" t="str">
        <f t="shared" si="37"/>
        <v/>
      </c>
      <c r="W113" s="28" t="str">
        <f t="shared" si="37"/>
        <v/>
      </c>
      <c r="X113" s="29" t="str">
        <f t="shared" si="37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28"/>
        <v/>
      </c>
      <c r="M114" s="19" t="str">
        <f t="shared" si="30"/>
        <v/>
      </c>
      <c r="N114" s="19" t="str">
        <f t="shared" si="31"/>
        <v/>
      </c>
      <c r="O114" s="19" t="str">
        <f t="shared" si="34"/>
        <v/>
      </c>
      <c r="P114" s="19" t="str">
        <f t="shared" si="35"/>
        <v/>
      </c>
      <c r="Q114" s="19" t="str">
        <f t="shared" si="36"/>
        <v/>
      </c>
      <c r="R114" s="19" t="str">
        <f t="shared" si="32"/>
        <v/>
      </c>
      <c r="S114" s="27" t="str">
        <f t="shared" si="37"/>
        <v/>
      </c>
      <c r="T114" s="28" t="str">
        <f t="shared" si="37"/>
        <v/>
      </c>
      <c r="U114" s="28" t="str">
        <f t="shared" si="37"/>
        <v/>
      </c>
      <c r="V114" s="28" t="str">
        <f t="shared" si="37"/>
        <v/>
      </c>
      <c r="W114" s="28" t="str">
        <f t="shared" si="37"/>
        <v/>
      </c>
      <c r="X114" s="29" t="str">
        <f t="shared" si="37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28"/>
        <v/>
      </c>
      <c r="M115" s="19" t="str">
        <f t="shared" si="30"/>
        <v/>
      </c>
      <c r="N115" s="19" t="str">
        <f t="shared" si="31"/>
        <v/>
      </c>
      <c r="O115" s="19" t="str">
        <f t="shared" si="34"/>
        <v/>
      </c>
      <c r="P115" s="19" t="str">
        <f t="shared" si="35"/>
        <v/>
      </c>
      <c r="Q115" s="19" t="str">
        <f t="shared" si="36"/>
        <v/>
      </c>
      <c r="R115" s="19" t="str">
        <f t="shared" si="32"/>
        <v/>
      </c>
      <c r="S115" s="27" t="str">
        <f t="shared" si="37"/>
        <v/>
      </c>
      <c r="T115" s="28" t="str">
        <f t="shared" si="37"/>
        <v/>
      </c>
      <c r="U115" s="28" t="str">
        <f t="shared" si="37"/>
        <v/>
      </c>
      <c r="V115" s="28" t="str">
        <f t="shared" si="37"/>
        <v/>
      </c>
      <c r="W115" s="28" t="str">
        <f t="shared" si="37"/>
        <v/>
      </c>
      <c r="X115" s="29" t="str">
        <f t="shared" si="37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28"/>
        <v/>
      </c>
      <c r="M116" s="19" t="str">
        <f t="shared" si="30"/>
        <v/>
      </c>
      <c r="N116" s="19" t="str">
        <f t="shared" si="31"/>
        <v/>
      </c>
      <c r="O116" s="19" t="str">
        <f t="shared" si="34"/>
        <v/>
      </c>
      <c r="P116" s="19" t="str">
        <f t="shared" si="35"/>
        <v/>
      </c>
      <c r="Q116" s="19" t="str">
        <f t="shared" si="36"/>
        <v/>
      </c>
      <c r="R116" s="19" t="str">
        <f t="shared" si="32"/>
        <v/>
      </c>
      <c r="S116" s="27" t="str">
        <f t="shared" si="37"/>
        <v/>
      </c>
      <c r="T116" s="28" t="str">
        <f t="shared" si="37"/>
        <v/>
      </c>
      <c r="U116" s="28" t="str">
        <f t="shared" si="37"/>
        <v/>
      </c>
      <c r="V116" s="28" t="str">
        <f t="shared" si="37"/>
        <v/>
      </c>
      <c r="W116" s="28" t="str">
        <f t="shared" si="37"/>
        <v/>
      </c>
      <c r="X116" s="29" t="str">
        <f t="shared" si="37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28"/>
        <v/>
      </c>
      <c r="M117" s="19" t="str">
        <f t="shared" si="30"/>
        <v/>
      </c>
      <c r="N117" s="19" t="str">
        <f t="shared" si="31"/>
        <v/>
      </c>
      <c r="O117" s="19" t="str">
        <f t="shared" si="34"/>
        <v/>
      </c>
      <c r="P117" s="19" t="str">
        <f t="shared" si="35"/>
        <v/>
      </c>
      <c r="Q117" s="19" t="str">
        <f t="shared" si="36"/>
        <v/>
      </c>
      <c r="R117" s="19" t="str">
        <f t="shared" si="32"/>
        <v/>
      </c>
      <c r="S117" s="27" t="str">
        <f t="shared" si="37"/>
        <v/>
      </c>
      <c r="T117" s="28" t="str">
        <f t="shared" si="37"/>
        <v/>
      </c>
      <c r="U117" s="28" t="str">
        <f t="shared" si="37"/>
        <v/>
      </c>
      <c r="V117" s="28" t="str">
        <f t="shared" si="37"/>
        <v/>
      </c>
      <c r="W117" s="28" t="str">
        <f t="shared" si="37"/>
        <v/>
      </c>
      <c r="X117" s="29" t="str">
        <f t="shared" si="37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si="28"/>
        <v/>
      </c>
      <c r="M118" s="19" t="str">
        <f t="shared" si="30"/>
        <v/>
      </c>
      <c r="N118" s="19" t="str">
        <f t="shared" si="31"/>
        <v/>
      </c>
      <c r="O118" s="19" t="str">
        <f t="shared" si="34"/>
        <v/>
      </c>
      <c r="P118" s="19" t="str">
        <f t="shared" si="35"/>
        <v/>
      </c>
      <c r="Q118" s="19" t="str">
        <f t="shared" si="36"/>
        <v/>
      </c>
      <c r="R118" s="19" t="str">
        <f t="shared" si="32"/>
        <v/>
      </c>
      <c r="S118" s="27" t="str">
        <f t="shared" si="37"/>
        <v/>
      </c>
      <c r="T118" s="28" t="str">
        <f t="shared" si="37"/>
        <v/>
      </c>
      <c r="U118" s="28" t="str">
        <f t="shared" si="37"/>
        <v/>
      </c>
      <c r="V118" s="28" t="str">
        <f t="shared" si="37"/>
        <v/>
      </c>
      <c r="W118" s="28" t="str">
        <f t="shared" si="37"/>
        <v/>
      </c>
      <c r="X118" s="29" t="str">
        <f t="shared" si="37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8"/>
        <v/>
      </c>
      <c r="M119" s="19" t="str">
        <f t="shared" si="30"/>
        <v/>
      </c>
      <c r="N119" s="19" t="str">
        <f t="shared" si="31"/>
        <v/>
      </c>
      <c r="O119" s="19" t="str">
        <f t="shared" si="34"/>
        <v/>
      </c>
      <c r="P119" s="19" t="str">
        <f t="shared" si="35"/>
        <v/>
      </c>
      <c r="Q119" s="19" t="str">
        <f t="shared" si="36"/>
        <v/>
      </c>
      <c r="R119" s="19" t="str">
        <f t="shared" si="32"/>
        <v/>
      </c>
      <c r="S119" s="27" t="str">
        <f t="shared" si="37"/>
        <v/>
      </c>
      <c r="T119" s="28" t="str">
        <f t="shared" si="37"/>
        <v/>
      </c>
      <c r="U119" s="28" t="str">
        <f t="shared" si="37"/>
        <v/>
      </c>
      <c r="V119" s="28" t="str">
        <f t="shared" si="37"/>
        <v/>
      </c>
      <c r="W119" s="28" t="str">
        <f t="shared" si="37"/>
        <v/>
      </c>
      <c r="X119" s="29" t="str">
        <f t="shared" si="37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8"/>
        <v/>
      </c>
      <c r="M120" s="19" t="str">
        <f t="shared" si="30"/>
        <v/>
      </c>
      <c r="N120" s="19" t="str">
        <f t="shared" si="31"/>
        <v/>
      </c>
      <c r="O120" s="19" t="str">
        <f t="shared" si="34"/>
        <v/>
      </c>
      <c r="P120" s="19" t="str">
        <f t="shared" si="35"/>
        <v/>
      </c>
      <c r="Q120" s="19" t="str">
        <f t="shared" si="36"/>
        <v/>
      </c>
      <c r="R120" s="19" t="str">
        <f t="shared" si="32"/>
        <v/>
      </c>
      <c r="S120" s="27" t="str">
        <f t="shared" si="37"/>
        <v/>
      </c>
      <c r="T120" s="28" t="str">
        <f t="shared" si="37"/>
        <v/>
      </c>
      <c r="U120" s="28" t="str">
        <f t="shared" si="37"/>
        <v/>
      </c>
      <c r="V120" s="28" t="str">
        <f t="shared" si="37"/>
        <v/>
      </c>
      <c r="W120" s="28" t="str">
        <f t="shared" si="37"/>
        <v/>
      </c>
      <c r="X120" s="29" t="str">
        <f t="shared" si="37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8"/>
        <v/>
      </c>
      <c r="M121" s="19" t="str">
        <f t="shared" si="30"/>
        <v/>
      </c>
      <c r="N121" s="19" t="str">
        <f t="shared" si="31"/>
        <v/>
      </c>
      <c r="O121" s="19" t="str">
        <f t="shared" si="34"/>
        <v/>
      </c>
      <c r="P121" s="19" t="str">
        <f t="shared" si="35"/>
        <v/>
      </c>
      <c r="Q121" s="19" t="str">
        <f t="shared" si="36"/>
        <v/>
      </c>
      <c r="R121" s="19" t="str">
        <f t="shared" si="32"/>
        <v/>
      </c>
      <c r="S121" s="27" t="str">
        <f t="shared" si="37"/>
        <v/>
      </c>
      <c r="T121" s="28" t="str">
        <f t="shared" si="37"/>
        <v/>
      </c>
      <c r="U121" s="28" t="str">
        <f t="shared" si="37"/>
        <v/>
      </c>
      <c r="V121" s="28" t="str">
        <f t="shared" si="37"/>
        <v/>
      </c>
      <c r="W121" s="28" t="str">
        <f t="shared" si="37"/>
        <v/>
      </c>
      <c r="X121" s="29" t="str">
        <f t="shared" si="37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8"/>
        <v/>
      </c>
      <c r="M122" s="19" t="str">
        <f t="shared" si="30"/>
        <v/>
      </c>
      <c r="N122" s="19" t="str">
        <f t="shared" si="31"/>
        <v/>
      </c>
      <c r="O122" s="19" t="str">
        <f t="shared" si="34"/>
        <v/>
      </c>
      <c r="P122" s="19" t="str">
        <f t="shared" si="35"/>
        <v/>
      </c>
      <c r="Q122" s="19" t="str">
        <f t="shared" si="36"/>
        <v/>
      </c>
      <c r="R122" s="19" t="str">
        <f t="shared" si="32"/>
        <v/>
      </c>
      <c r="S122" s="27" t="str">
        <f t="shared" si="37"/>
        <v/>
      </c>
      <c r="T122" s="28" t="str">
        <f t="shared" si="37"/>
        <v/>
      </c>
      <c r="U122" s="28" t="str">
        <f t="shared" si="37"/>
        <v/>
      </c>
      <c r="V122" s="28" t="str">
        <f t="shared" si="37"/>
        <v/>
      </c>
      <c r="W122" s="28" t="str">
        <f t="shared" si="37"/>
        <v/>
      </c>
      <c r="X122" s="29" t="str">
        <f t="shared" si="37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8"/>
        <v/>
      </c>
      <c r="M123" s="19" t="str">
        <f t="shared" si="30"/>
        <v/>
      </c>
      <c r="N123" s="19" t="str">
        <f t="shared" si="31"/>
        <v/>
      </c>
      <c r="O123" s="19" t="str">
        <f t="shared" si="34"/>
        <v/>
      </c>
      <c r="P123" s="19" t="str">
        <f t="shared" si="35"/>
        <v/>
      </c>
      <c r="Q123" s="19" t="str">
        <f t="shared" si="36"/>
        <v/>
      </c>
      <c r="R123" s="19" t="str">
        <f t="shared" si="32"/>
        <v/>
      </c>
      <c r="S123" s="27" t="str">
        <f t="shared" si="37"/>
        <v/>
      </c>
      <c r="T123" s="28" t="str">
        <f t="shared" si="37"/>
        <v/>
      </c>
      <c r="U123" s="28" t="str">
        <f t="shared" si="37"/>
        <v/>
      </c>
      <c r="V123" s="28" t="str">
        <f t="shared" si="37"/>
        <v/>
      </c>
      <c r="W123" s="28" t="str">
        <f t="shared" si="37"/>
        <v/>
      </c>
      <c r="X123" s="29" t="str">
        <f t="shared" si="37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8"/>
        <v/>
      </c>
      <c r="M124" s="19" t="str">
        <f t="shared" si="30"/>
        <v/>
      </c>
      <c r="N124" s="19" t="str">
        <f t="shared" si="31"/>
        <v/>
      </c>
      <c r="O124" s="19" t="str">
        <f t="shared" si="34"/>
        <v/>
      </c>
      <c r="P124" s="19" t="str">
        <f t="shared" si="35"/>
        <v/>
      </c>
      <c r="Q124" s="19" t="str">
        <f t="shared" si="36"/>
        <v/>
      </c>
      <c r="R124" s="19" t="str">
        <f t="shared" si="32"/>
        <v/>
      </c>
      <c r="S124" s="27" t="str">
        <f t="shared" si="37"/>
        <v/>
      </c>
      <c r="T124" s="28" t="str">
        <f t="shared" si="37"/>
        <v/>
      </c>
      <c r="U124" s="28" t="str">
        <f t="shared" si="37"/>
        <v/>
      </c>
      <c r="V124" s="28" t="str">
        <f t="shared" si="37"/>
        <v/>
      </c>
      <c r="W124" s="28" t="str">
        <f t="shared" si="37"/>
        <v/>
      </c>
      <c r="X124" s="29" t="str">
        <f t="shared" si="37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8"/>
        <v/>
      </c>
      <c r="M125" s="19" t="str">
        <f t="shared" si="30"/>
        <v/>
      </c>
      <c r="N125" s="19" t="str">
        <f t="shared" si="31"/>
        <v/>
      </c>
      <c r="O125" s="19" t="str">
        <f t="shared" si="34"/>
        <v/>
      </c>
      <c r="P125" s="19" t="str">
        <f t="shared" si="35"/>
        <v/>
      </c>
      <c r="Q125" s="19" t="str">
        <f t="shared" si="36"/>
        <v/>
      </c>
      <c r="R125" s="19" t="str">
        <f t="shared" si="32"/>
        <v/>
      </c>
      <c r="S125" s="27" t="str">
        <f t="shared" si="37"/>
        <v/>
      </c>
      <c r="T125" s="28" t="str">
        <f t="shared" si="37"/>
        <v/>
      </c>
      <c r="U125" s="28" t="str">
        <f t="shared" si="37"/>
        <v/>
      </c>
      <c r="V125" s="28" t="str">
        <f t="shared" si="37"/>
        <v/>
      </c>
      <c r="W125" s="28" t="str">
        <f t="shared" si="37"/>
        <v/>
      </c>
      <c r="X125" s="29" t="str">
        <f t="shared" si="37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8"/>
        <v/>
      </c>
      <c r="M126" s="19" t="str">
        <f t="shared" si="30"/>
        <v/>
      </c>
      <c r="N126" s="19" t="str">
        <f t="shared" si="31"/>
        <v/>
      </c>
      <c r="O126" s="19" t="str">
        <f t="shared" si="34"/>
        <v/>
      </c>
      <c r="P126" s="19" t="str">
        <f t="shared" si="35"/>
        <v/>
      </c>
      <c r="Q126" s="19" t="str">
        <f t="shared" si="36"/>
        <v/>
      </c>
      <c r="R126" s="19" t="str">
        <f t="shared" si="32"/>
        <v/>
      </c>
      <c r="S126" s="27" t="str">
        <f t="shared" si="37"/>
        <v/>
      </c>
      <c r="T126" s="28" t="str">
        <f t="shared" si="37"/>
        <v/>
      </c>
      <c r="U126" s="28" t="str">
        <f t="shared" si="37"/>
        <v/>
      </c>
      <c r="V126" s="28" t="str">
        <f t="shared" si="37"/>
        <v/>
      </c>
      <c r="W126" s="28" t="str">
        <f t="shared" si="37"/>
        <v/>
      </c>
      <c r="X126" s="29" t="str">
        <f t="shared" si="37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8"/>
        <v/>
      </c>
      <c r="M127" s="19" t="str">
        <f t="shared" si="30"/>
        <v/>
      </c>
      <c r="N127" s="19" t="str">
        <f t="shared" si="31"/>
        <v/>
      </c>
      <c r="O127" s="19" t="str">
        <f t="shared" si="34"/>
        <v/>
      </c>
      <c r="P127" s="19" t="str">
        <f t="shared" si="35"/>
        <v/>
      </c>
      <c r="Q127" s="19" t="str">
        <f t="shared" si="36"/>
        <v/>
      </c>
      <c r="R127" s="19" t="str">
        <f t="shared" si="32"/>
        <v/>
      </c>
      <c r="S127" s="27" t="str">
        <f t="shared" si="37"/>
        <v/>
      </c>
      <c r="T127" s="28" t="str">
        <f t="shared" si="37"/>
        <v/>
      </c>
      <c r="U127" s="28" t="str">
        <f t="shared" si="37"/>
        <v/>
      </c>
      <c r="V127" s="28" t="str">
        <f t="shared" si="37"/>
        <v/>
      </c>
      <c r="W127" s="28" t="str">
        <f t="shared" si="37"/>
        <v/>
      </c>
      <c r="X127" s="29" t="str">
        <f t="shared" si="37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8"/>
        <v/>
      </c>
      <c r="M128" s="19" t="str">
        <f t="shared" si="30"/>
        <v/>
      </c>
      <c r="N128" s="19" t="str">
        <f t="shared" si="31"/>
        <v/>
      </c>
      <c r="O128" s="19" t="str">
        <f t="shared" si="34"/>
        <v/>
      </c>
      <c r="P128" s="19" t="str">
        <f t="shared" si="35"/>
        <v/>
      </c>
      <c r="Q128" s="19" t="str">
        <f t="shared" si="36"/>
        <v/>
      </c>
      <c r="R128" s="19" t="str">
        <f t="shared" si="32"/>
        <v/>
      </c>
      <c r="S128" s="27" t="str">
        <f t="shared" si="37"/>
        <v/>
      </c>
      <c r="T128" s="28" t="str">
        <f t="shared" si="37"/>
        <v/>
      </c>
      <c r="U128" s="28" t="str">
        <f t="shared" si="37"/>
        <v/>
      </c>
      <c r="V128" s="28" t="str">
        <f t="shared" si="37"/>
        <v/>
      </c>
      <c r="W128" s="28" t="str">
        <f t="shared" si="37"/>
        <v/>
      </c>
      <c r="X128" s="29" t="str">
        <f t="shared" si="37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8"/>
        <v/>
      </c>
      <c r="M129" s="19" t="str">
        <f t="shared" si="30"/>
        <v/>
      </c>
      <c r="N129" s="19" t="str">
        <f t="shared" si="31"/>
        <v/>
      </c>
      <c r="O129" s="19" t="str">
        <f t="shared" si="34"/>
        <v/>
      </c>
      <c r="P129" s="19" t="str">
        <f t="shared" si="35"/>
        <v/>
      </c>
      <c r="Q129" s="19" t="str">
        <f t="shared" si="36"/>
        <v/>
      </c>
      <c r="R129" s="19" t="str">
        <f t="shared" si="32"/>
        <v/>
      </c>
      <c r="S129" s="27" t="str">
        <f t="shared" ref="S129:X144" si="38">IF(C129="","",((C129-C128)*1000)/($B129-$B128))</f>
        <v/>
      </c>
      <c r="T129" s="28" t="str">
        <f t="shared" si="38"/>
        <v/>
      </c>
      <c r="U129" s="28" t="str">
        <f t="shared" si="38"/>
        <v/>
      </c>
      <c r="V129" s="28" t="str">
        <f t="shared" si="38"/>
        <v/>
      </c>
      <c r="W129" s="28" t="str">
        <f t="shared" si="38"/>
        <v/>
      </c>
      <c r="X129" s="29" t="str">
        <f t="shared" si="3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8"/>
        <v/>
      </c>
      <c r="M130" s="19" t="str">
        <f t="shared" si="30"/>
        <v/>
      </c>
      <c r="N130" s="19" t="str">
        <f t="shared" si="31"/>
        <v/>
      </c>
      <c r="O130" s="19" t="str">
        <f t="shared" si="34"/>
        <v/>
      </c>
      <c r="P130" s="19" t="str">
        <f t="shared" si="35"/>
        <v/>
      </c>
      <c r="Q130" s="19" t="str">
        <f t="shared" si="36"/>
        <v/>
      </c>
      <c r="R130" s="19" t="str">
        <f t="shared" si="32"/>
        <v/>
      </c>
      <c r="S130" s="27" t="str">
        <f t="shared" si="38"/>
        <v/>
      </c>
      <c r="T130" s="28" t="str">
        <f t="shared" si="38"/>
        <v/>
      </c>
      <c r="U130" s="28" t="str">
        <f t="shared" si="38"/>
        <v/>
      </c>
      <c r="V130" s="28" t="str">
        <f t="shared" si="38"/>
        <v/>
      </c>
      <c r="W130" s="28" t="str">
        <f t="shared" si="38"/>
        <v/>
      </c>
      <c r="X130" s="29" t="str">
        <f t="shared" si="3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8"/>
        <v/>
      </c>
      <c r="M131" s="19" t="str">
        <f t="shared" si="30"/>
        <v/>
      </c>
      <c r="N131" s="19" t="str">
        <f t="shared" si="31"/>
        <v/>
      </c>
      <c r="O131" s="19" t="str">
        <f t="shared" si="34"/>
        <v/>
      </c>
      <c r="P131" s="19" t="str">
        <f t="shared" si="35"/>
        <v/>
      </c>
      <c r="Q131" s="19" t="str">
        <f t="shared" si="36"/>
        <v/>
      </c>
      <c r="R131" s="19" t="str">
        <f t="shared" si="32"/>
        <v/>
      </c>
      <c r="S131" s="27" t="str">
        <f t="shared" si="38"/>
        <v/>
      </c>
      <c r="T131" s="28" t="str">
        <f t="shared" si="38"/>
        <v/>
      </c>
      <c r="U131" s="28" t="str">
        <f t="shared" si="38"/>
        <v/>
      </c>
      <c r="V131" s="28" t="str">
        <f t="shared" si="38"/>
        <v/>
      </c>
      <c r="W131" s="28" t="str">
        <f t="shared" si="38"/>
        <v/>
      </c>
      <c r="X131" s="29" t="str">
        <f t="shared" si="3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8"/>
        <v/>
      </c>
      <c r="M132" s="19" t="str">
        <f t="shared" si="30"/>
        <v/>
      </c>
      <c r="N132" s="19" t="str">
        <f t="shared" si="31"/>
        <v/>
      </c>
      <c r="O132" s="19" t="str">
        <f t="shared" si="34"/>
        <v/>
      </c>
      <c r="P132" s="19" t="str">
        <f t="shared" si="35"/>
        <v/>
      </c>
      <c r="Q132" s="19" t="str">
        <f t="shared" si="36"/>
        <v/>
      </c>
      <c r="R132" s="19" t="str">
        <f t="shared" si="32"/>
        <v/>
      </c>
      <c r="S132" s="27" t="str">
        <f t="shared" si="38"/>
        <v/>
      </c>
      <c r="T132" s="28" t="str">
        <f t="shared" si="38"/>
        <v/>
      </c>
      <c r="U132" s="28" t="str">
        <f t="shared" si="38"/>
        <v/>
      </c>
      <c r="V132" s="28" t="str">
        <f t="shared" si="38"/>
        <v/>
      </c>
      <c r="W132" s="28" t="str">
        <f t="shared" si="38"/>
        <v/>
      </c>
      <c r="X132" s="29" t="str">
        <f t="shared" si="3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ref="L133:L153" si="39">IF(ISBLANK(C133),"",(C133-C$16)*1000)</f>
        <v/>
      </c>
      <c r="M133" s="19" t="str">
        <f t="shared" si="30"/>
        <v/>
      </c>
      <c r="N133" s="19" t="str">
        <f t="shared" si="31"/>
        <v/>
      </c>
      <c r="O133" s="19" t="str">
        <f t="shared" si="34"/>
        <v/>
      </c>
      <c r="P133" s="19" t="str">
        <f t="shared" si="35"/>
        <v/>
      </c>
      <c r="Q133" s="19" t="str">
        <f t="shared" si="36"/>
        <v/>
      </c>
      <c r="R133" s="19" t="str">
        <f t="shared" si="32"/>
        <v/>
      </c>
      <c r="S133" s="27" t="str">
        <f t="shared" si="38"/>
        <v/>
      </c>
      <c r="T133" s="28" t="str">
        <f t="shared" si="38"/>
        <v/>
      </c>
      <c r="U133" s="28" t="str">
        <f t="shared" si="38"/>
        <v/>
      </c>
      <c r="V133" s="28" t="str">
        <f t="shared" si="38"/>
        <v/>
      </c>
      <c r="W133" s="28" t="str">
        <f t="shared" si="38"/>
        <v/>
      </c>
      <c r="X133" s="29" t="str">
        <f t="shared" si="3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39"/>
        <v/>
      </c>
      <c r="M134" s="19" t="str">
        <f t="shared" si="30"/>
        <v/>
      </c>
      <c r="N134" s="19" t="str">
        <f t="shared" si="31"/>
        <v/>
      </c>
      <c r="O134" s="19" t="str">
        <f t="shared" si="34"/>
        <v/>
      </c>
      <c r="P134" s="19" t="str">
        <f t="shared" si="35"/>
        <v/>
      </c>
      <c r="Q134" s="19" t="str">
        <f t="shared" si="36"/>
        <v/>
      </c>
      <c r="R134" s="19" t="str">
        <f t="shared" si="32"/>
        <v/>
      </c>
      <c r="S134" s="27" t="str">
        <f t="shared" si="38"/>
        <v/>
      </c>
      <c r="T134" s="28" t="str">
        <f t="shared" si="38"/>
        <v/>
      </c>
      <c r="U134" s="28" t="str">
        <f t="shared" si="38"/>
        <v/>
      </c>
      <c r="V134" s="28" t="str">
        <f t="shared" si="38"/>
        <v/>
      </c>
      <c r="W134" s="28" t="str">
        <f t="shared" si="38"/>
        <v/>
      </c>
      <c r="X134" s="29" t="str">
        <f t="shared" si="3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39"/>
        <v/>
      </c>
      <c r="M135" s="19" t="str">
        <f t="shared" si="30"/>
        <v/>
      </c>
      <c r="N135" s="19" t="str">
        <f t="shared" si="31"/>
        <v/>
      </c>
      <c r="O135" s="19" t="str">
        <f t="shared" si="34"/>
        <v/>
      </c>
      <c r="P135" s="19" t="str">
        <f t="shared" si="35"/>
        <v/>
      </c>
      <c r="Q135" s="19" t="str">
        <f t="shared" si="36"/>
        <v/>
      </c>
      <c r="R135" s="19" t="str">
        <f t="shared" si="32"/>
        <v/>
      </c>
      <c r="S135" s="27" t="str">
        <f t="shared" si="38"/>
        <v/>
      </c>
      <c r="T135" s="28" t="str">
        <f t="shared" si="38"/>
        <v/>
      </c>
      <c r="U135" s="28" t="str">
        <f t="shared" si="38"/>
        <v/>
      </c>
      <c r="V135" s="28" t="str">
        <f t="shared" si="38"/>
        <v/>
      </c>
      <c r="W135" s="28" t="str">
        <f t="shared" si="38"/>
        <v/>
      </c>
      <c r="X135" s="29" t="str">
        <f t="shared" si="3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39"/>
        <v/>
      </c>
      <c r="M136" s="19" t="str">
        <f t="shared" si="30"/>
        <v/>
      </c>
      <c r="N136" s="19" t="str">
        <f t="shared" si="31"/>
        <v/>
      </c>
      <c r="O136" s="19" t="str">
        <f t="shared" si="34"/>
        <v/>
      </c>
      <c r="P136" s="19" t="str">
        <f t="shared" si="35"/>
        <v/>
      </c>
      <c r="Q136" s="19" t="str">
        <f t="shared" si="36"/>
        <v/>
      </c>
      <c r="R136" s="19" t="str">
        <f t="shared" si="32"/>
        <v/>
      </c>
      <c r="S136" s="27" t="str">
        <f t="shared" si="38"/>
        <v/>
      </c>
      <c r="T136" s="28" t="str">
        <f t="shared" si="38"/>
        <v/>
      </c>
      <c r="U136" s="28" t="str">
        <f t="shared" si="38"/>
        <v/>
      </c>
      <c r="V136" s="28" t="str">
        <f t="shared" si="38"/>
        <v/>
      </c>
      <c r="W136" s="28" t="str">
        <f t="shared" si="38"/>
        <v/>
      </c>
      <c r="X136" s="29" t="str">
        <f t="shared" si="3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39"/>
        <v/>
      </c>
      <c r="M137" s="19" t="str">
        <f t="shared" si="30"/>
        <v/>
      </c>
      <c r="N137" s="19" t="str">
        <f t="shared" si="31"/>
        <v/>
      </c>
      <c r="O137" s="19" t="str">
        <f t="shared" si="34"/>
        <v/>
      </c>
      <c r="P137" s="19" t="str">
        <f t="shared" si="35"/>
        <v/>
      </c>
      <c r="Q137" s="19" t="str">
        <f t="shared" si="36"/>
        <v/>
      </c>
      <c r="R137" s="19" t="str">
        <f t="shared" si="32"/>
        <v/>
      </c>
      <c r="S137" s="27" t="str">
        <f t="shared" si="38"/>
        <v/>
      </c>
      <c r="T137" s="28" t="str">
        <f t="shared" si="38"/>
        <v/>
      </c>
      <c r="U137" s="28" t="str">
        <f t="shared" si="38"/>
        <v/>
      </c>
      <c r="V137" s="28" t="str">
        <f t="shared" si="38"/>
        <v/>
      </c>
      <c r="W137" s="28" t="str">
        <f t="shared" si="38"/>
        <v/>
      </c>
      <c r="X137" s="29" t="str">
        <f t="shared" si="3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39"/>
        <v/>
      </c>
      <c r="M138" s="19" t="str">
        <f t="shared" si="30"/>
        <v/>
      </c>
      <c r="N138" s="19" t="str">
        <f t="shared" si="31"/>
        <v/>
      </c>
      <c r="O138" s="19" t="str">
        <f t="shared" si="34"/>
        <v/>
      </c>
      <c r="P138" s="19" t="str">
        <f t="shared" si="35"/>
        <v/>
      </c>
      <c r="Q138" s="19" t="str">
        <f t="shared" si="36"/>
        <v/>
      </c>
      <c r="R138" s="19" t="str">
        <f t="shared" si="32"/>
        <v/>
      </c>
      <c r="S138" s="27" t="str">
        <f t="shared" si="38"/>
        <v/>
      </c>
      <c r="T138" s="28" t="str">
        <f t="shared" si="38"/>
        <v/>
      </c>
      <c r="U138" s="28" t="str">
        <f t="shared" si="38"/>
        <v/>
      </c>
      <c r="V138" s="28" t="str">
        <f t="shared" si="38"/>
        <v/>
      </c>
      <c r="W138" s="28" t="str">
        <f t="shared" si="38"/>
        <v/>
      </c>
      <c r="X138" s="29" t="str">
        <f t="shared" si="3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39"/>
        <v/>
      </c>
      <c r="M139" s="19" t="str">
        <f t="shared" si="30"/>
        <v/>
      </c>
      <c r="N139" s="19" t="str">
        <f t="shared" si="31"/>
        <v/>
      </c>
      <c r="O139" s="19" t="str">
        <f t="shared" si="34"/>
        <v/>
      </c>
      <c r="P139" s="19" t="str">
        <f t="shared" si="35"/>
        <v/>
      </c>
      <c r="Q139" s="19" t="str">
        <f t="shared" si="36"/>
        <v/>
      </c>
      <c r="R139" s="19" t="str">
        <f t="shared" si="32"/>
        <v/>
      </c>
      <c r="S139" s="27" t="str">
        <f t="shared" si="38"/>
        <v/>
      </c>
      <c r="T139" s="28" t="str">
        <f t="shared" si="38"/>
        <v/>
      </c>
      <c r="U139" s="28" t="str">
        <f t="shared" si="38"/>
        <v/>
      </c>
      <c r="V139" s="28" t="str">
        <f t="shared" si="38"/>
        <v/>
      </c>
      <c r="W139" s="28" t="str">
        <f t="shared" si="38"/>
        <v/>
      </c>
      <c r="X139" s="29" t="str">
        <f t="shared" si="3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39"/>
        <v/>
      </c>
      <c r="M140" s="19" t="str">
        <f t="shared" si="30"/>
        <v/>
      </c>
      <c r="N140" s="19" t="str">
        <f t="shared" si="31"/>
        <v/>
      </c>
      <c r="O140" s="19" t="str">
        <f t="shared" si="34"/>
        <v/>
      </c>
      <c r="P140" s="19" t="str">
        <f t="shared" si="35"/>
        <v/>
      </c>
      <c r="Q140" s="19" t="str">
        <f t="shared" si="36"/>
        <v/>
      </c>
      <c r="R140" s="19" t="str">
        <f t="shared" si="32"/>
        <v/>
      </c>
      <c r="S140" s="27" t="str">
        <f t="shared" si="38"/>
        <v/>
      </c>
      <c r="T140" s="28" t="str">
        <f t="shared" si="38"/>
        <v/>
      </c>
      <c r="U140" s="28" t="str">
        <f t="shared" si="38"/>
        <v/>
      </c>
      <c r="V140" s="28" t="str">
        <f t="shared" si="38"/>
        <v/>
      </c>
      <c r="W140" s="28" t="str">
        <f t="shared" si="38"/>
        <v/>
      </c>
      <c r="X140" s="29" t="str">
        <f t="shared" si="3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39"/>
        <v/>
      </c>
      <c r="M141" s="19" t="str">
        <f t="shared" si="30"/>
        <v/>
      </c>
      <c r="N141" s="19" t="str">
        <f t="shared" si="31"/>
        <v/>
      </c>
      <c r="O141" s="19" t="str">
        <f t="shared" si="34"/>
        <v/>
      </c>
      <c r="P141" s="19" t="str">
        <f t="shared" si="35"/>
        <v/>
      </c>
      <c r="Q141" s="19" t="str">
        <f t="shared" si="36"/>
        <v/>
      </c>
      <c r="R141" s="19" t="str">
        <f t="shared" si="32"/>
        <v/>
      </c>
      <c r="S141" s="27" t="str">
        <f t="shared" si="38"/>
        <v/>
      </c>
      <c r="T141" s="28" t="str">
        <f t="shared" si="38"/>
        <v/>
      </c>
      <c r="U141" s="28" t="str">
        <f t="shared" si="38"/>
        <v/>
      </c>
      <c r="V141" s="28" t="str">
        <f t="shared" si="38"/>
        <v/>
      </c>
      <c r="W141" s="28" t="str">
        <f t="shared" si="38"/>
        <v/>
      </c>
      <c r="X141" s="29" t="str">
        <f t="shared" si="3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39"/>
        <v/>
      </c>
      <c r="M142" s="19" t="str">
        <f t="shared" si="30"/>
        <v/>
      </c>
      <c r="N142" s="19" t="str">
        <f t="shared" si="31"/>
        <v/>
      </c>
      <c r="O142" s="19" t="str">
        <f t="shared" si="34"/>
        <v/>
      </c>
      <c r="P142" s="19" t="str">
        <f t="shared" si="35"/>
        <v/>
      </c>
      <c r="Q142" s="19" t="str">
        <f t="shared" si="36"/>
        <v/>
      </c>
      <c r="R142" s="19" t="str">
        <f t="shared" si="32"/>
        <v/>
      </c>
      <c r="S142" s="27" t="str">
        <f t="shared" si="38"/>
        <v/>
      </c>
      <c r="T142" s="28" t="str">
        <f t="shared" si="38"/>
        <v/>
      </c>
      <c r="U142" s="28" t="str">
        <f t="shared" si="38"/>
        <v/>
      </c>
      <c r="V142" s="28" t="str">
        <f t="shared" si="38"/>
        <v/>
      </c>
      <c r="W142" s="28" t="str">
        <f t="shared" si="38"/>
        <v/>
      </c>
      <c r="X142" s="29" t="str">
        <f t="shared" si="3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39"/>
        <v/>
      </c>
      <c r="M143" s="19" t="str">
        <f t="shared" si="30"/>
        <v/>
      </c>
      <c r="N143" s="19" t="str">
        <f t="shared" si="31"/>
        <v/>
      </c>
      <c r="O143" s="19" t="str">
        <f t="shared" si="34"/>
        <v/>
      </c>
      <c r="P143" s="19" t="str">
        <f t="shared" si="35"/>
        <v/>
      </c>
      <c r="Q143" s="19" t="str">
        <f t="shared" si="36"/>
        <v/>
      </c>
      <c r="R143" s="19" t="str">
        <f t="shared" si="32"/>
        <v/>
      </c>
      <c r="S143" s="27" t="str">
        <f t="shared" si="38"/>
        <v/>
      </c>
      <c r="T143" s="28" t="str">
        <f t="shared" si="38"/>
        <v/>
      </c>
      <c r="U143" s="28" t="str">
        <f t="shared" si="38"/>
        <v/>
      </c>
      <c r="V143" s="28" t="str">
        <f t="shared" si="38"/>
        <v/>
      </c>
      <c r="W143" s="28" t="str">
        <f t="shared" si="38"/>
        <v/>
      </c>
      <c r="X143" s="29" t="str">
        <f t="shared" si="3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39"/>
        <v/>
      </c>
      <c r="M144" s="19" t="str">
        <f t="shared" si="30"/>
        <v/>
      </c>
      <c r="N144" s="19" t="str">
        <f t="shared" si="31"/>
        <v/>
      </c>
      <c r="O144" s="19" t="str">
        <f t="shared" si="34"/>
        <v/>
      </c>
      <c r="P144" s="19" t="str">
        <f t="shared" si="35"/>
        <v/>
      </c>
      <c r="Q144" s="19" t="str">
        <f t="shared" si="36"/>
        <v/>
      </c>
      <c r="R144" s="19" t="str">
        <f t="shared" si="32"/>
        <v/>
      </c>
      <c r="S144" s="27" t="str">
        <f t="shared" si="38"/>
        <v/>
      </c>
      <c r="T144" s="28" t="str">
        <f t="shared" si="38"/>
        <v/>
      </c>
      <c r="U144" s="28" t="str">
        <f t="shared" si="38"/>
        <v/>
      </c>
      <c r="V144" s="28" t="str">
        <f t="shared" si="38"/>
        <v/>
      </c>
      <c r="W144" s="28" t="str">
        <f t="shared" si="38"/>
        <v/>
      </c>
      <c r="X144" s="29" t="str">
        <f t="shared" si="3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39"/>
        <v/>
      </c>
      <c r="M145" s="19" t="str">
        <f t="shared" si="30"/>
        <v/>
      </c>
      <c r="N145" s="19" t="str">
        <f t="shared" si="31"/>
        <v/>
      </c>
      <c r="O145" s="19" t="str">
        <f t="shared" si="34"/>
        <v/>
      </c>
      <c r="P145" s="19" t="str">
        <f t="shared" si="35"/>
        <v/>
      </c>
      <c r="Q145" s="19" t="str">
        <f t="shared" si="36"/>
        <v/>
      </c>
      <c r="R145" s="19" t="str">
        <f t="shared" si="32"/>
        <v/>
      </c>
      <c r="S145" s="27" t="str">
        <f t="shared" ref="S145:X153" si="40">IF(C145="","",((C145-C144)*1000)/($B145-$B144))</f>
        <v/>
      </c>
      <c r="T145" s="28" t="str">
        <f t="shared" si="40"/>
        <v/>
      </c>
      <c r="U145" s="28" t="str">
        <f t="shared" si="40"/>
        <v/>
      </c>
      <c r="V145" s="28" t="str">
        <f t="shared" si="40"/>
        <v/>
      </c>
      <c r="W145" s="28" t="str">
        <f t="shared" si="40"/>
        <v/>
      </c>
      <c r="X145" s="29" t="str">
        <f t="shared" si="40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39"/>
        <v/>
      </c>
      <c r="M146" s="19" t="str">
        <f t="shared" si="30"/>
        <v/>
      </c>
      <c r="N146" s="19" t="str">
        <f t="shared" si="31"/>
        <v/>
      </c>
      <c r="O146" s="19" t="str">
        <f t="shared" si="34"/>
        <v/>
      </c>
      <c r="P146" s="19" t="str">
        <f t="shared" si="35"/>
        <v/>
      </c>
      <c r="Q146" s="19" t="str">
        <f t="shared" si="36"/>
        <v/>
      </c>
      <c r="R146" s="19" t="str">
        <f t="shared" si="32"/>
        <v/>
      </c>
      <c r="S146" s="27" t="str">
        <f t="shared" si="40"/>
        <v/>
      </c>
      <c r="T146" s="28" t="str">
        <f t="shared" si="40"/>
        <v/>
      </c>
      <c r="U146" s="28" t="str">
        <f t="shared" si="40"/>
        <v/>
      </c>
      <c r="V146" s="28" t="str">
        <f t="shared" si="40"/>
        <v/>
      </c>
      <c r="W146" s="28" t="str">
        <f t="shared" si="40"/>
        <v/>
      </c>
      <c r="X146" s="29" t="str">
        <f t="shared" si="40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39"/>
        <v/>
      </c>
      <c r="M147" s="19" t="str">
        <f t="shared" ref="M147:M153" si="41">IF(ISBLANK(D147),"",(D147-D$18)*1000)</f>
        <v/>
      </c>
      <c r="N147" s="19" t="str">
        <f t="shared" ref="N147:N153" si="42">IF(ISBLANK(E147),"",(E147-E$18)*1000)</f>
        <v/>
      </c>
      <c r="O147" s="19" t="str">
        <f t="shared" si="34"/>
        <v/>
      </c>
      <c r="P147" s="19" t="str">
        <f t="shared" si="35"/>
        <v/>
      </c>
      <c r="Q147" s="19" t="str">
        <f t="shared" si="36"/>
        <v/>
      </c>
      <c r="R147" s="19" t="str">
        <f t="shared" ref="R147:R153" si="43">IF(ISBLANK(I147),"",(I147-I$18)*1000)</f>
        <v/>
      </c>
      <c r="S147" s="27" t="str">
        <f t="shared" si="40"/>
        <v/>
      </c>
      <c r="T147" s="28" t="str">
        <f t="shared" si="40"/>
        <v/>
      </c>
      <c r="U147" s="28" t="str">
        <f t="shared" si="40"/>
        <v/>
      </c>
      <c r="V147" s="28" t="str">
        <f t="shared" si="40"/>
        <v/>
      </c>
      <c r="W147" s="28" t="str">
        <f t="shared" si="40"/>
        <v/>
      </c>
      <c r="X147" s="29" t="str">
        <f t="shared" si="40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39"/>
        <v/>
      </c>
      <c r="M148" s="19" t="str">
        <f t="shared" si="41"/>
        <v/>
      </c>
      <c r="N148" s="19" t="str">
        <f t="shared" si="42"/>
        <v/>
      </c>
      <c r="O148" s="19" t="str">
        <f t="shared" si="34"/>
        <v/>
      </c>
      <c r="P148" s="19" t="str">
        <f t="shared" si="35"/>
        <v/>
      </c>
      <c r="Q148" s="19" t="str">
        <f t="shared" si="36"/>
        <v/>
      </c>
      <c r="R148" s="19" t="str">
        <f t="shared" si="43"/>
        <v/>
      </c>
      <c r="S148" s="27" t="str">
        <f t="shared" si="40"/>
        <v/>
      </c>
      <c r="T148" s="28" t="str">
        <f t="shared" si="40"/>
        <v/>
      </c>
      <c r="U148" s="28" t="str">
        <f t="shared" si="40"/>
        <v/>
      </c>
      <c r="V148" s="28" t="str">
        <f t="shared" si="40"/>
        <v/>
      </c>
      <c r="W148" s="28" t="str">
        <f t="shared" si="40"/>
        <v/>
      </c>
      <c r="X148" s="29" t="str">
        <f t="shared" si="40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39"/>
        <v/>
      </c>
      <c r="M149" s="19" t="str">
        <f t="shared" si="41"/>
        <v/>
      </c>
      <c r="N149" s="19" t="str">
        <f t="shared" si="42"/>
        <v/>
      </c>
      <c r="O149" s="19" t="str">
        <f t="shared" si="34"/>
        <v/>
      </c>
      <c r="P149" s="19" t="str">
        <f t="shared" si="35"/>
        <v/>
      </c>
      <c r="Q149" s="19" t="str">
        <f t="shared" si="36"/>
        <v/>
      </c>
      <c r="R149" s="19" t="str">
        <f t="shared" si="43"/>
        <v/>
      </c>
      <c r="S149" s="27" t="str">
        <f t="shared" si="40"/>
        <v/>
      </c>
      <c r="T149" s="28" t="str">
        <f t="shared" si="40"/>
        <v/>
      </c>
      <c r="U149" s="28" t="str">
        <f t="shared" si="40"/>
        <v/>
      </c>
      <c r="V149" s="28" t="str">
        <f t="shared" si="40"/>
        <v/>
      </c>
      <c r="W149" s="28" t="str">
        <f t="shared" si="40"/>
        <v/>
      </c>
      <c r="X149" s="29" t="str">
        <f t="shared" si="40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39"/>
        <v/>
      </c>
      <c r="M150" s="19" t="str">
        <f t="shared" si="41"/>
        <v/>
      </c>
      <c r="N150" s="19" t="str">
        <f t="shared" si="42"/>
        <v/>
      </c>
      <c r="O150" s="19" t="str">
        <f t="shared" si="34"/>
        <v/>
      </c>
      <c r="P150" s="19" t="str">
        <f t="shared" si="35"/>
        <v/>
      </c>
      <c r="Q150" s="19" t="str">
        <f t="shared" si="36"/>
        <v/>
      </c>
      <c r="R150" s="19" t="str">
        <f t="shared" si="43"/>
        <v/>
      </c>
      <c r="S150" s="27" t="str">
        <f t="shared" si="40"/>
        <v/>
      </c>
      <c r="T150" s="28" t="str">
        <f t="shared" si="40"/>
        <v/>
      </c>
      <c r="U150" s="28" t="str">
        <f t="shared" si="40"/>
        <v/>
      </c>
      <c r="V150" s="28" t="str">
        <f t="shared" si="40"/>
        <v/>
      </c>
      <c r="W150" s="28" t="str">
        <f t="shared" si="40"/>
        <v/>
      </c>
      <c r="X150" s="29" t="str">
        <f t="shared" si="40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39"/>
        <v/>
      </c>
      <c r="M151" s="19" t="str">
        <f t="shared" si="41"/>
        <v/>
      </c>
      <c r="N151" s="19" t="str">
        <f t="shared" si="42"/>
        <v/>
      </c>
      <c r="O151" s="19" t="str">
        <f t="shared" si="34"/>
        <v/>
      </c>
      <c r="P151" s="19" t="str">
        <f t="shared" si="35"/>
        <v/>
      </c>
      <c r="Q151" s="19" t="str">
        <f t="shared" si="36"/>
        <v/>
      </c>
      <c r="R151" s="19" t="str">
        <f t="shared" si="43"/>
        <v/>
      </c>
      <c r="S151" s="27" t="str">
        <f t="shared" si="40"/>
        <v/>
      </c>
      <c r="T151" s="28" t="str">
        <f t="shared" si="40"/>
        <v/>
      </c>
      <c r="U151" s="28" t="str">
        <f t="shared" si="40"/>
        <v/>
      </c>
      <c r="V151" s="28" t="str">
        <f t="shared" si="40"/>
        <v/>
      </c>
      <c r="W151" s="28" t="str">
        <f t="shared" si="40"/>
        <v/>
      </c>
      <c r="X151" s="29" t="str">
        <f t="shared" si="40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39"/>
        <v/>
      </c>
      <c r="M152" s="19" t="str">
        <f t="shared" si="41"/>
        <v/>
      </c>
      <c r="N152" s="19" t="str">
        <f t="shared" si="42"/>
        <v/>
      </c>
      <c r="O152" s="19" t="str">
        <f t="shared" si="34"/>
        <v/>
      </c>
      <c r="P152" s="19" t="str">
        <f t="shared" si="35"/>
        <v/>
      </c>
      <c r="Q152" s="19" t="str">
        <f t="shared" si="36"/>
        <v/>
      </c>
      <c r="R152" s="19" t="str">
        <f t="shared" si="43"/>
        <v/>
      </c>
      <c r="S152" s="27" t="str">
        <f t="shared" si="40"/>
        <v/>
      </c>
      <c r="T152" s="28" t="str">
        <f t="shared" si="40"/>
        <v/>
      </c>
      <c r="U152" s="28" t="str">
        <f t="shared" si="40"/>
        <v/>
      </c>
      <c r="V152" s="28" t="str">
        <f t="shared" si="40"/>
        <v/>
      </c>
      <c r="W152" s="28" t="str">
        <f t="shared" si="40"/>
        <v/>
      </c>
      <c r="X152" s="29" t="str">
        <f t="shared" si="40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39"/>
        <v/>
      </c>
      <c r="M153" s="19" t="str">
        <f t="shared" si="41"/>
        <v/>
      </c>
      <c r="N153" s="19" t="str">
        <f t="shared" si="42"/>
        <v/>
      </c>
      <c r="O153" s="19" t="str">
        <f t="shared" si="34"/>
        <v/>
      </c>
      <c r="P153" s="19" t="str">
        <f t="shared" si="35"/>
        <v/>
      </c>
      <c r="Q153" s="19" t="str">
        <f t="shared" si="36"/>
        <v/>
      </c>
      <c r="R153" s="19" t="str">
        <f t="shared" si="43"/>
        <v/>
      </c>
      <c r="S153" s="27" t="str">
        <f t="shared" si="40"/>
        <v/>
      </c>
      <c r="T153" s="28" t="str">
        <f t="shared" si="40"/>
        <v/>
      </c>
      <c r="U153" s="28" t="str">
        <f t="shared" si="40"/>
        <v/>
      </c>
      <c r="V153" s="28" t="str">
        <f t="shared" si="40"/>
        <v/>
      </c>
      <c r="W153" s="28" t="str">
        <f t="shared" si="40"/>
        <v/>
      </c>
      <c r="X153" s="29" t="str">
        <f t="shared" si="40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 alignWithMargins="0">
    <oddFooter>&amp;L&amp;D&amp;C&amp;A&amp;R&amp;P de &amp;N</oddFooter>
  </headerFooter>
  <rowBreaks count="1" manualBreakCount="1">
    <brk id="59" min="1" max="2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59999389629810485"/>
    <pageSetUpPr fitToPage="1"/>
  </sheetPr>
  <dimension ref="A1:AI153"/>
  <sheetViews>
    <sheetView showGridLines="0" zoomScale="75" zoomScaleNormal="75" zoomScaleSheetLayoutView="40" zoomScalePageLayoutView="40" workbookViewId="0">
      <pane ySplit="8" topLeftCell="A39" activePane="bottomLeft" state="frozen"/>
      <selection activeCell="B36" sqref="B36"/>
      <selection pane="bottomLeft" activeCell="B36" sqref="B36"/>
    </sheetView>
  </sheetViews>
  <sheetFormatPr baseColWidth="10" defaultColWidth="11.42578125" defaultRowHeight="14.25" x14ac:dyDescent="0.2"/>
  <cols>
    <col min="1" max="1" width="6" style="1" customWidth="1"/>
    <col min="2" max="2" width="14.85546875" style="1" customWidth="1"/>
    <col min="3" max="8" width="11.5703125" style="1" customWidth="1"/>
    <col min="9" max="9" width="15" style="1" bestFit="1" customWidth="1"/>
    <col min="10" max="17" width="11.5703125" style="1" customWidth="1"/>
    <col min="18" max="18" width="15" style="1" bestFit="1" customWidth="1"/>
    <col min="19" max="24" width="11.5703125" style="1" customWidth="1"/>
    <col min="25" max="25" width="55" style="1" customWidth="1"/>
    <col min="26" max="26" width="5.28515625" style="1" customWidth="1"/>
    <col min="27" max="16384" width="11.42578125" style="1"/>
  </cols>
  <sheetData>
    <row r="1" spans="1:35" ht="28.5" customHeight="1" thickBot="1" x14ac:dyDescent="0.25">
      <c r="A1" s="134"/>
      <c r="B1" s="134"/>
      <c r="C1" s="134"/>
      <c r="D1" s="134"/>
      <c r="E1" s="134"/>
      <c r="F1" s="134"/>
      <c r="G1" s="134"/>
      <c r="H1" s="134"/>
      <c r="I1" s="134"/>
      <c r="J1" s="134"/>
    </row>
    <row r="2" spans="1:35" ht="37.5" customHeight="1" x14ac:dyDescent="0.4">
      <c r="B2" s="2"/>
      <c r="C2" s="3"/>
      <c r="D2" s="3"/>
      <c r="E2" s="150" t="s">
        <v>0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6"/>
      <c r="R2" s="153" t="s">
        <v>1</v>
      </c>
      <c r="S2" s="154"/>
      <c r="T2" s="154"/>
      <c r="U2" s="154"/>
      <c r="V2" s="154"/>
      <c r="W2" s="154"/>
      <c r="X2" s="155"/>
      <c r="Y2" s="159" t="str">
        <f ca="1">MID(CELL("nombrearchivo",A1),FIND("]",CELL("nombrearchivo",A1))+1,32)</f>
        <v>TZ-130</v>
      </c>
    </row>
    <row r="3" spans="1:35" ht="20.100000000000001" customHeight="1" x14ac:dyDescent="0.4">
      <c r="B3" s="4"/>
      <c r="C3" s="5"/>
      <c r="D3" s="5"/>
      <c r="E3" s="161" t="s">
        <v>2</v>
      </c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3"/>
      <c r="R3" s="156"/>
      <c r="S3" s="157"/>
      <c r="T3" s="157"/>
      <c r="U3" s="157"/>
      <c r="V3" s="157"/>
      <c r="W3" s="157"/>
      <c r="X3" s="158"/>
      <c r="Y3" s="160"/>
    </row>
    <row r="4" spans="1:35" ht="24" customHeight="1" thickBot="1" x14ac:dyDescent="0.45">
      <c r="B4" s="6"/>
      <c r="C4" s="7"/>
      <c r="D4" s="7"/>
      <c r="E4" s="181" t="s">
        <v>3</v>
      </c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3"/>
      <c r="R4" s="177"/>
      <c r="S4" s="178"/>
      <c r="T4" s="178"/>
      <c r="U4" s="178"/>
      <c r="V4" s="178"/>
      <c r="W4" s="178"/>
      <c r="X4" s="179"/>
      <c r="Y4" s="180"/>
    </row>
    <row r="5" spans="1:35" ht="27" customHeight="1" x14ac:dyDescent="0.2">
      <c r="B5" s="131"/>
      <c r="C5" s="132"/>
      <c r="D5" s="184"/>
      <c r="E5" s="135" t="s">
        <v>4</v>
      </c>
      <c r="F5" s="136"/>
      <c r="G5" s="136"/>
      <c r="H5" s="136"/>
      <c r="I5" s="136"/>
      <c r="J5" s="171" t="s">
        <v>65</v>
      </c>
      <c r="K5" s="137"/>
      <c r="L5" s="137"/>
      <c r="M5" s="137"/>
      <c r="N5" s="137"/>
      <c r="O5" s="137"/>
      <c r="P5" s="137"/>
      <c r="Q5" s="137"/>
      <c r="R5" s="136" t="s">
        <v>6</v>
      </c>
      <c r="S5" s="136"/>
      <c r="T5" s="136"/>
      <c r="U5" s="136"/>
      <c r="V5" s="136"/>
      <c r="W5" s="138">
        <v>42535</v>
      </c>
      <c r="X5" s="138"/>
      <c r="Y5" s="139"/>
    </row>
    <row r="6" spans="1:35" ht="27" customHeight="1" x14ac:dyDescent="0.2">
      <c r="B6" s="133"/>
      <c r="C6" s="134"/>
      <c r="D6" s="185"/>
      <c r="E6" s="100" t="s">
        <v>7</v>
      </c>
      <c r="F6" s="101"/>
      <c r="G6" s="101"/>
      <c r="H6" s="101"/>
      <c r="I6" s="101"/>
      <c r="J6" s="172"/>
      <c r="K6" s="102"/>
      <c r="L6" s="102"/>
      <c r="M6" s="102"/>
      <c r="N6" s="102"/>
      <c r="O6" s="102"/>
      <c r="P6" s="102"/>
      <c r="Q6" s="102"/>
      <c r="R6" s="101" t="s">
        <v>8</v>
      </c>
      <c r="S6" s="101"/>
      <c r="T6" s="101"/>
      <c r="U6" s="101"/>
      <c r="V6" s="101"/>
      <c r="W6" s="148">
        <v>42537</v>
      </c>
      <c r="X6" s="148"/>
      <c r="Y6" s="149"/>
    </row>
    <row r="7" spans="1:35" ht="27" customHeight="1" x14ac:dyDescent="0.2">
      <c r="B7" s="133"/>
      <c r="C7" s="134"/>
      <c r="D7" s="185"/>
      <c r="E7" s="100" t="s">
        <v>9</v>
      </c>
      <c r="F7" s="101"/>
      <c r="G7" s="101"/>
      <c r="H7" s="101"/>
      <c r="I7" s="101"/>
      <c r="J7" s="141"/>
      <c r="K7" s="141"/>
      <c r="L7" s="141"/>
      <c r="M7" s="141"/>
      <c r="N7" s="141"/>
      <c r="O7" s="141"/>
      <c r="P7" s="141"/>
      <c r="Q7" s="141"/>
      <c r="R7" s="101" t="s">
        <v>10</v>
      </c>
      <c r="S7" s="101"/>
      <c r="T7" s="101"/>
      <c r="U7" s="101"/>
      <c r="V7" s="101"/>
      <c r="W7" s="164">
        <f>J8-258</f>
        <v>2363</v>
      </c>
      <c r="X7" s="141"/>
      <c r="Y7" s="142"/>
    </row>
    <row r="8" spans="1:35" ht="27" customHeight="1" thickBot="1" x14ac:dyDescent="0.25">
      <c r="B8" s="186"/>
      <c r="C8" s="187"/>
      <c r="D8" s="188"/>
      <c r="E8" s="143" t="s">
        <v>11</v>
      </c>
      <c r="F8" s="97"/>
      <c r="G8" s="97"/>
      <c r="H8" s="97"/>
      <c r="I8" s="97"/>
      <c r="J8" s="144">
        <v>2621</v>
      </c>
      <c r="K8" s="144"/>
      <c r="L8" s="144"/>
      <c r="M8" s="144"/>
      <c r="N8" s="144"/>
      <c r="O8" s="144"/>
      <c r="P8" s="144"/>
      <c r="Q8" s="144"/>
      <c r="R8" s="97" t="s">
        <v>12</v>
      </c>
      <c r="S8" s="97"/>
      <c r="T8" s="97"/>
      <c r="U8" s="97"/>
      <c r="V8" s="97"/>
      <c r="W8" s="98" t="s">
        <v>66</v>
      </c>
      <c r="X8" s="98"/>
      <c r="Y8" s="99"/>
    </row>
    <row r="9" spans="1:35" ht="21.75" customHeight="1" x14ac:dyDescent="0.25">
      <c r="B9" s="145" t="s">
        <v>14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 t="s">
        <v>15</v>
      </c>
      <c r="Q9" s="146"/>
      <c r="R9" s="146"/>
      <c r="S9" s="146"/>
      <c r="T9" s="146"/>
      <c r="U9" s="146"/>
      <c r="V9" s="146"/>
      <c r="W9" s="146"/>
      <c r="X9" s="146"/>
      <c r="Y9" s="147"/>
      <c r="AA9" s="128" t="s">
        <v>16</v>
      </c>
      <c r="AB9" s="129"/>
      <c r="AC9" s="129"/>
      <c r="AD9" s="129"/>
      <c r="AE9" s="129"/>
      <c r="AF9" s="129"/>
      <c r="AG9" s="129"/>
      <c r="AH9" s="129"/>
      <c r="AI9" s="130"/>
    </row>
    <row r="10" spans="1:35" ht="201" customHeight="1" x14ac:dyDescent="0.2">
      <c r="B10" s="114"/>
      <c r="C10" s="115"/>
      <c r="D10" s="115"/>
      <c r="E10" s="115"/>
      <c r="F10" s="115"/>
      <c r="G10" s="115"/>
      <c r="H10" s="115"/>
      <c r="I10" s="115"/>
      <c r="J10" s="116"/>
      <c r="K10" s="114"/>
      <c r="L10" s="115"/>
      <c r="M10" s="115"/>
      <c r="N10" s="115"/>
      <c r="O10" s="115"/>
      <c r="P10" s="115"/>
      <c r="Q10" s="115"/>
      <c r="R10" s="115"/>
      <c r="S10" s="116"/>
      <c r="T10" s="114"/>
      <c r="U10" s="115"/>
      <c r="V10" s="115"/>
      <c r="W10" s="115"/>
      <c r="X10" s="115"/>
      <c r="Y10" s="116"/>
    </row>
    <row r="11" spans="1:35" ht="21.75" customHeight="1" x14ac:dyDescent="0.2">
      <c r="B11" s="114"/>
      <c r="C11" s="115"/>
      <c r="D11" s="115"/>
      <c r="E11" s="115"/>
      <c r="F11" s="115"/>
      <c r="G11" s="115"/>
      <c r="H11" s="115"/>
      <c r="I11" s="115"/>
      <c r="J11" s="116"/>
      <c r="K11" s="114"/>
      <c r="L11" s="115"/>
      <c r="M11" s="115"/>
      <c r="N11" s="115"/>
      <c r="O11" s="115"/>
      <c r="P11" s="115"/>
      <c r="Q11" s="115"/>
      <c r="R11" s="115"/>
      <c r="S11" s="116"/>
      <c r="T11" s="114"/>
      <c r="U11" s="115"/>
      <c r="V11" s="115"/>
      <c r="W11" s="115"/>
      <c r="X11" s="115"/>
      <c r="Y11" s="116"/>
    </row>
    <row r="12" spans="1:35" ht="201.75" customHeight="1" thickBot="1" x14ac:dyDescent="0.25">
      <c r="B12" s="117"/>
      <c r="C12" s="118"/>
      <c r="D12" s="118"/>
      <c r="E12" s="118"/>
      <c r="F12" s="118"/>
      <c r="G12" s="118"/>
      <c r="H12" s="118"/>
      <c r="I12" s="118"/>
      <c r="J12" s="119"/>
      <c r="K12" s="117"/>
      <c r="L12" s="118"/>
      <c r="M12" s="118"/>
      <c r="N12" s="118"/>
      <c r="O12" s="118"/>
      <c r="P12" s="118"/>
      <c r="Q12" s="118"/>
      <c r="R12" s="118"/>
      <c r="S12" s="119"/>
      <c r="T12" s="117"/>
      <c r="U12" s="118"/>
      <c r="V12" s="118"/>
      <c r="W12" s="118"/>
      <c r="X12" s="118"/>
      <c r="Y12" s="119"/>
    </row>
    <row r="13" spans="1:35" ht="15" customHeight="1" x14ac:dyDescent="0.2">
      <c r="B13" s="95" t="s">
        <v>17</v>
      </c>
      <c r="C13" s="105" t="s">
        <v>18</v>
      </c>
      <c r="D13" s="106"/>
      <c r="E13" s="106"/>
      <c r="F13" s="106"/>
      <c r="G13" s="106"/>
      <c r="H13" s="106"/>
      <c r="I13" s="106"/>
      <c r="J13" s="106"/>
      <c r="K13" s="107"/>
      <c r="L13" s="108" t="s">
        <v>19</v>
      </c>
      <c r="M13" s="109"/>
      <c r="N13" s="109"/>
      <c r="O13" s="109"/>
      <c r="P13" s="109"/>
      <c r="Q13" s="109"/>
      <c r="R13" s="110"/>
      <c r="S13" s="108" t="s">
        <v>20</v>
      </c>
      <c r="T13" s="109"/>
      <c r="U13" s="109"/>
      <c r="V13" s="109"/>
      <c r="W13" s="109"/>
      <c r="X13" s="110"/>
      <c r="Y13" s="120" t="s">
        <v>21</v>
      </c>
    </row>
    <row r="14" spans="1:35" ht="15" customHeight="1" x14ac:dyDescent="0.2">
      <c r="B14" s="96"/>
      <c r="C14" s="123" t="s">
        <v>22</v>
      </c>
      <c r="D14" s="124"/>
      <c r="E14" s="125"/>
      <c r="F14" s="103" t="s">
        <v>23</v>
      </c>
      <c r="G14" s="124"/>
      <c r="H14" s="125"/>
      <c r="I14" s="126" t="s">
        <v>24</v>
      </c>
      <c r="J14" s="103" t="s">
        <v>25</v>
      </c>
      <c r="K14" s="104"/>
      <c r="L14" s="111"/>
      <c r="M14" s="112"/>
      <c r="N14" s="112"/>
      <c r="O14" s="112"/>
      <c r="P14" s="112"/>
      <c r="Q14" s="112"/>
      <c r="R14" s="113"/>
      <c r="S14" s="111"/>
      <c r="T14" s="112"/>
      <c r="U14" s="112"/>
      <c r="V14" s="112"/>
      <c r="W14" s="112"/>
      <c r="X14" s="113"/>
      <c r="Y14" s="121"/>
    </row>
    <row r="15" spans="1:35" ht="15" customHeight="1" thickBot="1" x14ac:dyDescent="0.25">
      <c r="B15" s="173"/>
      <c r="C15" s="8" t="s">
        <v>26</v>
      </c>
      <c r="D15" s="9" t="s">
        <v>27</v>
      </c>
      <c r="E15" s="9" t="s">
        <v>28</v>
      </c>
      <c r="F15" s="9" t="s">
        <v>29</v>
      </c>
      <c r="G15" s="9" t="s">
        <v>30</v>
      </c>
      <c r="H15" s="9" t="s">
        <v>31</v>
      </c>
      <c r="I15" s="174"/>
      <c r="J15" s="9" t="s">
        <v>32</v>
      </c>
      <c r="K15" s="11" t="s">
        <v>33</v>
      </c>
      <c r="L15" s="12" t="s">
        <v>26</v>
      </c>
      <c r="M15" s="10" t="s">
        <v>27</v>
      </c>
      <c r="N15" s="10" t="s">
        <v>28</v>
      </c>
      <c r="O15" s="10" t="s">
        <v>29</v>
      </c>
      <c r="P15" s="10" t="s">
        <v>30</v>
      </c>
      <c r="Q15" s="10" t="s">
        <v>31</v>
      </c>
      <c r="R15" s="13" t="s">
        <v>34</v>
      </c>
      <c r="S15" s="12" t="s">
        <v>26</v>
      </c>
      <c r="T15" s="10" t="s">
        <v>27</v>
      </c>
      <c r="U15" s="10" t="s">
        <v>28</v>
      </c>
      <c r="V15" s="10" t="s">
        <v>29</v>
      </c>
      <c r="W15" s="10" t="s">
        <v>30</v>
      </c>
      <c r="X15" s="10" t="s">
        <v>31</v>
      </c>
      <c r="Y15" s="122"/>
    </row>
    <row r="16" spans="1:35" ht="15" customHeight="1" x14ac:dyDescent="0.2">
      <c r="B16" s="31">
        <v>42538</v>
      </c>
      <c r="C16" s="25">
        <v>12.673</v>
      </c>
      <c r="D16" s="26">
        <v>7.7750000000000004</v>
      </c>
      <c r="E16" s="26">
        <v>7.6580000000000004</v>
      </c>
      <c r="F16" s="16"/>
      <c r="G16" s="16"/>
      <c r="H16" s="16"/>
      <c r="I16" s="17">
        <v>114.303</v>
      </c>
      <c r="J16" s="58">
        <v>2631</v>
      </c>
      <c r="K16" s="18">
        <f>IF(ISBLANK(J16),"",(J16-$J$8))</f>
        <v>10</v>
      </c>
      <c r="L16" s="19">
        <f t="shared" ref="L16:R31" si="0">IF(ISBLANK(C16),"",(C16-C$16)*1000)</f>
        <v>0</v>
      </c>
      <c r="M16" s="19">
        <f t="shared" si="0"/>
        <v>0</v>
      </c>
      <c r="N16" s="19">
        <f t="shared" si="0"/>
        <v>0</v>
      </c>
      <c r="O16" s="20"/>
      <c r="P16" s="20"/>
      <c r="Q16" s="20"/>
      <c r="R16" s="21">
        <f t="shared" ref="R16" si="1">IF(ISBLANK(I16),"",(I16-I$16)*1000)</f>
        <v>0</v>
      </c>
      <c r="S16" s="22"/>
      <c r="T16" s="22"/>
      <c r="U16" s="22"/>
      <c r="V16" s="22"/>
      <c r="W16" s="22"/>
      <c r="X16" s="23"/>
      <c r="Y16" s="24"/>
    </row>
    <row r="17" spans="2:25" ht="15" customHeight="1" x14ac:dyDescent="0.2">
      <c r="B17" s="31">
        <v>42541</v>
      </c>
      <c r="C17" s="25">
        <v>12.669</v>
      </c>
      <c r="D17" s="26">
        <v>7.7759999999999998</v>
      </c>
      <c r="E17" s="26">
        <v>7.6509999999999998</v>
      </c>
      <c r="F17" s="16"/>
      <c r="G17" s="16"/>
      <c r="H17" s="16"/>
      <c r="I17" s="17">
        <v>114.3</v>
      </c>
      <c r="J17" s="58">
        <v>2636</v>
      </c>
      <c r="K17" s="18">
        <f>IF(ISBLANK(J17),"",(J17-$J$8))</f>
        <v>15</v>
      </c>
      <c r="L17" s="19">
        <f t="shared" si="0"/>
        <v>-3.9999999999995595</v>
      </c>
      <c r="M17" s="19">
        <f>IF(ISBLANK(D17),"",(D17-D$16)*1000)</f>
        <v>0.99999999999944578</v>
      </c>
      <c r="N17" s="19">
        <f>IF(ISBLANK(E17),"",(E17-E$16)*1000)</f>
        <v>-7.0000000000005613</v>
      </c>
      <c r="O17" s="19" t="str">
        <f t="shared" si="0"/>
        <v/>
      </c>
      <c r="P17" s="19" t="str">
        <f t="shared" si="0"/>
        <v/>
      </c>
      <c r="Q17" s="19" t="str">
        <f t="shared" si="0"/>
        <v/>
      </c>
      <c r="R17" s="19">
        <f>IF(ISBLANK(I17),"",(I17-I$16)*1000)</f>
        <v>-3.0000000000001137</v>
      </c>
      <c r="S17" s="27">
        <f t="shared" ref="S17:X32" si="2">IF(C17="","",((C17-C16)*1000)/($B17-$B16))</f>
        <v>-1.3333333333331865</v>
      </c>
      <c r="T17" s="28"/>
      <c r="U17" s="28"/>
      <c r="V17" s="28" t="str">
        <f t="shared" si="2"/>
        <v/>
      </c>
      <c r="W17" s="28" t="str">
        <f t="shared" si="2"/>
        <v/>
      </c>
      <c r="X17" s="29" t="str">
        <f t="shared" si="2"/>
        <v/>
      </c>
      <c r="Y17" s="30"/>
    </row>
    <row r="18" spans="2:25" ht="15" customHeight="1" x14ac:dyDescent="0.2">
      <c r="B18" s="31">
        <v>42542</v>
      </c>
      <c r="C18" s="25">
        <v>12.669</v>
      </c>
      <c r="D18" s="26">
        <v>7.774</v>
      </c>
      <c r="E18" s="26">
        <v>7.6529999999999996</v>
      </c>
      <c r="F18" s="16"/>
      <c r="G18" s="16"/>
      <c r="H18" s="16"/>
      <c r="I18" s="17">
        <v>114.301</v>
      </c>
      <c r="J18" s="58">
        <v>2642</v>
      </c>
      <c r="K18" s="18">
        <f>IF(ISBLANK(J18),"",(J18-$J$8))</f>
        <v>21</v>
      </c>
      <c r="L18" s="19">
        <f t="shared" si="0"/>
        <v>-3.9999999999995595</v>
      </c>
      <c r="M18" s="19">
        <f t="shared" si="0"/>
        <v>-1.000000000000334</v>
      </c>
      <c r="N18" s="19">
        <f t="shared" si="0"/>
        <v>-5.0000000000007816</v>
      </c>
      <c r="O18" s="19" t="str">
        <f t="shared" si="0"/>
        <v/>
      </c>
      <c r="P18" s="19" t="str">
        <f t="shared" si="0"/>
        <v/>
      </c>
      <c r="Q18" s="19" t="str">
        <f t="shared" si="0"/>
        <v/>
      </c>
      <c r="R18" s="19">
        <f t="shared" si="0"/>
        <v>-1.9999999999953388</v>
      </c>
      <c r="S18" s="27">
        <f t="shared" si="2"/>
        <v>0</v>
      </c>
      <c r="T18" s="28">
        <f t="shared" si="2"/>
        <v>-1.9999999999997797</v>
      </c>
      <c r="U18" s="28">
        <f t="shared" si="2"/>
        <v>1.9999999999997797</v>
      </c>
      <c r="V18" s="28" t="str">
        <f t="shared" si="2"/>
        <v/>
      </c>
      <c r="W18" s="28" t="str">
        <f t="shared" si="2"/>
        <v/>
      </c>
      <c r="X18" s="29" t="str">
        <f t="shared" si="2"/>
        <v/>
      </c>
      <c r="Y18" s="24"/>
    </row>
    <row r="19" spans="2:25" ht="15" customHeight="1" x14ac:dyDescent="0.2">
      <c r="B19" s="31">
        <v>42543</v>
      </c>
      <c r="C19" s="25">
        <v>12.669</v>
      </c>
      <c r="D19" s="26">
        <v>7.774</v>
      </c>
      <c r="E19" s="26">
        <v>7.6529999999999996</v>
      </c>
      <c r="F19" s="16"/>
      <c r="G19" s="16"/>
      <c r="H19" s="16"/>
      <c r="I19" s="17">
        <v>114.301</v>
      </c>
      <c r="J19" s="58">
        <v>2645</v>
      </c>
      <c r="K19" s="18">
        <f t="shared" ref="K19:K32" si="3">IF(ISBLANK(J19),"",(J19-$J$8))</f>
        <v>24</v>
      </c>
      <c r="L19" s="19">
        <f t="shared" si="0"/>
        <v>-3.9999999999995595</v>
      </c>
      <c r="M19" s="19">
        <f t="shared" si="0"/>
        <v>-1.000000000000334</v>
      </c>
      <c r="N19" s="19">
        <f t="shared" si="0"/>
        <v>-5.0000000000007816</v>
      </c>
      <c r="O19" s="19" t="str">
        <f t="shared" si="0"/>
        <v/>
      </c>
      <c r="P19" s="19" t="str">
        <f t="shared" si="0"/>
        <v/>
      </c>
      <c r="Q19" s="19" t="str">
        <f t="shared" si="0"/>
        <v/>
      </c>
      <c r="R19" s="19">
        <f t="shared" si="0"/>
        <v>-1.9999999999953388</v>
      </c>
      <c r="S19" s="27">
        <f t="shared" si="2"/>
        <v>0</v>
      </c>
      <c r="T19" s="28">
        <f t="shared" si="2"/>
        <v>0</v>
      </c>
      <c r="U19" s="28">
        <f t="shared" si="2"/>
        <v>0</v>
      </c>
      <c r="V19" s="28" t="str">
        <f t="shared" si="2"/>
        <v/>
      </c>
      <c r="W19" s="28" t="str">
        <f t="shared" si="2"/>
        <v/>
      </c>
      <c r="X19" s="29" t="str">
        <f t="shared" si="2"/>
        <v/>
      </c>
      <c r="Y19" s="24"/>
    </row>
    <row r="20" spans="2:25" ht="15" customHeight="1" x14ac:dyDescent="0.2">
      <c r="B20" s="31">
        <v>42544</v>
      </c>
      <c r="C20" s="25">
        <v>12.67</v>
      </c>
      <c r="D20" s="26">
        <v>7.7750000000000004</v>
      </c>
      <c r="E20" s="26">
        <v>7.6520000000000001</v>
      </c>
      <c r="F20" s="16"/>
      <c r="G20" s="16"/>
      <c r="H20" s="16"/>
      <c r="I20" s="17">
        <v>114.3</v>
      </c>
      <c r="J20" s="58">
        <v>2650</v>
      </c>
      <c r="K20" s="18">
        <f t="shared" si="3"/>
        <v>29</v>
      </c>
      <c r="L20" s="19">
        <f t="shared" si="0"/>
        <v>-3.0000000000001137</v>
      </c>
      <c r="M20" s="19">
        <f t="shared" si="0"/>
        <v>0</v>
      </c>
      <c r="N20" s="19">
        <f t="shared" si="0"/>
        <v>-6.0000000000002274</v>
      </c>
      <c r="O20" s="19" t="str">
        <f t="shared" si="0"/>
        <v/>
      </c>
      <c r="P20" s="19" t="str">
        <f t="shared" si="0"/>
        <v/>
      </c>
      <c r="Q20" s="19" t="str">
        <f t="shared" si="0"/>
        <v/>
      </c>
      <c r="R20" s="19">
        <f t="shared" si="0"/>
        <v>-3.0000000000001137</v>
      </c>
      <c r="S20" s="27">
        <f t="shared" si="2"/>
        <v>0.99999999999944578</v>
      </c>
      <c r="T20" s="28">
        <f t="shared" si="2"/>
        <v>1.000000000000334</v>
      </c>
      <c r="U20" s="28">
        <f t="shared" si="2"/>
        <v>-0.99999999999944578</v>
      </c>
      <c r="V20" s="28" t="str">
        <f t="shared" si="2"/>
        <v/>
      </c>
      <c r="W20" s="28" t="str">
        <f t="shared" si="2"/>
        <v/>
      </c>
      <c r="X20" s="29" t="str">
        <f t="shared" si="2"/>
        <v/>
      </c>
      <c r="Y20" s="24"/>
    </row>
    <row r="21" spans="2:25" ht="15" customHeight="1" x14ac:dyDescent="0.2">
      <c r="B21" s="31">
        <v>42545</v>
      </c>
      <c r="C21" s="25">
        <v>12.667999999999999</v>
      </c>
      <c r="D21" s="26">
        <v>7.7759999999999998</v>
      </c>
      <c r="E21" s="26">
        <v>7.65</v>
      </c>
      <c r="F21" s="16"/>
      <c r="G21" s="16"/>
      <c r="H21" s="16"/>
      <c r="I21" s="17">
        <v>114.29900000000001</v>
      </c>
      <c r="J21" s="58">
        <v>2656</v>
      </c>
      <c r="K21" s="18">
        <f t="shared" si="3"/>
        <v>35</v>
      </c>
      <c r="L21" s="19">
        <f t="shared" si="0"/>
        <v>-5.0000000000007816</v>
      </c>
      <c r="M21" s="19">
        <f t="shared" si="0"/>
        <v>0.99999999999944578</v>
      </c>
      <c r="N21" s="19">
        <f t="shared" si="0"/>
        <v>-8.0000000000000071</v>
      </c>
      <c r="O21" s="19" t="str">
        <f t="shared" si="0"/>
        <v/>
      </c>
      <c r="P21" s="19" t="str">
        <f t="shared" si="0"/>
        <v/>
      </c>
      <c r="Q21" s="19" t="str">
        <f t="shared" si="0"/>
        <v/>
      </c>
      <c r="R21" s="19">
        <f t="shared" si="0"/>
        <v>-3.9999999999906777</v>
      </c>
      <c r="S21" s="27">
        <f t="shared" si="2"/>
        <v>-2.0000000000006679</v>
      </c>
      <c r="T21" s="28">
        <f t="shared" si="2"/>
        <v>0.99999999999944578</v>
      </c>
      <c r="U21" s="28">
        <f t="shared" si="2"/>
        <v>-1.9999999999997797</v>
      </c>
      <c r="V21" s="28" t="str">
        <f t="shared" si="2"/>
        <v/>
      </c>
      <c r="W21" s="28" t="str">
        <f t="shared" si="2"/>
        <v/>
      </c>
      <c r="X21" s="29" t="str">
        <f t="shared" si="2"/>
        <v/>
      </c>
      <c r="Y21" s="24"/>
    </row>
    <row r="22" spans="2:25" ht="15" customHeight="1" x14ac:dyDescent="0.2">
      <c r="B22" s="31">
        <v>42548</v>
      </c>
      <c r="C22" s="25">
        <v>12.67</v>
      </c>
      <c r="D22" s="26">
        <v>7.7750000000000004</v>
      </c>
      <c r="E22" s="26">
        <v>7.6520000000000001</v>
      </c>
      <c r="F22" s="16"/>
      <c r="G22" s="16"/>
      <c r="H22" s="16"/>
      <c r="I22" s="17">
        <v>114.29900000000001</v>
      </c>
      <c r="J22" s="58">
        <v>2661</v>
      </c>
      <c r="K22" s="18">
        <f t="shared" si="3"/>
        <v>40</v>
      </c>
      <c r="L22" s="19">
        <f t="shared" si="0"/>
        <v>-3.0000000000001137</v>
      </c>
      <c r="M22" s="19">
        <f t="shared" si="0"/>
        <v>0</v>
      </c>
      <c r="N22" s="19">
        <f t="shared" si="0"/>
        <v>-6.0000000000002274</v>
      </c>
      <c r="O22" s="19" t="str">
        <f t="shared" si="0"/>
        <v/>
      </c>
      <c r="P22" s="19" t="str">
        <f t="shared" si="0"/>
        <v/>
      </c>
      <c r="Q22" s="19" t="str">
        <f t="shared" si="0"/>
        <v/>
      </c>
      <c r="R22" s="19">
        <f t="shared" si="0"/>
        <v>-3.9999999999906777</v>
      </c>
      <c r="S22" s="27">
        <f t="shared" si="2"/>
        <v>0.66666666666688934</v>
      </c>
      <c r="T22" s="28">
        <f t="shared" si="2"/>
        <v>-0.33333333333314857</v>
      </c>
      <c r="U22" s="28">
        <f t="shared" si="2"/>
        <v>0.66666666666659324</v>
      </c>
      <c r="V22" s="28" t="str">
        <f t="shared" si="2"/>
        <v/>
      </c>
      <c r="W22" s="28" t="str">
        <f t="shared" si="2"/>
        <v/>
      </c>
      <c r="X22" s="29" t="str">
        <f t="shared" si="2"/>
        <v/>
      </c>
      <c r="Y22" s="24"/>
    </row>
    <row r="23" spans="2:25" ht="15" customHeight="1" x14ac:dyDescent="0.2">
      <c r="B23" s="31">
        <v>42549</v>
      </c>
      <c r="C23" s="25">
        <v>12.670999999999999</v>
      </c>
      <c r="D23" s="26">
        <v>7.7759999999999998</v>
      </c>
      <c r="E23" s="26">
        <v>7.6509999999999998</v>
      </c>
      <c r="F23" s="16"/>
      <c r="G23" s="16"/>
      <c r="H23" s="16"/>
      <c r="I23" s="17">
        <v>114.298</v>
      </c>
      <c r="J23" s="58">
        <v>2665</v>
      </c>
      <c r="K23" s="18">
        <f t="shared" si="3"/>
        <v>44</v>
      </c>
      <c r="L23" s="19">
        <f t="shared" si="0"/>
        <v>-2.0000000000006679</v>
      </c>
      <c r="M23" s="19">
        <f t="shared" si="0"/>
        <v>0.99999999999944578</v>
      </c>
      <c r="N23" s="19">
        <f t="shared" si="0"/>
        <v>-7.0000000000005613</v>
      </c>
      <c r="O23" s="19" t="str">
        <f t="shared" si="0"/>
        <v/>
      </c>
      <c r="P23" s="19" t="str">
        <f t="shared" si="0"/>
        <v/>
      </c>
      <c r="Q23" s="19" t="str">
        <f t="shared" si="0"/>
        <v/>
      </c>
      <c r="R23" s="19">
        <f t="shared" si="0"/>
        <v>-4.9999999999954525</v>
      </c>
      <c r="S23" s="27">
        <f t="shared" si="2"/>
        <v>0.99999999999944578</v>
      </c>
      <c r="T23" s="28">
        <f t="shared" si="2"/>
        <v>0.99999999999944578</v>
      </c>
      <c r="U23" s="28">
        <f t="shared" si="2"/>
        <v>-1.000000000000334</v>
      </c>
      <c r="V23" s="28" t="str">
        <f t="shared" si="2"/>
        <v/>
      </c>
      <c r="W23" s="28" t="str">
        <f t="shared" si="2"/>
        <v/>
      </c>
      <c r="X23" s="29" t="str">
        <f t="shared" si="2"/>
        <v/>
      </c>
      <c r="Y23" s="24"/>
    </row>
    <row r="24" spans="2:25" ht="15" customHeight="1" x14ac:dyDescent="0.2">
      <c r="B24" s="31">
        <v>42550</v>
      </c>
      <c r="C24" s="25">
        <v>12.670999999999999</v>
      </c>
      <c r="D24" s="26">
        <v>7.7750000000000004</v>
      </c>
      <c r="E24" s="26">
        <v>7.6520000000000001</v>
      </c>
      <c r="F24" s="16"/>
      <c r="G24" s="16"/>
      <c r="H24" s="16"/>
      <c r="I24" s="17">
        <v>114.298</v>
      </c>
      <c r="J24" s="58">
        <v>2673</v>
      </c>
      <c r="K24" s="18">
        <f t="shared" si="3"/>
        <v>52</v>
      </c>
      <c r="L24" s="19">
        <f t="shared" si="0"/>
        <v>-2.0000000000006679</v>
      </c>
      <c r="M24" s="19">
        <f t="shared" si="0"/>
        <v>0</v>
      </c>
      <c r="N24" s="19">
        <f t="shared" si="0"/>
        <v>-6.0000000000002274</v>
      </c>
      <c r="O24" s="19" t="str">
        <f t="shared" si="0"/>
        <v/>
      </c>
      <c r="P24" s="19" t="str">
        <f t="shared" si="0"/>
        <v/>
      </c>
      <c r="Q24" s="19" t="str">
        <f t="shared" si="0"/>
        <v/>
      </c>
      <c r="R24" s="19">
        <f t="shared" si="0"/>
        <v>-4.9999999999954525</v>
      </c>
      <c r="S24" s="27">
        <f t="shared" si="2"/>
        <v>0</v>
      </c>
      <c r="T24" s="28">
        <f t="shared" si="2"/>
        <v>-0.99999999999944578</v>
      </c>
      <c r="U24" s="28">
        <f t="shared" si="2"/>
        <v>1.000000000000334</v>
      </c>
      <c r="V24" s="28" t="str">
        <f t="shared" si="2"/>
        <v/>
      </c>
      <c r="W24" s="28" t="str">
        <f t="shared" si="2"/>
        <v/>
      </c>
      <c r="X24" s="29" t="str">
        <f t="shared" si="2"/>
        <v/>
      </c>
      <c r="Y24" s="24"/>
    </row>
    <row r="25" spans="2:25" ht="15" customHeight="1" x14ac:dyDescent="0.2">
      <c r="B25" s="31">
        <v>42551</v>
      </c>
      <c r="C25" s="25">
        <v>12.670999999999999</v>
      </c>
      <c r="D25" s="26">
        <v>7.774</v>
      </c>
      <c r="E25" s="26">
        <v>7.6520000000000001</v>
      </c>
      <c r="F25" s="16"/>
      <c r="G25" s="16"/>
      <c r="H25" s="16"/>
      <c r="I25" s="17">
        <v>114.298</v>
      </c>
      <c r="J25" s="58">
        <v>2678</v>
      </c>
      <c r="K25" s="18">
        <f t="shared" si="3"/>
        <v>57</v>
      </c>
      <c r="L25" s="19">
        <f t="shared" si="0"/>
        <v>-2.0000000000006679</v>
      </c>
      <c r="M25" s="19">
        <f t="shared" si="0"/>
        <v>-1.000000000000334</v>
      </c>
      <c r="N25" s="19">
        <f t="shared" si="0"/>
        <v>-6.0000000000002274</v>
      </c>
      <c r="O25" s="19" t="str">
        <f t="shared" si="0"/>
        <v/>
      </c>
      <c r="P25" s="19" t="str">
        <f t="shared" si="0"/>
        <v/>
      </c>
      <c r="Q25" s="19" t="str">
        <f t="shared" si="0"/>
        <v/>
      </c>
      <c r="R25" s="19">
        <f t="shared" si="0"/>
        <v>-4.9999999999954525</v>
      </c>
      <c r="S25" s="27">
        <f t="shared" si="2"/>
        <v>0</v>
      </c>
      <c r="T25" s="28">
        <f t="shared" si="2"/>
        <v>-1.000000000000334</v>
      </c>
      <c r="U25" s="28">
        <f t="shared" si="2"/>
        <v>0</v>
      </c>
      <c r="V25" s="28" t="str">
        <f t="shared" si="2"/>
        <v/>
      </c>
      <c r="W25" s="28" t="str">
        <f t="shared" si="2"/>
        <v/>
      </c>
      <c r="X25" s="29" t="str">
        <f t="shared" si="2"/>
        <v/>
      </c>
      <c r="Y25" s="24"/>
    </row>
    <row r="26" spans="2:25" ht="15" customHeight="1" x14ac:dyDescent="0.2">
      <c r="B26" s="31">
        <v>42552</v>
      </c>
      <c r="C26" s="25">
        <v>12.67</v>
      </c>
      <c r="D26" s="26">
        <v>7.7750000000000004</v>
      </c>
      <c r="E26" s="26">
        <v>7.6520000000000001</v>
      </c>
      <c r="F26" s="16"/>
      <c r="G26" s="16"/>
      <c r="H26" s="16"/>
      <c r="I26" s="17">
        <v>114.298</v>
      </c>
      <c r="J26" s="58">
        <v>2681</v>
      </c>
      <c r="K26" s="18">
        <f t="shared" si="3"/>
        <v>60</v>
      </c>
      <c r="L26" s="19">
        <f t="shared" si="0"/>
        <v>-3.0000000000001137</v>
      </c>
      <c r="M26" s="19">
        <f t="shared" si="0"/>
        <v>0</v>
      </c>
      <c r="N26" s="19">
        <f t="shared" si="0"/>
        <v>-6.0000000000002274</v>
      </c>
      <c r="O26" s="19" t="str">
        <f t="shared" si="0"/>
        <v/>
      </c>
      <c r="P26" s="19" t="str">
        <f t="shared" si="0"/>
        <v/>
      </c>
      <c r="Q26" s="19" t="str">
        <f t="shared" si="0"/>
        <v/>
      </c>
      <c r="R26" s="19">
        <f t="shared" si="0"/>
        <v>-4.9999999999954525</v>
      </c>
      <c r="S26" s="27">
        <f t="shared" si="2"/>
        <v>-0.99999999999944578</v>
      </c>
      <c r="T26" s="28">
        <f t="shared" si="2"/>
        <v>1.000000000000334</v>
      </c>
      <c r="U26" s="28">
        <f t="shared" si="2"/>
        <v>0</v>
      </c>
      <c r="V26" s="28" t="str">
        <f t="shared" si="2"/>
        <v/>
      </c>
      <c r="W26" s="28" t="str">
        <f t="shared" si="2"/>
        <v/>
      </c>
      <c r="X26" s="29" t="str">
        <f t="shared" si="2"/>
        <v/>
      </c>
      <c r="Y26" s="24"/>
    </row>
    <row r="27" spans="2:25" ht="15" customHeight="1" x14ac:dyDescent="0.2">
      <c r="B27" s="31">
        <v>42555</v>
      </c>
      <c r="C27" s="25">
        <v>12.670999999999999</v>
      </c>
      <c r="D27" s="26">
        <v>7.7759999999999998</v>
      </c>
      <c r="E27" s="26">
        <v>7.6509999999999998</v>
      </c>
      <c r="F27" s="16"/>
      <c r="G27" s="16"/>
      <c r="H27" s="16"/>
      <c r="I27" s="17">
        <v>114.298</v>
      </c>
      <c r="J27" s="58">
        <v>2685</v>
      </c>
      <c r="K27" s="18">
        <f t="shared" si="3"/>
        <v>64</v>
      </c>
      <c r="L27" s="19">
        <f t="shared" si="0"/>
        <v>-2.0000000000006679</v>
      </c>
      <c r="M27" s="19">
        <f t="shared" si="0"/>
        <v>0.99999999999944578</v>
      </c>
      <c r="N27" s="19">
        <f t="shared" si="0"/>
        <v>-7.0000000000005613</v>
      </c>
      <c r="O27" s="19" t="str">
        <f t="shared" si="0"/>
        <v/>
      </c>
      <c r="P27" s="19" t="str">
        <f t="shared" si="0"/>
        <v/>
      </c>
      <c r="Q27" s="19" t="str">
        <f t="shared" si="0"/>
        <v/>
      </c>
      <c r="R27" s="19">
        <f t="shared" si="0"/>
        <v>-4.9999999999954525</v>
      </c>
      <c r="S27" s="27">
        <f t="shared" si="2"/>
        <v>0.33333333333314857</v>
      </c>
      <c r="T27" s="28">
        <f t="shared" si="2"/>
        <v>0.33333333333314857</v>
      </c>
      <c r="U27" s="28">
        <f t="shared" si="2"/>
        <v>-0.33333333333344467</v>
      </c>
      <c r="V27" s="28" t="str">
        <f t="shared" si="2"/>
        <v/>
      </c>
      <c r="W27" s="28" t="str">
        <f t="shared" si="2"/>
        <v/>
      </c>
      <c r="X27" s="29" t="str">
        <f t="shared" si="2"/>
        <v/>
      </c>
      <c r="Y27" s="24"/>
    </row>
    <row r="28" spans="2:25" ht="15" customHeight="1" x14ac:dyDescent="0.2">
      <c r="B28" s="31">
        <v>42556</v>
      </c>
      <c r="C28" s="25">
        <v>12.669</v>
      </c>
      <c r="D28" s="26">
        <v>7.7729999999999997</v>
      </c>
      <c r="E28" s="26">
        <v>7.6509999999999998</v>
      </c>
      <c r="F28" s="16"/>
      <c r="G28" s="16"/>
      <c r="H28" s="16"/>
      <c r="I28" s="17">
        <v>114.297</v>
      </c>
      <c r="J28" s="58">
        <v>2689</v>
      </c>
      <c r="K28" s="18">
        <f t="shared" si="3"/>
        <v>68</v>
      </c>
      <c r="L28" s="19">
        <f t="shared" si="0"/>
        <v>-3.9999999999995595</v>
      </c>
      <c r="M28" s="19">
        <f t="shared" si="0"/>
        <v>-2.0000000000006679</v>
      </c>
      <c r="N28" s="19">
        <f t="shared" si="0"/>
        <v>-7.0000000000005613</v>
      </c>
      <c r="O28" s="19" t="str">
        <f t="shared" si="0"/>
        <v/>
      </c>
      <c r="P28" s="19" t="str">
        <f t="shared" si="0"/>
        <v/>
      </c>
      <c r="Q28" s="19" t="str">
        <f t="shared" si="0"/>
        <v/>
      </c>
      <c r="R28" s="19">
        <f t="shared" si="0"/>
        <v>-6.0000000000002274</v>
      </c>
      <c r="S28" s="27">
        <f t="shared" si="2"/>
        <v>-1.9999999999988916</v>
      </c>
      <c r="T28" s="28">
        <f t="shared" si="2"/>
        <v>-3.0000000000001137</v>
      </c>
      <c r="U28" s="28">
        <f t="shared" si="2"/>
        <v>0</v>
      </c>
      <c r="V28" s="28" t="str">
        <f t="shared" si="2"/>
        <v/>
      </c>
      <c r="W28" s="28" t="str">
        <f t="shared" si="2"/>
        <v/>
      </c>
      <c r="X28" s="29" t="str">
        <f t="shared" si="2"/>
        <v/>
      </c>
      <c r="Y28" s="24"/>
    </row>
    <row r="29" spans="2:25" ht="15" customHeight="1" x14ac:dyDescent="0.2">
      <c r="B29" s="31">
        <v>42557</v>
      </c>
      <c r="C29" s="25">
        <v>12.667999999999999</v>
      </c>
      <c r="D29" s="26">
        <v>7.7729999999999997</v>
      </c>
      <c r="E29" s="26">
        <v>7.6520000000000001</v>
      </c>
      <c r="F29" s="16"/>
      <c r="G29" s="16"/>
      <c r="H29" s="16"/>
      <c r="I29" s="17">
        <v>114.297</v>
      </c>
      <c r="J29" s="58">
        <v>2689</v>
      </c>
      <c r="K29" s="18">
        <f t="shared" si="3"/>
        <v>68</v>
      </c>
      <c r="L29" s="19">
        <f t="shared" si="0"/>
        <v>-5.0000000000007816</v>
      </c>
      <c r="M29" s="19">
        <f t="shared" si="0"/>
        <v>-2.0000000000006679</v>
      </c>
      <c r="N29" s="19">
        <f t="shared" si="0"/>
        <v>-6.0000000000002274</v>
      </c>
      <c r="O29" s="19" t="str">
        <f t="shared" si="0"/>
        <v/>
      </c>
      <c r="P29" s="19" t="str">
        <f t="shared" si="0"/>
        <v/>
      </c>
      <c r="Q29" s="19" t="str">
        <f t="shared" si="0"/>
        <v/>
      </c>
      <c r="R29" s="19">
        <f t="shared" si="0"/>
        <v>-6.0000000000002274</v>
      </c>
      <c r="S29" s="27">
        <f t="shared" si="2"/>
        <v>-1.0000000000012221</v>
      </c>
      <c r="T29" s="28">
        <f t="shared" si="2"/>
        <v>0</v>
      </c>
      <c r="U29" s="28">
        <f t="shared" si="2"/>
        <v>1.000000000000334</v>
      </c>
      <c r="V29" s="28" t="str">
        <f t="shared" si="2"/>
        <v/>
      </c>
      <c r="W29" s="28" t="str">
        <f t="shared" si="2"/>
        <v/>
      </c>
      <c r="X29" s="29" t="str">
        <f t="shared" si="2"/>
        <v/>
      </c>
      <c r="Y29" s="24"/>
    </row>
    <row r="30" spans="2:25" ht="15" customHeight="1" x14ac:dyDescent="0.2">
      <c r="B30" s="31">
        <v>42572</v>
      </c>
      <c r="C30" s="73">
        <v>12.667999999999999</v>
      </c>
      <c r="D30" s="71">
        <v>7.7729999999999997</v>
      </c>
      <c r="E30" s="71">
        <v>7.6520000000000001</v>
      </c>
      <c r="F30" s="16"/>
      <c r="G30" s="16"/>
      <c r="H30" s="16"/>
      <c r="I30" s="17">
        <v>114.29600000000001</v>
      </c>
      <c r="J30" s="58">
        <v>2640</v>
      </c>
      <c r="K30" s="18">
        <f t="shared" si="3"/>
        <v>19</v>
      </c>
      <c r="L30" s="19">
        <f t="shared" si="0"/>
        <v>-5.0000000000007816</v>
      </c>
      <c r="M30" s="19">
        <f t="shared" si="0"/>
        <v>-2.0000000000006679</v>
      </c>
      <c r="N30" s="19">
        <f t="shared" si="0"/>
        <v>-6.0000000000002274</v>
      </c>
      <c r="O30" s="19" t="str">
        <f t="shared" si="0"/>
        <v/>
      </c>
      <c r="P30" s="19" t="str">
        <f t="shared" si="0"/>
        <v/>
      </c>
      <c r="Q30" s="19" t="str">
        <f t="shared" si="0"/>
        <v/>
      </c>
      <c r="R30" s="19">
        <f t="shared" si="0"/>
        <v>-6.9999999999907914</v>
      </c>
      <c r="S30" s="27">
        <f t="shared" si="2"/>
        <v>0</v>
      </c>
      <c r="T30" s="28">
        <f t="shared" si="2"/>
        <v>0</v>
      </c>
      <c r="U30" s="28">
        <f t="shared" si="2"/>
        <v>0</v>
      </c>
      <c r="V30" s="28" t="str">
        <f t="shared" si="2"/>
        <v/>
      </c>
      <c r="W30" s="28" t="str">
        <f t="shared" si="2"/>
        <v/>
      </c>
      <c r="X30" s="29" t="str">
        <f t="shared" si="2"/>
        <v/>
      </c>
      <c r="Y30" s="24"/>
    </row>
    <row r="31" spans="2:25" ht="15" customHeight="1" x14ac:dyDescent="0.2">
      <c r="B31" s="31">
        <v>42573</v>
      </c>
      <c r="C31" s="73">
        <v>12.667999999999999</v>
      </c>
      <c r="D31" s="26">
        <v>7.7709999999999999</v>
      </c>
      <c r="E31" s="71">
        <v>7.6520000000000001</v>
      </c>
      <c r="F31" s="16">
        <v>13.263</v>
      </c>
      <c r="G31" s="16">
        <v>10.208</v>
      </c>
      <c r="H31" s="16">
        <v>10.356</v>
      </c>
      <c r="I31" s="17">
        <v>114.29300000000001</v>
      </c>
      <c r="J31" s="58">
        <v>2652</v>
      </c>
      <c r="K31" s="18">
        <f t="shared" si="3"/>
        <v>31</v>
      </c>
      <c r="L31" s="19">
        <f t="shared" si="0"/>
        <v>-5.0000000000007816</v>
      </c>
      <c r="M31" s="19">
        <f t="shared" si="0"/>
        <v>-4.0000000000004476</v>
      </c>
      <c r="N31" s="19">
        <f t="shared" si="0"/>
        <v>-6.0000000000002274</v>
      </c>
      <c r="O31" s="19">
        <f>IF(ISBLANK(F31),"",((F31-F$31)*1000)+L$31)</f>
        <v>-5.0000000000007816</v>
      </c>
      <c r="P31" s="19">
        <f>IF(ISBLANK(G31),"",((G31-G$31)*1000)+M$31)</f>
        <v>-4.0000000000004476</v>
      </c>
      <c r="Q31" s="19">
        <f>IF(ISBLANK(H31),"",((H31-H$31)*1000)+N$31)</f>
        <v>-6.0000000000002274</v>
      </c>
      <c r="R31" s="19">
        <f t="shared" si="0"/>
        <v>-9.9999999999909051</v>
      </c>
      <c r="S31" s="27">
        <f t="shared" si="2"/>
        <v>0</v>
      </c>
      <c r="T31" s="28">
        <f t="shared" si="2"/>
        <v>-1.9999999999997797</v>
      </c>
      <c r="U31" s="28">
        <f t="shared" si="2"/>
        <v>0</v>
      </c>
      <c r="V31" s="28"/>
      <c r="W31" s="28"/>
      <c r="X31" s="29"/>
      <c r="Y31" s="24" t="s">
        <v>67</v>
      </c>
    </row>
    <row r="32" spans="2:25" ht="15" customHeight="1" x14ac:dyDescent="0.2">
      <c r="B32" s="31">
        <v>42577</v>
      </c>
      <c r="C32" s="25">
        <v>12.656000000000001</v>
      </c>
      <c r="D32" s="26">
        <v>7.7690000000000001</v>
      </c>
      <c r="E32" s="26">
        <v>7.6459999999999999</v>
      </c>
      <c r="F32" s="16">
        <v>13.260999999999999</v>
      </c>
      <c r="G32" s="16">
        <v>10.208</v>
      </c>
      <c r="H32" s="16">
        <v>10.355</v>
      </c>
      <c r="I32" s="17">
        <v>114.29300000000001</v>
      </c>
      <c r="J32" s="58">
        <v>2652</v>
      </c>
      <c r="K32" s="18">
        <f t="shared" si="3"/>
        <v>31</v>
      </c>
      <c r="L32" s="19">
        <f t="shared" ref="L32:R32" si="4">IF(ISBLANK(C32),"",(C32-C$16)*1000)</f>
        <v>-16.99999999999946</v>
      </c>
      <c r="M32" s="19">
        <f t="shared" si="4"/>
        <v>-6.0000000000002274</v>
      </c>
      <c r="N32" s="19">
        <f t="shared" si="4"/>
        <v>-12.000000000000455</v>
      </c>
      <c r="O32" s="19">
        <f t="shared" ref="O32:O95" si="5">IF(ISBLANK(F32),"",((F32-F$31)*1000)+L$31)</f>
        <v>-7.0000000000014495</v>
      </c>
      <c r="P32" s="19">
        <f t="shared" ref="P32:P95" si="6">IF(ISBLANK(G32),"",((G32-G$31)*1000)+M$31)</f>
        <v>-4.0000000000004476</v>
      </c>
      <c r="Q32" s="19">
        <f t="shared" ref="Q32:Q95" si="7">IF(ISBLANK(H32),"",((H32-H$31)*1000)+N$31)</f>
        <v>-6.9999999999996732</v>
      </c>
      <c r="R32" s="19">
        <f t="shared" si="4"/>
        <v>-9.9999999999909051</v>
      </c>
      <c r="S32" s="27">
        <f>IF(C32="","",((C32-C29)*1000)/($B32-$B29))</f>
        <v>-0.59999999999993392</v>
      </c>
      <c r="T32" s="28">
        <f>IF(D32="","",((D32-D31)*1000)/($B32-$B31))</f>
        <v>-0.49999999999994493</v>
      </c>
      <c r="U32" s="28">
        <f>IF(E32="","",((E32-E29)*1000)/($B32-$B29))</f>
        <v>-0.30000000000001137</v>
      </c>
      <c r="V32" s="28">
        <f t="shared" si="2"/>
        <v>-0.50000000000016698</v>
      </c>
      <c r="W32" s="28">
        <f t="shared" si="2"/>
        <v>0</v>
      </c>
      <c r="X32" s="29">
        <f t="shared" si="2"/>
        <v>-0.24999999999986144</v>
      </c>
      <c r="Y32" s="24"/>
    </row>
    <row r="33" spans="2:25" ht="15" customHeight="1" x14ac:dyDescent="0.2">
      <c r="B33" s="31">
        <v>42578</v>
      </c>
      <c r="C33" s="25">
        <v>12.654999999999999</v>
      </c>
      <c r="D33" s="26">
        <v>7.7709999999999999</v>
      </c>
      <c r="E33" s="26">
        <v>7.6449999999999996</v>
      </c>
      <c r="F33" s="16">
        <v>13.26</v>
      </c>
      <c r="G33" s="16">
        <v>10.209</v>
      </c>
      <c r="H33" s="16">
        <v>10.353999999999999</v>
      </c>
      <c r="I33" s="17">
        <v>114.294</v>
      </c>
      <c r="J33" s="58">
        <v>2652</v>
      </c>
      <c r="K33" s="18">
        <f t="shared" ref="K33" si="8">IF(ISBLANK(J33),"",(J33-$J$8))</f>
        <v>31</v>
      </c>
      <c r="L33" s="19">
        <f t="shared" ref="L33:R62" si="9">IF(ISBLANK(C33),"",(C33-C$16)*1000)</f>
        <v>-18.000000000000682</v>
      </c>
      <c r="M33" s="19">
        <f t="shared" si="9"/>
        <v>-4.0000000000004476</v>
      </c>
      <c r="N33" s="19">
        <f t="shared" si="9"/>
        <v>-13.000000000000789</v>
      </c>
      <c r="O33" s="19">
        <f t="shared" si="5"/>
        <v>-8.0000000000008953</v>
      </c>
      <c r="P33" s="19">
        <f t="shared" si="6"/>
        <v>-3.0000000000010019</v>
      </c>
      <c r="Q33" s="19">
        <f t="shared" si="7"/>
        <v>-8.0000000000008953</v>
      </c>
      <c r="R33" s="19">
        <f t="shared" si="9"/>
        <v>-9.0000000000003411</v>
      </c>
      <c r="S33" s="27">
        <f t="shared" ref="S33:X48" si="10">IF(C33="","",((C33-C32)*1000)/($B33-$B32))</f>
        <v>-1.0000000000012221</v>
      </c>
      <c r="T33" s="28">
        <f t="shared" si="10"/>
        <v>1.9999999999997797</v>
      </c>
      <c r="U33" s="28">
        <f t="shared" si="10"/>
        <v>-1.000000000000334</v>
      </c>
      <c r="V33" s="28">
        <f t="shared" si="10"/>
        <v>-0.99999999999944578</v>
      </c>
      <c r="W33" s="28">
        <f t="shared" si="10"/>
        <v>0.99999999999944578</v>
      </c>
      <c r="X33" s="29">
        <f t="shared" si="10"/>
        <v>-1.0000000000012221</v>
      </c>
      <c r="Y33" s="24"/>
    </row>
    <row r="34" spans="2:25" ht="15" customHeight="1" x14ac:dyDescent="0.2">
      <c r="B34" s="31">
        <v>42579</v>
      </c>
      <c r="C34" s="25">
        <v>12.654</v>
      </c>
      <c r="D34" s="26">
        <v>7.7690000000000001</v>
      </c>
      <c r="E34" s="26">
        <v>7.6449999999999996</v>
      </c>
      <c r="F34" s="16">
        <v>13.259</v>
      </c>
      <c r="G34" s="16">
        <v>10.209</v>
      </c>
      <c r="H34" s="16">
        <v>10.353</v>
      </c>
      <c r="I34" s="17">
        <v>114.29300000000001</v>
      </c>
      <c r="J34" s="58">
        <v>2652</v>
      </c>
      <c r="K34" s="18">
        <f t="shared" ref="K34" si="11">IF(ISBLANK(J34),"",(J34-$J$8))</f>
        <v>31</v>
      </c>
      <c r="L34" s="19">
        <f t="shared" si="9"/>
        <v>-19.000000000000128</v>
      </c>
      <c r="M34" s="19">
        <f t="shared" si="9"/>
        <v>-6.0000000000002274</v>
      </c>
      <c r="N34" s="19">
        <f t="shared" si="9"/>
        <v>-13.000000000000789</v>
      </c>
      <c r="O34" s="19">
        <f t="shared" si="5"/>
        <v>-9.0000000000003411</v>
      </c>
      <c r="P34" s="19">
        <f t="shared" si="6"/>
        <v>-3.0000000000010019</v>
      </c>
      <c r="Q34" s="19">
        <f t="shared" si="7"/>
        <v>-9.0000000000003411</v>
      </c>
      <c r="R34" s="19">
        <f t="shared" si="9"/>
        <v>-9.9999999999909051</v>
      </c>
      <c r="S34" s="27">
        <f t="shared" si="10"/>
        <v>-0.99999999999944578</v>
      </c>
      <c r="T34" s="28">
        <f t="shared" si="10"/>
        <v>-1.9999999999997797</v>
      </c>
      <c r="U34" s="28">
        <f t="shared" si="10"/>
        <v>0</v>
      </c>
      <c r="V34" s="28">
        <f t="shared" si="10"/>
        <v>-0.99999999999944578</v>
      </c>
      <c r="W34" s="28">
        <f t="shared" si="10"/>
        <v>0</v>
      </c>
      <c r="X34" s="29">
        <f t="shared" si="10"/>
        <v>-0.99999999999944578</v>
      </c>
      <c r="Y34" s="24"/>
    </row>
    <row r="35" spans="2:25" ht="15" customHeight="1" x14ac:dyDescent="0.2">
      <c r="B35" s="31">
        <v>42580</v>
      </c>
      <c r="C35" s="25">
        <v>12.654</v>
      </c>
      <c r="D35" s="26">
        <v>7.7690000000000001</v>
      </c>
      <c r="E35" s="26">
        <v>7.6449999999999996</v>
      </c>
      <c r="F35" s="16">
        <v>13.259</v>
      </c>
      <c r="G35" s="16">
        <v>10.208</v>
      </c>
      <c r="H35" s="16">
        <v>10.353</v>
      </c>
      <c r="I35" s="17">
        <v>114.29300000000001</v>
      </c>
      <c r="J35" s="58">
        <v>2652</v>
      </c>
      <c r="K35" s="18">
        <f t="shared" ref="K35" si="12">IF(ISBLANK(J35),"",(J35-$J$8))</f>
        <v>31</v>
      </c>
      <c r="L35" s="19">
        <f t="shared" si="9"/>
        <v>-19.000000000000128</v>
      </c>
      <c r="M35" s="19">
        <f t="shared" si="9"/>
        <v>-6.0000000000002274</v>
      </c>
      <c r="N35" s="19">
        <f t="shared" si="9"/>
        <v>-13.000000000000789</v>
      </c>
      <c r="O35" s="19">
        <f t="shared" si="5"/>
        <v>-9.0000000000003411</v>
      </c>
      <c r="P35" s="19">
        <f t="shared" si="6"/>
        <v>-4.0000000000004476</v>
      </c>
      <c r="Q35" s="19">
        <f t="shared" si="7"/>
        <v>-9.0000000000003411</v>
      </c>
      <c r="R35" s="19">
        <f t="shared" si="9"/>
        <v>-9.9999999999909051</v>
      </c>
      <c r="S35" s="27">
        <f t="shared" si="10"/>
        <v>0</v>
      </c>
      <c r="T35" s="28">
        <f t="shared" si="10"/>
        <v>0</v>
      </c>
      <c r="U35" s="28">
        <f t="shared" si="10"/>
        <v>0</v>
      </c>
      <c r="V35" s="28">
        <f t="shared" si="10"/>
        <v>0</v>
      </c>
      <c r="W35" s="28">
        <f t="shared" si="10"/>
        <v>-0.99999999999944578</v>
      </c>
      <c r="X35" s="29">
        <f t="shared" si="10"/>
        <v>0</v>
      </c>
      <c r="Y35" s="24"/>
    </row>
    <row r="36" spans="2:25" ht="15" customHeight="1" x14ac:dyDescent="0.2">
      <c r="B36" s="31">
        <v>42583</v>
      </c>
      <c r="C36" s="25">
        <v>12.653</v>
      </c>
      <c r="D36" s="26">
        <v>7.7690000000000001</v>
      </c>
      <c r="E36" s="26">
        <v>7.6449999999999996</v>
      </c>
      <c r="F36" s="16">
        <v>13.259</v>
      </c>
      <c r="G36" s="16">
        <v>10.209</v>
      </c>
      <c r="H36" s="16">
        <v>10.352</v>
      </c>
      <c r="I36" s="17">
        <v>114.292</v>
      </c>
      <c r="J36" s="58">
        <v>2652</v>
      </c>
      <c r="K36" s="18">
        <f t="shared" ref="K36" si="13">IF(ISBLANK(J36),"",(J36-$J$8))</f>
        <v>31</v>
      </c>
      <c r="L36" s="19">
        <f t="shared" si="9"/>
        <v>-19.999999999999574</v>
      </c>
      <c r="M36" s="19">
        <f t="shared" si="9"/>
        <v>-6.0000000000002274</v>
      </c>
      <c r="N36" s="19">
        <f t="shared" si="9"/>
        <v>-13.000000000000789</v>
      </c>
      <c r="O36" s="19">
        <f t="shared" si="5"/>
        <v>-9.0000000000003411</v>
      </c>
      <c r="P36" s="19">
        <f t="shared" si="6"/>
        <v>-3.0000000000010019</v>
      </c>
      <c r="Q36" s="19">
        <f t="shared" si="7"/>
        <v>-9.9999999999997868</v>
      </c>
      <c r="R36" s="19">
        <f t="shared" si="9"/>
        <v>-10.99999999999568</v>
      </c>
      <c r="S36" s="27">
        <f t="shared" si="10"/>
        <v>-0.33333333333314857</v>
      </c>
      <c r="T36" s="28">
        <f t="shared" si="10"/>
        <v>0</v>
      </c>
      <c r="U36" s="28">
        <f t="shared" si="10"/>
        <v>0</v>
      </c>
      <c r="V36" s="28">
        <f t="shared" si="10"/>
        <v>0</v>
      </c>
      <c r="W36" s="28">
        <f t="shared" si="10"/>
        <v>0.33333333333314857</v>
      </c>
      <c r="X36" s="29">
        <f t="shared" si="10"/>
        <v>-0.33333333333314857</v>
      </c>
      <c r="Y36" s="24"/>
    </row>
    <row r="37" spans="2:25" ht="15" customHeight="1" x14ac:dyDescent="0.2">
      <c r="B37" s="31">
        <v>42584</v>
      </c>
      <c r="C37" s="25">
        <v>12.654</v>
      </c>
      <c r="D37" s="26">
        <v>7.7690000000000001</v>
      </c>
      <c r="E37" s="26">
        <v>7.6440000000000001</v>
      </c>
      <c r="F37" s="16">
        <v>13.259</v>
      </c>
      <c r="G37" s="16">
        <v>10.208</v>
      </c>
      <c r="H37" s="16">
        <v>10.351000000000001</v>
      </c>
      <c r="I37" s="17">
        <v>114.292</v>
      </c>
      <c r="J37" s="58">
        <v>2652</v>
      </c>
      <c r="K37" s="18">
        <f t="shared" ref="K37:K42" si="14">IF(ISBLANK(J37),"",(J37-$J$8))</f>
        <v>31</v>
      </c>
      <c r="L37" s="19">
        <f t="shared" si="9"/>
        <v>-19.000000000000128</v>
      </c>
      <c r="M37" s="19">
        <f t="shared" si="9"/>
        <v>-6.0000000000002274</v>
      </c>
      <c r="N37" s="19">
        <f t="shared" si="9"/>
        <v>-14.000000000000234</v>
      </c>
      <c r="O37" s="19">
        <f t="shared" si="5"/>
        <v>-9.0000000000003411</v>
      </c>
      <c r="P37" s="19">
        <f t="shared" si="6"/>
        <v>-4.0000000000004476</v>
      </c>
      <c r="Q37" s="19">
        <f t="shared" si="7"/>
        <v>-10.999999999999233</v>
      </c>
      <c r="R37" s="19">
        <f t="shared" si="9"/>
        <v>-10.99999999999568</v>
      </c>
      <c r="S37" s="27">
        <f t="shared" si="10"/>
        <v>0.99999999999944578</v>
      </c>
      <c r="T37" s="28">
        <f t="shared" si="10"/>
        <v>0</v>
      </c>
      <c r="U37" s="28">
        <f t="shared" si="10"/>
        <v>-0.99999999999944578</v>
      </c>
      <c r="V37" s="28">
        <f t="shared" si="10"/>
        <v>0</v>
      </c>
      <c r="W37" s="28">
        <f t="shared" si="10"/>
        <v>-0.99999999999944578</v>
      </c>
      <c r="X37" s="29">
        <f t="shared" si="10"/>
        <v>-0.99999999999944578</v>
      </c>
      <c r="Y37" s="24"/>
    </row>
    <row r="38" spans="2:25" ht="15" customHeight="1" x14ac:dyDescent="0.2">
      <c r="B38" s="31">
        <v>42585</v>
      </c>
      <c r="C38" s="25">
        <v>12.654</v>
      </c>
      <c r="D38" s="26">
        <v>7.7690000000000001</v>
      </c>
      <c r="E38" s="26">
        <v>7.6440000000000001</v>
      </c>
      <c r="F38" s="16">
        <v>13.259</v>
      </c>
      <c r="G38" s="16">
        <v>10.208</v>
      </c>
      <c r="H38" s="16">
        <v>10.351000000000001</v>
      </c>
      <c r="I38" s="17">
        <v>114.292</v>
      </c>
      <c r="J38" s="58">
        <v>2652</v>
      </c>
      <c r="K38" s="18">
        <f t="shared" si="14"/>
        <v>31</v>
      </c>
      <c r="L38" s="19">
        <f t="shared" si="9"/>
        <v>-19.000000000000128</v>
      </c>
      <c r="M38" s="19">
        <f t="shared" si="9"/>
        <v>-6.0000000000002274</v>
      </c>
      <c r="N38" s="19">
        <f t="shared" si="9"/>
        <v>-14.000000000000234</v>
      </c>
      <c r="O38" s="19">
        <f t="shared" si="5"/>
        <v>-9.0000000000003411</v>
      </c>
      <c r="P38" s="19">
        <f t="shared" si="6"/>
        <v>-4.0000000000004476</v>
      </c>
      <c r="Q38" s="19">
        <f t="shared" si="7"/>
        <v>-10.999999999999233</v>
      </c>
      <c r="R38" s="19">
        <f t="shared" si="9"/>
        <v>-10.99999999999568</v>
      </c>
      <c r="S38" s="27">
        <f t="shared" si="10"/>
        <v>0</v>
      </c>
      <c r="T38" s="28">
        <f t="shared" si="10"/>
        <v>0</v>
      </c>
      <c r="U38" s="28">
        <f t="shared" si="10"/>
        <v>0</v>
      </c>
      <c r="V38" s="28">
        <f t="shared" si="10"/>
        <v>0</v>
      </c>
      <c r="W38" s="28">
        <f t="shared" si="10"/>
        <v>0</v>
      </c>
      <c r="X38" s="29">
        <f t="shared" si="10"/>
        <v>0</v>
      </c>
      <c r="Y38" s="24"/>
    </row>
    <row r="39" spans="2:25" ht="15" customHeight="1" x14ac:dyDescent="0.2">
      <c r="B39" s="31">
        <v>42586</v>
      </c>
      <c r="C39" s="25">
        <v>12.654</v>
      </c>
      <c r="D39" s="26">
        <v>7.7690000000000001</v>
      </c>
      <c r="E39" s="26">
        <v>7.6440000000000001</v>
      </c>
      <c r="F39" s="16">
        <v>13.259</v>
      </c>
      <c r="G39" s="16">
        <v>10.208</v>
      </c>
      <c r="H39" s="16">
        <v>10.351000000000001</v>
      </c>
      <c r="I39" s="17">
        <v>114.292</v>
      </c>
      <c r="J39" s="58">
        <v>2652</v>
      </c>
      <c r="K39" s="18">
        <f t="shared" si="14"/>
        <v>31</v>
      </c>
      <c r="L39" s="19">
        <f t="shared" si="9"/>
        <v>-19.000000000000128</v>
      </c>
      <c r="M39" s="19">
        <f t="shared" si="9"/>
        <v>-6.0000000000002274</v>
      </c>
      <c r="N39" s="19">
        <f t="shared" si="9"/>
        <v>-14.000000000000234</v>
      </c>
      <c r="O39" s="19">
        <f t="shared" si="5"/>
        <v>-9.0000000000003411</v>
      </c>
      <c r="P39" s="19">
        <f t="shared" si="6"/>
        <v>-4.0000000000004476</v>
      </c>
      <c r="Q39" s="19">
        <f t="shared" si="7"/>
        <v>-10.999999999999233</v>
      </c>
      <c r="R39" s="19">
        <f t="shared" si="9"/>
        <v>-10.99999999999568</v>
      </c>
      <c r="S39" s="27">
        <f t="shared" si="10"/>
        <v>0</v>
      </c>
      <c r="T39" s="28">
        <f t="shared" si="10"/>
        <v>0</v>
      </c>
      <c r="U39" s="28">
        <f t="shared" si="10"/>
        <v>0</v>
      </c>
      <c r="V39" s="28">
        <f t="shared" si="10"/>
        <v>0</v>
      </c>
      <c r="W39" s="28">
        <f t="shared" si="10"/>
        <v>0</v>
      </c>
      <c r="X39" s="29">
        <f t="shared" si="10"/>
        <v>0</v>
      </c>
      <c r="Y39" s="24"/>
    </row>
    <row r="40" spans="2:25" ht="15" customHeight="1" x14ac:dyDescent="0.2">
      <c r="B40" s="31">
        <v>42593</v>
      </c>
      <c r="C40" s="25">
        <v>12.654</v>
      </c>
      <c r="D40" s="26">
        <v>7.7690000000000001</v>
      </c>
      <c r="E40" s="26">
        <v>7.6440000000000001</v>
      </c>
      <c r="F40" s="16">
        <v>13.259</v>
      </c>
      <c r="G40" s="16">
        <v>10.208</v>
      </c>
      <c r="H40" s="16">
        <v>10.351000000000001</v>
      </c>
      <c r="I40" s="17">
        <v>114.291</v>
      </c>
      <c r="J40" s="58">
        <v>2652</v>
      </c>
      <c r="K40" s="18">
        <f t="shared" si="14"/>
        <v>31</v>
      </c>
      <c r="L40" s="19">
        <f t="shared" si="9"/>
        <v>-19.000000000000128</v>
      </c>
      <c r="M40" s="19">
        <f t="shared" si="9"/>
        <v>-6.0000000000002274</v>
      </c>
      <c r="N40" s="19">
        <f t="shared" si="9"/>
        <v>-14.000000000000234</v>
      </c>
      <c r="O40" s="19">
        <f t="shared" si="5"/>
        <v>-9.0000000000003411</v>
      </c>
      <c r="P40" s="19">
        <f t="shared" si="6"/>
        <v>-4.0000000000004476</v>
      </c>
      <c r="Q40" s="19">
        <f t="shared" si="7"/>
        <v>-10.999999999999233</v>
      </c>
      <c r="R40" s="19">
        <f t="shared" si="9"/>
        <v>-12.000000000000455</v>
      </c>
      <c r="S40" s="27">
        <f t="shared" si="10"/>
        <v>0</v>
      </c>
      <c r="T40" s="28">
        <f t="shared" si="10"/>
        <v>0</v>
      </c>
      <c r="U40" s="28">
        <f t="shared" si="10"/>
        <v>0</v>
      </c>
      <c r="V40" s="28">
        <f t="shared" si="10"/>
        <v>0</v>
      </c>
      <c r="W40" s="28">
        <f t="shared" si="10"/>
        <v>0</v>
      </c>
      <c r="X40" s="29">
        <f t="shared" si="10"/>
        <v>0</v>
      </c>
      <c r="Y40" s="24"/>
    </row>
    <row r="41" spans="2:25" ht="15" customHeight="1" x14ac:dyDescent="0.2">
      <c r="B41" s="31">
        <v>42598</v>
      </c>
      <c r="C41" s="25">
        <v>12.654</v>
      </c>
      <c r="D41" s="26">
        <v>7.7690000000000001</v>
      </c>
      <c r="E41" s="26">
        <v>7.6440000000000001</v>
      </c>
      <c r="F41" s="16">
        <v>13.259</v>
      </c>
      <c r="G41" s="16">
        <v>10.208</v>
      </c>
      <c r="H41" s="16">
        <v>10.351000000000001</v>
      </c>
      <c r="I41" s="17">
        <v>114.291</v>
      </c>
      <c r="J41" s="58">
        <v>2652</v>
      </c>
      <c r="K41" s="18">
        <f t="shared" si="14"/>
        <v>31</v>
      </c>
      <c r="L41" s="19">
        <f t="shared" si="9"/>
        <v>-19.000000000000128</v>
      </c>
      <c r="M41" s="19">
        <f t="shared" si="9"/>
        <v>-6.0000000000002274</v>
      </c>
      <c r="N41" s="19">
        <f t="shared" si="9"/>
        <v>-14.000000000000234</v>
      </c>
      <c r="O41" s="19">
        <f t="shared" si="5"/>
        <v>-9.0000000000003411</v>
      </c>
      <c r="P41" s="19">
        <f t="shared" si="6"/>
        <v>-4.0000000000004476</v>
      </c>
      <c r="Q41" s="19">
        <f t="shared" si="7"/>
        <v>-10.999999999999233</v>
      </c>
      <c r="R41" s="19">
        <f t="shared" si="9"/>
        <v>-12.000000000000455</v>
      </c>
      <c r="S41" s="27">
        <f t="shared" si="10"/>
        <v>0</v>
      </c>
      <c r="T41" s="28">
        <f t="shared" si="10"/>
        <v>0</v>
      </c>
      <c r="U41" s="28">
        <f t="shared" si="10"/>
        <v>0</v>
      </c>
      <c r="V41" s="28">
        <f t="shared" si="10"/>
        <v>0</v>
      </c>
      <c r="W41" s="28">
        <f t="shared" si="10"/>
        <v>0</v>
      </c>
      <c r="X41" s="29">
        <f t="shared" si="10"/>
        <v>0</v>
      </c>
      <c r="Y41" s="24"/>
    </row>
    <row r="42" spans="2:25" ht="15" customHeight="1" x14ac:dyDescent="0.2">
      <c r="B42" s="31">
        <v>42605</v>
      </c>
      <c r="C42" s="25">
        <v>12.654</v>
      </c>
      <c r="D42" s="26">
        <v>7.7690000000000001</v>
      </c>
      <c r="E42" s="26">
        <v>7.6440000000000001</v>
      </c>
      <c r="F42" s="16">
        <v>13.259</v>
      </c>
      <c r="G42" s="16">
        <v>10.208</v>
      </c>
      <c r="H42" s="16">
        <v>10.351000000000001</v>
      </c>
      <c r="I42" s="17">
        <v>114.291</v>
      </c>
      <c r="J42" s="58">
        <v>2652</v>
      </c>
      <c r="K42" s="18">
        <f t="shared" si="14"/>
        <v>31</v>
      </c>
      <c r="L42" s="19">
        <f t="shared" si="9"/>
        <v>-19.000000000000128</v>
      </c>
      <c r="M42" s="19">
        <f t="shared" si="9"/>
        <v>-6.0000000000002274</v>
      </c>
      <c r="N42" s="19">
        <f t="shared" si="9"/>
        <v>-14.000000000000234</v>
      </c>
      <c r="O42" s="19">
        <f t="shared" si="5"/>
        <v>-9.0000000000003411</v>
      </c>
      <c r="P42" s="19">
        <f t="shared" si="6"/>
        <v>-4.0000000000004476</v>
      </c>
      <c r="Q42" s="19">
        <f t="shared" si="7"/>
        <v>-10.999999999999233</v>
      </c>
      <c r="R42" s="19">
        <f t="shared" si="9"/>
        <v>-12.000000000000455</v>
      </c>
      <c r="S42" s="27">
        <f t="shared" si="10"/>
        <v>0</v>
      </c>
      <c r="T42" s="28">
        <f t="shared" si="10"/>
        <v>0</v>
      </c>
      <c r="U42" s="28">
        <f t="shared" si="10"/>
        <v>0</v>
      </c>
      <c r="V42" s="28">
        <f t="shared" si="10"/>
        <v>0</v>
      </c>
      <c r="W42" s="28">
        <f t="shared" si="10"/>
        <v>0</v>
      </c>
      <c r="X42" s="29">
        <f t="shared" si="10"/>
        <v>0</v>
      </c>
      <c r="Y42" s="24"/>
    </row>
    <row r="43" spans="2:25" ht="15" customHeight="1" x14ac:dyDescent="0.2">
      <c r="B43" s="31">
        <v>42685</v>
      </c>
      <c r="C43" s="25">
        <v>12.654</v>
      </c>
      <c r="D43" s="26">
        <v>7.7690000000000001</v>
      </c>
      <c r="E43" s="26">
        <v>7.6440000000000001</v>
      </c>
      <c r="F43" s="16">
        <v>13.259</v>
      </c>
      <c r="G43" s="16">
        <v>10.208</v>
      </c>
      <c r="H43" s="16">
        <v>10.351000000000001</v>
      </c>
      <c r="I43" s="17">
        <v>114.291</v>
      </c>
      <c r="J43" s="58">
        <v>2652</v>
      </c>
      <c r="K43" s="18">
        <f t="shared" ref="K43" si="15">IF(ISBLANK(J43),"",(J43-$J$8))</f>
        <v>31</v>
      </c>
      <c r="L43" s="19">
        <f t="shared" si="9"/>
        <v>-19.000000000000128</v>
      </c>
      <c r="M43" s="19">
        <f t="shared" si="9"/>
        <v>-6.0000000000002274</v>
      </c>
      <c r="N43" s="19">
        <f t="shared" si="9"/>
        <v>-14.000000000000234</v>
      </c>
      <c r="O43" s="19">
        <f t="shared" si="5"/>
        <v>-9.0000000000003411</v>
      </c>
      <c r="P43" s="19">
        <f t="shared" si="6"/>
        <v>-4.0000000000004476</v>
      </c>
      <c r="Q43" s="19">
        <f t="shared" si="7"/>
        <v>-10.999999999999233</v>
      </c>
      <c r="R43" s="19">
        <f t="shared" si="9"/>
        <v>-12.000000000000455</v>
      </c>
      <c r="S43" s="27">
        <f t="shared" si="10"/>
        <v>0</v>
      </c>
      <c r="T43" s="28">
        <f t="shared" si="10"/>
        <v>0</v>
      </c>
      <c r="U43" s="28">
        <f t="shared" si="10"/>
        <v>0</v>
      </c>
      <c r="V43" s="28">
        <f t="shared" si="10"/>
        <v>0</v>
      </c>
      <c r="W43" s="28">
        <f t="shared" si="10"/>
        <v>0</v>
      </c>
      <c r="X43" s="29">
        <f t="shared" si="10"/>
        <v>0</v>
      </c>
      <c r="Y43" s="24"/>
    </row>
    <row r="44" spans="2:25" ht="15" customHeight="1" x14ac:dyDescent="0.2">
      <c r="B44" s="31"/>
      <c r="C44" s="33"/>
      <c r="D44" s="16"/>
      <c r="E44" s="16"/>
      <c r="F44" s="16"/>
      <c r="G44" s="16"/>
      <c r="H44" s="16"/>
      <c r="I44" s="16"/>
      <c r="J44" s="32"/>
      <c r="K44" s="18"/>
      <c r="L44" s="19" t="str">
        <f t="shared" si="9"/>
        <v/>
      </c>
      <c r="M44" s="19" t="str">
        <f t="shared" si="9"/>
        <v/>
      </c>
      <c r="N44" s="19" t="str">
        <f t="shared" si="9"/>
        <v/>
      </c>
      <c r="O44" s="19" t="str">
        <f t="shared" si="5"/>
        <v/>
      </c>
      <c r="P44" s="19" t="str">
        <f t="shared" si="6"/>
        <v/>
      </c>
      <c r="Q44" s="19" t="str">
        <f t="shared" si="7"/>
        <v/>
      </c>
      <c r="R44" s="19" t="str">
        <f t="shared" si="9"/>
        <v/>
      </c>
      <c r="S44" s="27" t="str">
        <f t="shared" si="10"/>
        <v/>
      </c>
      <c r="T44" s="28" t="str">
        <f t="shared" si="10"/>
        <v/>
      </c>
      <c r="U44" s="28" t="str">
        <f t="shared" si="10"/>
        <v/>
      </c>
      <c r="V44" s="28" t="str">
        <f t="shared" si="10"/>
        <v/>
      </c>
      <c r="W44" s="28" t="str">
        <f t="shared" si="10"/>
        <v/>
      </c>
      <c r="X44" s="29" t="str">
        <f t="shared" si="10"/>
        <v/>
      </c>
      <c r="Y44" s="24"/>
    </row>
    <row r="45" spans="2:25" ht="15" customHeight="1" x14ac:dyDescent="0.2">
      <c r="B45" s="31"/>
      <c r="C45" s="33"/>
      <c r="D45" s="16"/>
      <c r="E45" s="16"/>
      <c r="F45" s="16"/>
      <c r="G45" s="16"/>
      <c r="H45" s="16"/>
      <c r="I45" s="16"/>
      <c r="J45" s="32"/>
      <c r="K45" s="18"/>
      <c r="L45" s="19" t="str">
        <f t="shared" si="9"/>
        <v/>
      </c>
      <c r="M45" s="19" t="str">
        <f t="shared" si="9"/>
        <v/>
      </c>
      <c r="N45" s="19" t="str">
        <f t="shared" si="9"/>
        <v/>
      </c>
      <c r="O45" s="19" t="str">
        <f t="shared" si="5"/>
        <v/>
      </c>
      <c r="P45" s="19" t="str">
        <f t="shared" si="6"/>
        <v/>
      </c>
      <c r="Q45" s="19" t="str">
        <f t="shared" si="7"/>
        <v/>
      </c>
      <c r="R45" s="19" t="str">
        <f t="shared" si="9"/>
        <v/>
      </c>
      <c r="S45" s="27" t="str">
        <f t="shared" si="10"/>
        <v/>
      </c>
      <c r="T45" s="28" t="str">
        <f t="shared" si="10"/>
        <v/>
      </c>
      <c r="U45" s="28" t="str">
        <f t="shared" si="10"/>
        <v/>
      </c>
      <c r="V45" s="28" t="str">
        <f t="shared" si="10"/>
        <v/>
      </c>
      <c r="W45" s="28" t="str">
        <f t="shared" si="10"/>
        <v/>
      </c>
      <c r="X45" s="29" t="str">
        <f t="shared" si="10"/>
        <v/>
      </c>
      <c r="Y45" s="24"/>
    </row>
    <row r="46" spans="2:25" ht="15" customHeight="1" x14ac:dyDescent="0.2">
      <c r="B46" s="31"/>
      <c r="C46" s="33"/>
      <c r="D46" s="16"/>
      <c r="E46" s="16"/>
      <c r="F46" s="16"/>
      <c r="G46" s="16"/>
      <c r="H46" s="16"/>
      <c r="I46" s="16"/>
      <c r="J46" s="32"/>
      <c r="K46" s="18"/>
      <c r="L46" s="19" t="str">
        <f t="shared" si="9"/>
        <v/>
      </c>
      <c r="M46" s="19" t="str">
        <f t="shared" si="9"/>
        <v/>
      </c>
      <c r="N46" s="19" t="str">
        <f t="shared" si="9"/>
        <v/>
      </c>
      <c r="O46" s="19" t="str">
        <f t="shared" si="5"/>
        <v/>
      </c>
      <c r="P46" s="19" t="str">
        <f t="shared" si="6"/>
        <v/>
      </c>
      <c r="Q46" s="19" t="str">
        <f t="shared" si="7"/>
        <v/>
      </c>
      <c r="R46" s="19" t="str">
        <f t="shared" si="9"/>
        <v/>
      </c>
      <c r="S46" s="27" t="str">
        <f t="shared" si="10"/>
        <v/>
      </c>
      <c r="T46" s="28" t="str">
        <f t="shared" si="10"/>
        <v/>
      </c>
      <c r="U46" s="28" t="str">
        <f t="shared" si="10"/>
        <v/>
      </c>
      <c r="V46" s="28" t="str">
        <f t="shared" si="10"/>
        <v/>
      </c>
      <c r="W46" s="28" t="str">
        <f t="shared" si="10"/>
        <v/>
      </c>
      <c r="X46" s="29" t="str">
        <f t="shared" si="10"/>
        <v/>
      </c>
      <c r="Y46" s="24"/>
    </row>
    <row r="47" spans="2:25" ht="15" customHeight="1" x14ac:dyDescent="0.2">
      <c r="B47" s="31"/>
      <c r="C47" s="33"/>
      <c r="D47" s="16"/>
      <c r="E47" s="16"/>
      <c r="F47" s="16"/>
      <c r="G47" s="16"/>
      <c r="H47" s="16"/>
      <c r="I47" s="16"/>
      <c r="J47" s="32"/>
      <c r="K47" s="18"/>
      <c r="L47" s="19" t="str">
        <f t="shared" si="9"/>
        <v/>
      </c>
      <c r="M47" s="19" t="str">
        <f t="shared" si="9"/>
        <v/>
      </c>
      <c r="N47" s="19" t="str">
        <f t="shared" si="9"/>
        <v/>
      </c>
      <c r="O47" s="19" t="str">
        <f t="shared" si="5"/>
        <v/>
      </c>
      <c r="P47" s="19" t="str">
        <f t="shared" si="6"/>
        <v/>
      </c>
      <c r="Q47" s="19" t="str">
        <f t="shared" si="7"/>
        <v/>
      </c>
      <c r="R47" s="19" t="str">
        <f t="shared" si="9"/>
        <v/>
      </c>
      <c r="S47" s="27" t="str">
        <f t="shared" si="10"/>
        <v/>
      </c>
      <c r="T47" s="28" t="str">
        <f t="shared" si="10"/>
        <v/>
      </c>
      <c r="U47" s="28" t="str">
        <f t="shared" si="10"/>
        <v/>
      </c>
      <c r="V47" s="28" t="str">
        <f t="shared" si="10"/>
        <v/>
      </c>
      <c r="W47" s="28" t="str">
        <f t="shared" si="10"/>
        <v/>
      </c>
      <c r="X47" s="29" t="str">
        <f t="shared" si="10"/>
        <v/>
      </c>
      <c r="Y47" s="24"/>
    </row>
    <row r="48" spans="2:25" ht="15" customHeight="1" x14ac:dyDescent="0.2">
      <c r="B48" s="31"/>
      <c r="C48" s="33"/>
      <c r="D48" s="16"/>
      <c r="E48" s="16"/>
      <c r="F48" s="16"/>
      <c r="G48" s="16"/>
      <c r="H48" s="16"/>
      <c r="I48" s="16"/>
      <c r="J48" s="32"/>
      <c r="K48" s="18"/>
      <c r="L48" s="19" t="str">
        <f t="shared" si="9"/>
        <v/>
      </c>
      <c r="M48" s="19" t="str">
        <f t="shared" si="9"/>
        <v/>
      </c>
      <c r="N48" s="19" t="str">
        <f t="shared" si="9"/>
        <v/>
      </c>
      <c r="O48" s="19" t="str">
        <f t="shared" si="5"/>
        <v/>
      </c>
      <c r="P48" s="19" t="str">
        <f t="shared" si="6"/>
        <v/>
      </c>
      <c r="Q48" s="19" t="str">
        <f t="shared" si="7"/>
        <v/>
      </c>
      <c r="R48" s="19" t="str">
        <f t="shared" si="9"/>
        <v/>
      </c>
      <c r="S48" s="27" t="str">
        <f t="shared" si="10"/>
        <v/>
      </c>
      <c r="T48" s="28" t="str">
        <f t="shared" si="10"/>
        <v/>
      </c>
      <c r="U48" s="28" t="str">
        <f t="shared" si="10"/>
        <v/>
      </c>
      <c r="V48" s="28" t="str">
        <f t="shared" si="10"/>
        <v/>
      </c>
      <c r="W48" s="28" t="str">
        <f t="shared" si="10"/>
        <v/>
      </c>
      <c r="X48" s="29" t="str">
        <f t="shared" si="10"/>
        <v/>
      </c>
      <c r="Y48" s="24"/>
    </row>
    <row r="49" spans="2:25" ht="15" customHeight="1" x14ac:dyDescent="0.2">
      <c r="B49" s="31"/>
      <c r="C49" s="33"/>
      <c r="D49" s="16"/>
      <c r="E49" s="16"/>
      <c r="F49" s="16"/>
      <c r="G49" s="16"/>
      <c r="H49" s="16"/>
      <c r="I49" s="16"/>
      <c r="J49" s="32"/>
      <c r="K49" s="18"/>
      <c r="L49" s="19" t="str">
        <f t="shared" si="9"/>
        <v/>
      </c>
      <c r="M49" s="19" t="str">
        <f t="shared" si="9"/>
        <v/>
      </c>
      <c r="N49" s="19" t="str">
        <f t="shared" si="9"/>
        <v/>
      </c>
      <c r="O49" s="19" t="str">
        <f t="shared" si="5"/>
        <v/>
      </c>
      <c r="P49" s="19" t="str">
        <f t="shared" si="6"/>
        <v/>
      </c>
      <c r="Q49" s="19" t="str">
        <f t="shared" si="7"/>
        <v/>
      </c>
      <c r="R49" s="19" t="str">
        <f t="shared" si="9"/>
        <v/>
      </c>
      <c r="S49" s="27" t="str">
        <f t="shared" ref="S49:X64" si="16">IF(C49="","",((C49-C48)*1000)/($B49-$B48))</f>
        <v/>
      </c>
      <c r="T49" s="28" t="str">
        <f t="shared" si="16"/>
        <v/>
      </c>
      <c r="U49" s="28" t="str">
        <f t="shared" si="16"/>
        <v/>
      </c>
      <c r="V49" s="28" t="str">
        <f t="shared" si="16"/>
        <v/>
      </c>
      <c r="W49" s="28" t="str">
        <f t="shared" si="16"/>
        <v/>
      </c>
      <c r="X49" s="29" t="str">
        <f t="shared" si="16"/>
        <v/>
      </c>
      <c r="Y49" s="24"/>
    </row>
    <row r="50" spans="2:25" ht="15" customHeight="1" x14ac:dyDescent="0.2">
      <c r="B50" s="31"/>
      <c r="C50" s="33"/>
      <c r="D50" s="16"/>
      <c r="E50" s="16"/>
      <c r="F50" s="16"/>
      <c r="G50" s="16"/>
      <c r="H50" s="16"/>
      <c r="I50" s="16"/>
      <c r="J50" s="32"/>
      <c r="K50" s="18"/>
      <c r="L50" s="19" t="str">
        <f t="shared" si="9"/>
        <v/>
      </c>
      <c r="M50" s="19" t="str">
        <f t="shared" si="9"/>
        <v/>
      </c>
      <c r="N50" s="19" t="str">
        <f t="shared" si="9"/>
        <v/>
      </c>
      <c r="O50" s="19" t="str">
        <f t="shared" si="5"/>
        <v/>
      </c>
      <c r="P50" s="19" t="str">
        <f t="shared" si="6"/>
        <v/>
      </c>
      <c r="Q50" s="19" t="str">
        <f t="shared" si="7"/>
        <v/>
      </c>
      <c r="R50" s="19" t="str">
        <f t="shared" si="9"/>
        <v/>
      </c>
      <c r="S50" s="27" t="str">
        <f t="shared" si="16"/>
        <v/>
      </c>
      <c r="T50" s="28" t="str">
        <f t="shared" si="16"/>
        <v/>
      </c>
      <c r="U50" s="28" t="str">
        <f t="shared" si="16"/>
        <v/>
      </c>
      <c r="V50" s="28" t="str">
        <f t="shared" si="16"/>
        <v/>
      </c>
      <c r="W50" s="28" t="str">
        <f t="shared" si="16"/>
        <v/>
      </c>
      <c r="X50" s="29" t="str">
        <f t="shared" si="16"/>
        <v/>
      </c>
      <c r="Y50" s="24"/>
    </row>
    <row r="51" spans="2:25" ht="15" customHeight="1" x14ac:dyDescent="0.2">
      <c r="B51" s="31"/>
      <c r="C51" s="33"/>
      <c r="D51" s="16"/>
      <c r="E51" s="16"/>
      <c r="F51" s="16"/>
      <c r="G51" s="16"/>
      <c r="H51" s="16"/>
      <c r="I51" s="16"/>
      <c r="J51" s="32"/>
      <c r="K51" s="18"/>
      <c r="L51" s="19" t="str">
        <f t="shared" si="9"/>
        <v/>
      </c>
      <c r="M51" s="19" t="str">
        <f t="shared" si="9"/>
        <v/>
      </c>
      <c r="N51" s="19" t="str">
        <f t="shared" si="9"/>
        <v/>
      </c>
      <c r="O51" s="19" t="str">
        <f t="shared" si="5"/>
        <v/>
      </c>
      <c r="P51" s="19" t="str">
        <f t="shared" si="6"/>
        <v/>
      </c>
      <c r="Q51" s="19" t="str">
        <f t="shared" si="7"/>
        <v/>
      </c>
      <c r="R51" s="19" t="str">
        <f t="shared" si="9"/>
        <v/>
      </c>
      <c r="S51" s="27" t="str">
        <f t="shared" si="16"/>
        <v/>
      </c>
      <c r="T51" s="28" t="str">
        <f t="shared" si="16"/>
        <v/>
      </c>
      <c r="U51" s="28" t="str">
        <f t="shared" si="16"/>
        <v/>
      </c>
      <c r="V51" s="28" t="str">
        <f t="shared" si="16"/>
        <v/>
      </c>
      <c r="W51" s="28" t="str">
        <f t="shared" si="16"/>
        <v/>
      </c>
      <c r="X51" s="29" t="str">
        <f t="shared" si="16"/>
        <v/>
      </c>
      <c r="Y51" s="24"/>
    </row>
    <row r="52" spans="2:25" ht="15" customHeight="1" x14ac:dyDescent="0.2">
      <c r="B52" s="31"/>
      <c r="C52" s="33"/>
      <c r="D52" s="16"/>
      <c r="E52" s="16"/>
      <c r="F52" s="16"/>
      <c r="G52" s="16"/>
      <c r="H52" s="16"/>
      <c r="I52" s="16"/>
      <c r="J52" s="32"/>
      <c r="K52" s="18"/>
      <c r="L52" s="19" t="str">
        <f t="shared" si="9"/>
        <v/>
      </c>
      <c r="M52" s="19" t="str">
        <f t="shared" si="9"/>
        <v/>
      </c>
      <c r="N52" s="19" t="str">
        <f t="shared" si="9"/>
        <v/>
      </c>
      <c r="O52" s="19" t="str">
        <f t="shared" si="5"/>
        <v/>
      </c>
      <c r="P52" s="19" t="str">
        <f t="shared" si="6"/>
        <v/>
      </c>
      <c r="Q52" s="19" t="str">
        <f t="shared" si="7"/>
        <v/>
      </c>
      <c r="R52" s="19" t="str">
        <f t="shared" si="9"/>
        <v/>
      </c>
      <c r="S52" s="27" t="str">
        <f t="shared" si="16"/>
        <v/>
      </c>
      <c r="T52" s="28" t="str">
        <f t="shared" si="16"/>
        <v/>
      </c>
      <c r="U52" s="28" t="str">
        <f t="shared" si="16"/>
        <v/>
      </c>
      <c r="V52" s="28" t="str">
        <f t="shared" si="16"/>
        <v/>
      </c>
      <c r="W52" s="28" t="str">
        <f t="shared" si="16"/>
        <v/>
      </c>
      <c r="X52" s="29" t="str">
        <f t="shared" si="16"/>
        <v/>
      </c>
      <c r="Y52" s="24"/>
    </row>
    <row r="53" spans="2:25" ht="15" customHeight="1" x14ac:dyDescent="0.2">
      <c r="B53" s="31"/>
      <c r="C53" s="33"/>
      <c r="D53" s="16"/>
      <c r="E53" s="16"/>
      <c r="F53" s="16"/>
      <c r="G53" s="16"/>
      <c r="H53" s="16"/>
      <c r="I53" s="16"/>
      <c r="J53" s="32"/>
      <c r="K53" s="18"/>
      <c r="L53" s="19" t="str">
        <f t="shared" si="9"/>
        <v/>
      </c>
      <c r="M53" s="19" t="str">
        <f t="shared" si="9"/>
        <v/>
      </c>
      <c r="N53" s="19" t="str">
        <f t="shared" si="9"/>
        <v/>
      </c>
      <c r="O53" s="19" t="str">
        <f t="shared" si="5"/>
        <v/>
      </c>
      <c r="P53" s="19" t="str">
        <f t="shared" si="6"/>
        <v/>
      </c>
      <c r="Q53" s="19" t="str">
        <f t="shared" si="7"/>
        <v/>
      </c>
      <c r="R53" s="19" t="str">
        <f t="shared" si="9"/>
        <v/>
      </c>
      <c r="S53" s="27" t="str">
        <f t="shared" si="16"/>
        <v/>
      </c>
      <c r="T53" s="28" t="str">
        <f t="shared" si="16"/>
        <v/>
      </c>
      <c r="U53" s="28" t="str">
        <f t="shared" si="16"/>
        <v/>
      </c>
      <c r="V53" s="28" t="str">
        <f t="shared" si="16"/>
        <v/>
      </c>
      <c r="W53" s="28" t="str">
        <f t="shared" si="16"/>
        <v/>
      </c>
      <c r="X53" s="29" t="str">
        <f t="shared" si="16"/>
        <v/>
      </c>
      <c r="Y53" s="24"/>
    </row>
    <row r="54" spans="2:25" ht="15" customHeight="1" x14ac:dyDescent="0.2">
      <c r="B54" s="31"/>
      <c r="C54" s="33"/>
      <c r="D54" s="16"/>
      <c r="E54" s="16"/>
      <c r="F54" s="16"/>
      <c r="G54" s="16"/>
      <c r="H54" s="16"/>
      <c r="I54" s="16"/>
      <c r="J54" s="32"/>
      <c r="K54" s="18"/>
      <c r="L54" s="19" t="str">
        <f t="shared" si="9"/>
        <v/>
      </c>
      <c r="M54" s="19" t="str">
        <f t="shared" si="9"/>
        <v/>
      </c>
      <c r="N54" s="19" t="str">
        <f t="shared" si="9"/>
        <v/>
      </c>
      <c r="O54" s="19" t="str">
        <f t="shared" si="5"/>
        <v/>
      </c>
      <c r="P54" s="19" t="str">
        <f t="shared" si="6"/>
        <v/>
      </c>
      <c r="Q54" s="19" t="str">
        <f t="shared" si="7"/>
        <v/>
      </c>
      <c r="R54" s="19" t="str">
        <f t="shared" si="9"/>
        <v/>
      </c>
      <c r="S54" s="27" t="str">
        <f t="shared" si="16"/>
        <v/>
      </c>
      <c r="T54" s="28" t="str">
        <f t="shared" si="16"/>
        <v/>
      </c>
      <c r="U54" s="28" t="str">
        <f t="shared" si="16"/>
        <v/>
      </c>
      <c r="V54" s="28" t="str">
        <f t="shared" si="16"/>
        <v/>
      </c>
      <c r="W54" s="28" t="str">
        <f t="shared" si="16"/>
        <v/>
      </c>
      <c r="X54" s="29" t="str">
        <f t="shared" si="16"/>
        <v/>
      </c>
      <c r="Y54" s="24"/>
    </row>
    <row r="55" spans="2:25" ht="15" customHeight="1" x14ac:dyDescent="0.2">
      <c r="B55" s="31"/>
      <c r="C55" s="33"/>
      <c r="D55" s="16"/>
      <c r="E55" s="16"/>
      <c r="F55" s="16"/>
      <c r="G55" s="16"/>
      <c r="H55" s="16"/>
      <c r="I55" s="16"/>
      <c r="J55" s="32"/>
      <c r="K55" s="18"/>
      <c r="L55" s="19" t="str">
        <f t="shared" si="9"/>
        <v/>
      </c>
      <c r="M55" s="19" t="str">
        <f t="shared" si="9"/>
        <v/>
      </c>
      <c r="N55" s="19" t="str">
        <f t="shared" si="9"/>
        <v/>
      </c>
      <c r="O55" s="19" t="str">
        <f t="shared" si="5"/>
        <v/>
      </c>
      <c r="P55" s="19" t="str">
        <f t="shared" si="6"/>
        <v/>
      </c>
      <c r="Q55" s="19" t="str">
        <f t="shared" si="7"/>
        <v/>
      </c>
      <c r="R55" s="19" t="str">
        <f t="shared" si="9"/>
        <v/>
      </c>
      <c r="S55" s="27" t="str">
        <f t="shared" si="16"/>
        <v/>
      </c>
      <c r="T55" s="28" t="str">
        <f t="shared" si="16"/>
        <v/>
      </c>
      <c r="U55" s="28" t="str">
        <f t="shared" si="16"/>
        <v/>
      </c>
      <c r="V55" s="28" t="str">
        <f t="shared" si="16"/>
        <v/>
      </c>
      <c r="W55" s="28" t="str">
        <f t="shared" si="16"/>
        <v/>
      </c>
      <c r="X55" s="29" t="str">
        <f t="shared" si="16"/>
        <v/>
      </c>
      <c r="Y55" s="24"/>
    </row>
    <row r="56" spans="2:25" ht="15" customHeight="1" x14ac:dyDescent="0.2">
      <c r="B56" s="31"/>
      <c r="C56" s="33"/>
      <c r="D56" s="16"/>
      <c r="E56" s="16"/>
      <c r="F56" s="16"/>
      <c r="G56" s="16"/>
      <c r="H56" s="16"/>
      <c r="I56" s="16"/>
      <c r="J56" s="32"/>
      <c r="K56" s="18"/>
      <c r="L56" s="19" t="str">
        <f t="shared" si="9"/>
        <v/>
      </c>
      <c r="M56" s="19" t="str">
        <f t="shared" si="9"/>
        <v/>
      </c>
      <c r="N56" s="19" t="str">
        <f t="shared" si="9"/>
        <v/>
      </c>
      <c r="O56" s="19" t="str">
        <f t="shared" si="5"/>
        <v/>
      </c>
      <c r="P56" s="19" t="str">
        <f t="shared" si="6"/>
        <v/>
      </c>
      <c r="Q56" s="19" t="str">
        <f t="shared" si="7"/>
        <v/>
      </c>
      <c r="R56" s="19" t="str">
        <f t="shared" si="9"/>
        <v/>
      </c>
      <c r="S56" s="27" t="str">
        <f t="shared" si="16"/>
        <v/>
      </c>
      <c r="T56" s="28" t="str">
        <f t="shared" si="16"/>
        <v/>
      </c>
      <c r="U56" s="28" t="str">
        <f t="shared" si="16"/>
        <v/>
      </c>
      <c r="V56" s="28" t="str">
        <f t="shared" si="16"/>
        <v/>
      </c>
      <c r="W56" s="28" t="str">
        <f t="shared" si="16"/>
        <v/>
      </c>
      <c r="X56" s="29" t="str">
        <f t="shared" si="16"/>
        <v/>
      </c>
      <c r="Y56" s="24"/>
    </row>
    <row r="57" spans="2:25" ht="15" customHeight="1" x14ac:dyDescent="0.2">
      <c r="B57" s="31"/>
      <c r="C57" s="33"/>
      <c r="D57" s="16"/>
      <c r="E57" s="16"/>
      <c r="F57" s="16"/>
      <c r="G57" s="16"/>
      <c r="H57" s="16"/>
      <c r="I57" s="16"/>
      <c r="J57" s="32"/>
      <c r="K57" s="18"/>
      <c r="L57" s="19" t="str">
        <f t="shared" si="9"/>
        <v/>
      </c>
      <c r="M57" s="19" t="str">
        <f t="shared" si="9"/>
        <v/>
      </c>
      <c r="N57" s="19" t="str">
        <f t="shared" si="9"/>
        <v/>
      </c>
      <c r="O57" s="19" t="str">
        <f t="shared" si="5"/>
        <v/>
      </c>
      <c r="P57" s="19" t="str">
        <f t="shared" si="6"/>
        <v/>
      </c>
      <c r="Q57" s="19" t="str">
        <f t="shared" si="7"/>
        <v/>
      </c>
      <c r="R57" s="19" t="str">
        <f t="shared" si="9"/>
        <v/>
      </c>
      <c r="S57" s="27" t="str">
        <f t="shared" si="16"/>
        <v/>
      </c>
      <c r="T57" s="28" t="str">
        <f t="shared" si="16"/>
        <v/>
      </c>
      <c r="U57" s="28" t="str">
        <f t="shared" si="16"/>
        <v/>
      </c>
      <c r="V57" s="28" t="str">
        <f t="shared" si="16"/>
        <v/>
      </c>
      <c r="W57" s="28" t="str">
        <f t="shared" si="16"/>
        <v/>
      </c>
      <c r="X57" s="29" t="str">
        <f t="shared" si="16"/>
        <v/>
      </c>
      <c r="Y57" s="24"/>
    </row>
    <row r="58" spans="2:25" ht="15" customHeight="1" x14ac:dyDescent="0.2">
      <c r="B58" s="31"/>
      <c r="C58" s="33"/>
      <c r="D58" s="16"/>
      <c r="E58" s="16"/>
      <c r="F58" s="16"/>
      <c r="G58" s="16"/>
      <c r="H58" s="16"/>
      <c r="I58" s="16"/>
      <c r="J58" s="32"/>
      <c r="K58" s="18"/>
      <c r="L58" s="19" t="str">
        <f t="shared" si="9"/>
        <v/>
      </c>
      <c r="M58" s="19" t="str">
        <f t="shared" si="9"/>
        <v/>
      </c>
      <c r="N58" s="19" t="str">
        <f t="shared" si="9"/>
        <v/>
      </c>
      <c r="O58" s="19" t="str">
        <f t="shared" si="5"/>
        <v/>
      </c>
      <c r="P58" s="19" t="str">
        <f t="shared" si="6"/>
        <v/>
      </c>
      <c r="Q58" s="19" t="str">
        <f t="shared" si="7"/>
        <v/>
      </c>
      <c r="R58" s="19" t="str">
        <f t="shared" si="9"/>
        <v/>
      </c>
      <c r="S58" s="27" t="str">
        <f t="shared" si="16"/>
        <v/>
      </c>
      <c r="T58" s="28" t="str">
        <f t="shared" si="16"/>
        <v/>
      </c>
      <c r="U58" s="28" t="str">
        <f t="shared" si="16"/>
        <v/>
      </c>
      <c r="V58" s="28" t="str">
        <f t="shared" si="16"/>
        <v/>
      </c>
      <c r="W58" s="28" t="str">
        <f t="shared" si="16"/>
        <v/>
      </c>
      <c r="X58" s="29" t="str">
        <f t="shared" si="16"/>
        <v/>
      </c>
      <c r="Y58" s="24"/>
    </row>
    <row r="59" spans="2:25" ht="15" customHeight="1" x14ac:dyDescent="0.2">
      <c r="B59" s="31"/>
      <c r="C59" s="33"/>
      <c r="D59" s="16"/>
      <c r="E59" s="16"/>
      <c r="F59" s="16"/>
      <c r="G59" s="16"/>
      <c r="H59" s="16"/>
      <c r="I59" s="16"/>
      <c r="J59" s="32"/>
      <c r="K59" s="18"/>
      <c r="L59" s="19" t="str">
        <f t="shared" si="9"/>
        <v/>
      </c>
      <c r="M59" s="19" t="str">
        <f t="shared" si="9"/>
        <v/>
      </c>
      <c r="N59" s="19" t="str">
        <f t="shared" si="9"/>
        <v/>
      </c>
      <c r="O59" s="19" t="str">
        <f t="shared" si="5"/>
        <v/>
      </c>
      <c r="P59" s="19" t="str">
        <f t="shared" si="6"/>
        <v/>
      </c>
      <c r="Q59" s="19" t="str">
        <f t="shared" si="7"/>
        <v/>
      </c>
      <c r="R59" s="19" t="str">
        <f t="shared" si="9"/>
        <v/>
      </c>
      <c r="S59" s="27" t="str">
        <f t="shared" si="16"/>
        <v/>
      </c>
      <c r="T59" s="28" t="str">
        <f t="shared" si="16"/>
        <v/>
      </c>
      <c r="U59" s="28" t="str">
        <f t="shared" si="16"/>
        <v/>
      </c>
      <c r="V59" s="28" t="str">
        <f t="shared" si="16"/>
        <v/>
      </c>
      <c r="W59" s="28" t="str">
        <f t="shared" si="16"/>
        <v/>
      </c>
      <c r="X59" s="29" t="str">
        <f t="shared" si="16"/>
        <v/>
      </c>
      <c r="Y59" s="24"/>
    </row>
    <row r="60" spans="2:25" ht="15" customHeight="1" x14ac:dyDescent="0.2">
      <c r="B60" s="31"/>
      <c r="C60" s="33"/>
      <c r="D60" s="16"/>
      <c r="E60" s="16"/>
      <c r="F60" s="16"/>
      <c r="G60" s="16"/>
      <c r="H60" s="16"/>
      <c r="I60" s="16"/>
      <c r="J60" s="32"/>
      <c r="K60" s="18"/>
      <c r="L60" s="19" t="str">
        <f t="shared" si="9"/>
        <v/>
      </c>
      <c r="M60" s="19" t="str">
        <f t="shared" si="9"/>
        <v/>
      </c>
      <c r="N60" s="19" t="str">
        <f t="shared" si="9"/>
        <v/>
      </c>
      <c r="O60" s="19" t="str">
        <f t="shared" si="5"/>
        <v/>
      </c>
      <c r="P60" s="19" t="str">
        <f t="shared" si="6"/>
        <v/>
      </c>
      <c r="Q60" s="19" t="str">
        <f t="shared" si="7"/>
        <v/>
      </c>
      <c r="R60" s="19" t="str">
        <f t="shared" si="9"/>
        <v/>
      </c>
      <c r="S60" s="27" t="str">
        <f t="shared" si="16"/>
        <v/>
      </c>
      <c r="T60" s="28" t="str">
        <f t="shared" si="16"/>
        <v/>
      </c>
      <c r="U60" s="28" t="str">
        <f t="shared" si="16"/>
        <v/>
      </c>
      <c r="V60" s="28" t="str">
        <f t="shared" si="16"/>
        <v/>
      </c>
      <c r="W60" s="28" t="str">
        <f t="shared" si="16"/>
        <v/>
      </c>
      <c r="X60" s="29" t="str">
        <f t="shared" si="16"/>
        <v/>
      </c>
      <c r="Y60" s="24"/>
    </row>
    <row r="61" spans="2:25" ht="15" customHeight="1" x14ac:dyDescent="0.2">
      <c r="B61" s="31"/>
      <c r="C61" s="33"/>
      <c r="D61" s="16"/>
      <c r="E61" s="16"/>
      <c r="F61" s="16"/>
      <c r="G61" s="16"/>
      <c r="H61" s="16"/>
      <c r="I61" s="16"/>
      <c r="J61" s="32"/>
      <c r="K61" s="18"/>
      <c r="L61" s="19" t="str">
        <f t="shared" si="9"/>
        <v/>
      </c>
      <c r="M61" s="19" t="str">
        <f t="shared" si="9"/>
        <v/>
      </c>
      <c r="N61" s="19" t="str">
        <f t="shared" si="9"/>
        <v/>
      </c>
      <c r="O61" s="19" t="str">
        <f t="shared" si="5"/>
        <v/>
      </c>
      <c r="P61" s="19" t="str">
        <f t="shared" si="6"/>
        <v/>
      </c>
      <c r="Q61" s="19" t="str">
        <f t="shared" si="7"/>
        <v/>
      </c>
      <c r="R61" s="19" t="str">
        <f t="shared" si="9"/>
        <v/>
      </c>
      <c r="S61" s="27" t="str">
        <f t="shared" si="16"/>
        <v/>
      </c>
      <c r="T61" s="28" t="str">
        <f t="shared" si="16"/>
        <v/>
      </c>
      <c r="U61" s="28" t="str">
        <f t="shared" si="16"/>
        <v/>
      </c>
      <c r="V61" s="28" t="str">
        <f t="shared" si="16"/>
        <v/>
      </c>
      <c r="W61" s="28" t="str">
        <f t="shared" si="16"/>
        <v/>
      </c>
      <c r="X61" s="29" t="str">
        <f t="shared" si="16"/>
        <v/>
      </c>
      <c r="Y61" s="24"/>
    </row>
    <row r="62" spans="2:25" ht="15" customHeight="1" x14ac:dyDescent="0.2">
      <c r="B62" s="31"/>
      <c r="C62" s="33"/>
      <c r="D62" s="16"/>
      <c r="E62" s="16"/>
      <c r="F62" s="16"/>
      <c r="G62" s="16"/>
      <c r="H62" s="16"/>
      <c r="I62" s="16"/>
      <c r="J62" s="32"/>
      <c r="K62" s="18"/>
      <c r="L62" s="19" t="str">
        <f t="shared" si="9"/>
        <v/>
      </c>
      <c r="M62" s="19" t="str">
        <f t="shared" si="9"/>
        <v/>
      </c>
      <c r="N62" s="19" t="str">
        <f t="shared" si="9"/>
        <v/>
      </c>
      <c r="O62" s="19" t="str">
        <f t="shared" si="5"/>
        <v/>
      </c>
      <c r="P62" s="19" t="str">
        <f t="shared" si="6"/>
        <v/>
      </c>
      <c r="Q62" s="19" t="str">
        <f t="shared" si="7"/>
        <v/>
      </c>
      <c r="R62" s="19" t="str">
        <f t="shared" ref="R62:R93" si="17">IF(ISBLANK(I62),"",(I62-I$16)*1000)</f>
        <v/>
      </c>
      <c r="S62" s="27" t="str">
        <f t="shared" si="16"/>
        <v/>
      </c>
      <c r="T62" s="28" t="str">
        <f t="shared" si="16"/>
        <v/>
      </c>
      <c r="U62" s="28" t="str">
        <f t="shared" si="16"/>
        <v/>
      </c>
      <c r="V62" s="28" t="str">
        <f t="shared" si="16"/>
        <v/>
      </c>
      <c r="W62" s="28" t="str">
        <f t="shared" si="16"/>
        <v/>
      </c>
      <c r="X62" s="29" t="str">
        <f t="shared" si="16"/>
        <v/>
      </c>
      <c r="Y62" s="24"/>
    </row>
    <row r="63" spans="2:25" ht="15" customHeight="1" x14ac:dyDescent="0.2">
      <c r="B63" s="31"/>
      <c r="C63" s="33"/>
      <c r="D63" s="16"/>
      <c r="E63" s="16"/>
      <c r="F63" s="16"/>
      <c r="G63" s="16"/>
      <c r="H63" s="16"/>
      <c r="I63" s="16"/>
      <c r="J63" s="32"/>
      <c r="K63" s="18"/>
      <c r="L63" s="19" t="str">
        <f t="shared" ref="L63:R117" si="18">IF(ISBLANK(C63),"",(C63-C$16)*1000)</f>
        <v/>
      </c>
      <c r="M63" s="19" t="str">
        <f t="shared" si="18"/>
        <v/>
      </c>
      <c r="N63" s="19" t="str">
        <f t="shared" si="18"/>
        <v/>
      </c>
      <c r="O63" s="19" t="str">
        <f t="shared" si="5"/>
        <v/>
      </c>
      <c r="P63" s="19" t="str">
        <f t="shared" si="6"/>
        <v/>
      </c>
      <c r="Q63" s="19" t="str">
        <f t="shared" si="7"/>
        <v/>
      </c>
      <c r="R63" s="19" t="str">
        <f t="shared" si="17"/>
        <v/>
      </c>
      <c r="S63" s="27" t="str">
        <f t="shared" si="16"/>
        <v/>
      </c>
      <c r="T63" s="28" t="str">
        <f t="shared" si="16"/>
        <v/>
      </c>
      <c r="U63" s="28" t="str">
        <f t="shared" si="16"/>
        <v/>
      </c>
      <c r="V63" s="28" t="str">
        <f t="shared" si="16"/>
        <v/>
      </c>
      <c r="W63" s="28" t="str">
        <f t="shared" si="16"/>
        <v/>
      </c>
      <c r="X63" s="29" t="str">
        <f t="shared" si="16"/>
        <v/>
      </c>
      <c r="Y63" s="24"/>
    </row>
    <row r="64" spans="2:25" ht="15" customHeight="1" x14ac:dyDescent="0.2">
      <c r="B64" s="31"/>
      <c r="C64" s="33"/>
      <c r="D64" s="16"/>
      <c r="E64" s="16"/>
      <c r="F64" s="16"/>
      <c r="G64" s="16"/>
      <c r="H64" s="16"/>
      <c r="I64" s="16"/>
      <c r="J64" s="32"/>
      <c r="K64" s="18"/>
      <c r="L64" s="19" t="str">
        <f t="shared" si="18"/>
        <v/>
      </c>
      <c r="M64" s="19" t="str">
        <f t="shared" si="18"/>
        <v/>
      </c>
      <c r="N64" s="19" t="str">
        <f t="shared" si="18"/>
        <v/>
      </c>
      <c r="O64" s="19" t="str">
        <f t="shared" si="5"/>
        <v/>
      </c>
      <c r="P64" s="19" t="str">
        <f t="shared" si="6"/>
        <v/>
      </c>
      <c r="Q64" s="19" t="str">
        <f t="shared" si="7"/>
        <v/>
      </c>
      <c r="R64" s="19" t="str">
        <f t="shared" si="17"/>
        <v/>
      </c>
      <c r="S64" s="27" t="str">
        <f t="shared" si="16"/>
        <v/>
      </c>
      <c r="T64" s="28" t="str">
        <f t="shared" si="16"/>
        <v/>
      </c>
      <c r="U64" s="28" t="str">
        <f t="shared" si="16"/>
        <v/>
      </c>
      <c r="V64" s="28" t="str">
        <f t="shared" si="16"/>
        <v/>
      </c>
      <c r="W64" s="28" t="str">
        <f t="shared" si="16"/>
        <v/>
      </c>
      <c r="X64" s="29" t="str">
        <f t="shared" si="16"/>
        <v/>
      </c>
      <c r="Y64" s="24"/>
    </row>
    <row r="65" spans="2:25" ht="15" customHeight="1" x14ac:dyDescent="0.2">
      <c r="B65" s="31"/>
      <c r="C65" s="33"/>
      <c r="D65" s="16"/>
      <c r="E65" s="16"/>
      <c r="F65" s="16"/>
      <c r="G65" s="16"/>
      <c r="H65" s="16"/>
      <c r="I65" s="16"/>
      <c r="J65" s="32"/>
      <c r="K65" s="18"/>
      <c r="L65" s="19" t="str">
        <f t="shared" si="18"/>
        <v/>
      </c>
      <c r="M65" s="19" t="str">
        <f t="shared" si="18"/>
        <v/>
      </c>
      <c r="N65" s="19" t="str">
        <f t="shared" si="18"/>
        <v/>
      </c>
      <c r="O65" s="19" t="str">
        <f t="shared" si="5"/>
        <v/>
      </c>
      <c r="P65" s="19" t="str">
        <f t="shared" si="6"/>
        <v/>
      </c>
      <c r="Q65" s="19" t="str">
        <f t="shared" si="7"/>
        <v/>
      </c>
      <c r="R65" s="19" t="str">
        <f t="shared" si="17"/>
        <v/>
      </c>
      <c r="S65" s="27" t="str">
        <f t="shared" ref="S65:X80" si="19">IF(C65="","",((C65-C64)*1000)/($B65-$B64))</f>
        <v/>
      </c>
      <c r="T65" s="28" t="str">
        <f t="shared" si="19"/>
        <v/>
      </c>
      <c r="U65" s="28" t="str">
        <f t="shared" si="19"/>
        <v/>
      </c>
      <c r="V65" s="28" t="str">
        <f t="shared" si="19"/>
        <v/>
      </c>
      <c r="W65" s="28" t="str">
        <f t="shared" si="19"/>
        <v/>
      </c>
      <c r="X65" s="29" t="str">
        <f t="shared" si="19"/>
        <v/>
      </c>
      <c r="Y65" s="24"/>
    </row>
    <row r="66" spans="2:25" ht="15" customHeight="1" x14ac:dyDescent="0.2">
      <c r="B66" s="31"/>
      <c r="C66" s="33"/>
      <c r="D66" s="16"/>
      <c r="E66" s="16"/>
      <c r="F66" s="16"/>
      <c r="G66" s="16"/>
      <c r="H66" s="16"/>
      <c r="I66" s="16"/>
      <c r="J66" s="32"/>
      <c r="K66" s="18"/>
      <c r="L66" s="19" t="str">
        <f t="shared" si="18"/>
        <v/>
      </c>
      <c r="M66" s="19" t="str">
        <f t="shared" si="18"/>
        <v/>
      </c>
      <c r="N66" s="19" t="str">
        <f t="shared" si="18"/>
        <v/>
      </c>
      <c r="O66" s="19" t="str">
        <f t="shared" si="5"/>
        <v/>
      </c>
      <c r="P66" s="19" t="str">
        <f t="shared" si="6"/>
        <v/>
      </c>
      <c r="Q66" s="19" t="str">
        <f t="shared" si="7"/>
        <v/>
      </c>
      <c r="R66" s="19" t="str">
        <f t="shared" si="17"/>
        <v/>
      </c>
      <c r="S66" s="27" t="str">
        <f t="shared" si="19"/>
        <v/>
      </c>
      <c r="T66" s="28" t="str">
        <f t="shared" si="19"/>
        <v/>
      </c>
      <c r="U66" s="28" t="str">
        <f t="shared" si="19"/>
        <v/>
      </c>
      <c r="V66" s="28" t="str">
        <f t="shared" si="19"/>
        <v/>
      </c>
      <c r="W66" s="28" t="str">
        <f t="shared" si="19"/>
        <v/>
      </c>
      <c r="X66" s="29" t="str">
        <f t="shared" si="19"/>
        <v/>
      </c>
      <c r="Y66" s="24"/>
    </row>
    <row r="67" spans="2:25" ht="15" customHeight="1" x14ac:dyDescent="0.2">
      <c r="B67" s="31"/>
      <c r="C67" s="33"/>
      <c r="D67" s="16"/>
      <c r="E67" s="16"/>
      <c r="F67" s="16"/>
      <c r="G67" s="16"/>
      <c r="H67" s="16"/>
      <c r="I67" s="16"/>
      <c r="J67" s="32"/>
      <c r="K67" s="18"/>
      <c r="L67" s="19" t="str">
        <f t="shared" si="18"/>
        <v/>
      </c>
      <c r="M67" s="19" t="str">
        <f t="shared" si="18"/>
        <v/>
      </c>
      <c r="N67" s="19" t="str">
        <f t="shared" si="18"/>
        <v/>
      </c>
      <c r="O67" s="19" t="str">
        <f t="shared" si="5"/>
        <v/>
      </c>
      <c r="P67" s="19" t="str">
        <f t="shared" si="6"/>
        <v/>
      </c>
      <c r="Q67" s="19" t="str">
        <f t="shared" si="7"/>
        <v/>
      </c>
      <c r="R67" s="19" t="str">
        <f t="shared" si="17"/>
        <v/>
      </c>
      <c r="S67" s="27" t="str">
        <f t="shared" si="19"/>
        <v/>
      </c>
      <c r="T67" s="28" t="str">
        <f t="shared" si="19"/>
        <v/>
      </c>
      <c r="U67" s="28" t="str">
        <f t="shared" si="19"/>
        <v/>
      </c>
      <c r="V67" s="28" t="str">
        <f t="shared" si="19"/>
        <v/>
      </c>
      <c r="W67" s="28" t="str">
        <f t="shared" si="19"/>
        <v/>
      </c>
      <c r="X67" s="29" t="str">
        <f t="shared" si="19"/>
        <v/>
      </c>
      <c r="Y67" s="24"/>
    </row>
    <row r="68" spans="2:25" ht="15" customHeight="1" x14ac:dyDescent="0.2">
      <c r="B68" s="31"/>
      <c r="C68" s="33"/>
      <c r="D68" s="16"/>
      <c r="E68" s="16"/>
      <c r="F68" s="16"/>
      <c r="G68" s="16"/>
      <c r="H68" s="16"/>
      <c r="I68" s="16"/>
      <c r="J68" s="32"/>
      <c r="K68" s="18"/>
      <c r="L68" s="19" t="str">
        <f t="shared" si="18"/>
        <v/>
      </c>
      <c r="M68" s="19" t="str">
        <f t="shared" si="18"/>
        <v/>
      </c>
      <c r="N68" s="19" t="str">
        <f t="shared" si="18"/>
        <v/>
      </c>
      <c r="O68" s="19" t="str">
        <f t="shared" si="5"/>
        <v/>
      </c>
      <c r="P68" s="19" t="str">
        <f t="shared" si="6"/>
        <v/>
      </c>
      <c r="Q68" s="19" t="str">
        <f t="shared" si="7"/>
        <v/>
      </c>
      <c r="R68" s="19" t="str">
        <f t="shared" si="17"/>
        <v/>
      </c>
      <c r="S68" s="27" t="str">
        <f t="shared" si="19"/>
        <v/>
      </c>
      <c r="T68" s="28" t="str">
        <f t="shared" si="19"/>
        <v/>
      </c>
      <c r="U68" s="28" t="str">
        <f t="shared" si="19"/>
        <v/>
      </c>
      <c r="V68" s="28" t="str">
        <f t="shared" si="19"/>
        <v/>
      </c>
      <c r="W68" s="28" t="str">
        <f t="shared" si="19"/>
        <v/>
      </c>
      <c r="X68" s="29" t="str">
        <f t="shared" si="19"/>
        <v/>
      </c>
      <c r="Y68" s="24"/>
    </row>
    <row r="69" spans="2:25" ht="15" customHeight="1" x14ac:dyDescent="0.2">
      <c r="B69" s="31"/>
      <c r="C69" s="33"/>
      <c r="D69" s="16"/>
      <c r="E69" s="16"/>
      <c r="F69" s="16"/>
      <c r="G69" s="16"/>
      <c r="H69" s="16"/>
      <c r="I69" s="16"/>
      <c r="J69" s="32"/>
      <c r="K69" s="18"/>
      <c r="L69" s="19" t="str">
        <f t="shared" si="18"/>
        <v/>
      </c>
      <c r="M69" s="19" t="str">
        <f t="shared" si="18"/>
        <v/>
      </c>
      <c r="N69" s="19" t="str">
        <f t="shared" si="18"/>
        <v/>
      </c>
      <c r="O69" s="19" t="str">
        <f t="shared" si="5"/>
        <v/>
      </c>
      <c r="P69" s="19" t="str">
        <f t="shared" si="6"/>
        <v/>
      </c>
      <c r="Q69" s="19" t="str">
        <f t="shared" si="7"/>
        <v/>
      </c>
      <c r="R69" s="19" t="str">
        <f t="shared" si="17"/>
        <v/>
      </c>
      <c r="S69" s="27" t="str">
        <f t="shared" si="19"/>
        <v/>
      </c>
      <c r="T69" s="28" t="str">
        <f t="shared" si="19"/>
        <v/>
      </c>
      <c r="U69" s="28" t="str">
        <f t="shared" si="19"/>
        <v/>
      </c>
      <c r="V69" s="28" t="str">
        <f t="shared" si="19"/>
        <v/>
      </c>
      <c r="W69" s="28" t="str">
        <f t="shared" si="19"/>
        <v/>
      </c>
      <c r="X69" s="29" t="str">
        <f t="shared" si="19"/>
        <v/>
      </c>
      <c r="Y69" s="24"/>
    </row>
    <row r="70" spans="2:25" ht="15" customHeight="1" x14ac:dyDescent="0.2">
      <c r="B70" s="31"/>
      <c r="C70" s="33"/>
      <c r="D70" s="16"/>
      <c r="E70" s="16"/>
      <c r="F70" s="16"/>
      <c r="G70" s="16"/>
      <c r="H70" s="16"/>
      <c r="I70" s="16"/>
      <c r="J70" s="32"/>
      <c r="K70" s="18"/>
      <c r="L70" s="19" t="str">
        <f t="shared" si="18"/>
        <v/>
      </c>
      <c r="M70" s="19" t="str">
        <f t="shared" si="18"/>
        <v/>
      </c>
      <c r="N70" s="19" t="str">
        <f t="shared" si="18"/>
        <v/>
      </c>
      <c r="O70" s="19" t="str">
        <f t="shared" si="5"/>
        <v/>
      </c>
      <c r="P70" s="19" t="str">
        <f t="shared" si="6"/>
        <v/>
      </c>
      <c r="Q70" s="19" t="str">
        <f t="shared" si="7"/>
        <v/>
      </c>
      <c r="R70" s="19" t="str">
        <f t="shared" si="17"/>
        <v/>
      </c>
      <c r="S70" s="27" t="str">
        <f t="shared" si="19"/>
        <v/>
      </c>
      <c r="T70" s="28" t="str">
        <f t="shared" si="19"/>
        <v/>
      </c>
      <c r="U70" s="28" t="str">
        <f t="shared" si="19"/>
        <v/>
      </c>
      <c r="V70" s="28" t="str">
        <f t="shared" si="19"/>
        <v/>
      </c>
      <c r="W70" s="28" t="str">
        <f t="shared" si="19"/>
        <v/>
      </c>
      <c r="X70" s="29" t="str">
        <f t="shared" si="19"/>
        <v/>
      </c>
      <c r="Y70" s="24"/>
    </row>
    <row r="71" spans="2:25" ht="15" customHeight="1" x14ac:dyDescent="0.2">
      <c r="B71" s="31"/>
      <c r="C71" s="33"/>
      <c r="D71" s="16"/>
      <c r="E71" s="16"/>
      <c r="F71" s="16"/>
      <c r="G71" s="16"/>
      <c r="H71" s="16"/>
      <c r="I71" s="16"/>
      <c r="J71" s="32"/>
      <c r="K71" s="18"/>
      <c r="L71" s="19" t="str">
        <f t="shared" si="18"/>
        <v/>
      </c>
      <c r="M71" s="19" t="str">
        <f t="shared" si="18"/>
        <v/>
      </c>
      <c r="N71" s="19" t="str">
        <f t="shared" si="18"/>
        <v/>
      </c>
      <c r="O71" s="19" t="str">
        <f t="shared" si="5"/>
        <v/>
      </c>
      <c r="P71" s="19" t="str">
        <f t="shared" si="6"/>
        <v/>
      </c>
      <c r="Q71" s="19" t="str">
        <f t="shared" si="7"/>
        <v/>
      </c>
      <c r="R71" s="19" t="str">
        <f t="shared" si="17"/>
        <v/>
      </c>
      <c r="S71" s="27" t="str">
        <f t="shared" si="19"/>
        <v/>
      </c>
      <c r="T71" s="28" t="str">
        <f t="shared" si="19"/>
        <v/>
      </c>
      <c r="U71" s="28" t="str">
        <f t="shared" si="19"/>
        <v/>
      </c>
      <c r="V71" s="28" t="str">
        <f t="shared" si="19"/>
        <v/>
      </c>
      <c r="W71" s="28" t="str">
        <f t="shared" si="19"/>
        <v/>
      </c>
      <c r="X71" s="29" t="str">
        <f t="shared" si="19"/>
        <v/>
      </c>
      <c r="Y71" s="24"/>
    </row>
    <row r="72" spans="2:25" x14ac:dyDescent="0.2">
      <c r="B72" s="31"/>
      <c r="C72" s="33"/>
      <c r="D72" s="16"/>
      <c r="E72" s="16"/>
      <c r="F72" s="16"/>
      <c r="G72" s="16"/>
      <c r="H72" s="16"/>
      <c r="I72" s="16"/>
      <c r="J72" s="32"/>
      <c r="K72" s="18"/>
      <c r="L72" s="19" t="str">
        <f t="shared" si="18"/>
        <v/>
      </c>
      <c r="M72" s="19" t="str">
        <f t="shared" si="18"/>
        <v/>
      </c>
      <c r="N72" s="19" t="str">
        <f t="shared" si="18"/>
        <v/>
      </c>
      <c r="O72" s="19" t="str">
        <f t="shared" si="5"/>
        <v/>
      </c>
      <c r="P72" s="19" t="str">
        <f t="shared" si="6"/>
        <v/>
      </c>
      <c r="Q72" s="19" t="str">
        <f t="shared" si="7"/>
        <v/>
      </c>
      <c r="R72" s="19" t="str">
        <f t="shared" si="17"/>
        <v/>
      </c>
      <c r="S72" s="27" t="str">
        <f t="shared" si="19"/>
        <v/>
      </c>
      <c r="T72" s="28" t="str">
        <f t="shared" si="19"/>
        <v/>
      </c>
      <c r="U72" s="28" t="str">
        <f t="shared" si="19"/>
        <v/>
      </c>
      <c r="V72" s="28" t="str">
        <f t="shared" si="19"/>
        <v/>
      </c>
      <c r="W72" s="28" t="str">
        <f t="shared" si="19"/>
        <v/>
      </c>
      <c r="X72" s="29" t="str">
        <f t="shared" si="19"/>
        <v/>
      </c>
      <c r="Y72" s="24"/>
    </row>
    <row r="73" spans="2:25" x14ac:dyDescent="0.2">
      <c r="B73" s="31"/>
      <c r="C73" s="33"/>
      <c r="D73" s="16"/>
      <c r="E73" s="16"/>
      <c r="F73" s="16"/>
      <c r="G73" s="16"/>
      <c r="H73" s="16"/>
      <c r="I73" s="16"/>
      <c r="J73" s="32"/>
      <c r="K73" s="18"/>
      <c r="L73" s="19" t="str">
        <f t="shared" si="18"/>
        <v/>
      </c>
      <c r="M73" s="19" t="str">
        <f t="shared" si="18"/>
        <v/>
      </c>
      <c r="N73" s="19" t="str">
        <f t="shared" si="18"/>
        <v/>
      </c>
      <c r="O73" s="19" t="str">
        <f t="shared" si="5"/>
        <v/>
      </c>
      <c r="P73" s="19" t="str">
        <f t="shared" si="6"/>
        <v/>
      </c>
      <c r="Q73" s="19" t="str">
        <f t="shared" si="7"/>
        <v/>
      </c>
      <c r="R73" s="19" t="str">
        <f t="shared" si="17"/>
        <v/>
      </c>
      <c r="S73" s="27" t="str">
        <f t="shared" si="19"/>
        <v/>
      </c>
      <c r="T73" s="28" t="str">
        <f t="shared" si="19"/>
        <v/>
      </c>
      <c r="U73" s="28" t="str">
        <f t="shared" si="19"/>
        <v/>
      </c>
      <c r="V73" s="28" t="str">
        <f t="shared" si="19"/>
        <v/>
      </c>
      <c r="W73" s="28" t="str">
        <f t="shared" si="19"/>
        <v/>
      </c>
      <c r="X73" s="29" t="str">
        <f t="shared" si="19"/>
        <v/>
      </c>
      <c r="Y73" s="24"/>
    </row>
    <row r="74" spans="2:25" x14ac:dyDescent="0.2">
      <c r="B74" s="31"/>
      <c r="C74" s="33"/>
      <c r="D74" s="16"/>
      <c r="E74" s="16"/>
      <c r="F74" s="16"/>
      <c r="G74" s="16"/>
      <c r="H74" s="16"/>
      <c r="I74" s="16"/>
      <c r="J74" s="32"/>
      <c r="K74" s="18"/>
      <c r="L74" s="19" t="str">
        <f t="shared" si="18"/>
        <v/>
      </c>
      <c r="M74" s="19" t="str">
        <f t="shared" si="18"/>
        <v/>
      </c>
      <c r="N74" s="19" t="str">
        <f t="shared" si="18"/>
        <v/>
      </c>
      <c r="O74" s="19" t="str">
        <f t="shared" si="5"/>
        <v/>
      </c>
      <c r="P74" s="19" t="str">
        <f t="shared" si="6"/>
        <v/>
      </c>
      <c r="Q74" s="19" t="str">
        <f t="shared" si="7"/>
        <v/>
      </c>
      <c r="R74" s="19" t="str">
        <f t="shared" si="17"/>
        <v/>
      </c>
      <c r="S74" s="27" t="str">
        <f t="shared" si="19"/>
        <v/>
      </c>
      <c r="T74" s="28" t="str">
        <f t="shared" si="19"/>
        <v/>
      </c>
      <c r="U74" s="28" t="str">
        <f t="shared" si="19"/>
        <v/>
      </c>
      <c r="V74" s="28" t="str">
        <f t="shared" si="19"/>
        <v/>
      </c>
      <c r="W74" s="28" t="str">
        <f t="shared" si="19"/>
        <v/>
      </c>
      <c r="X74" s="29" t="str">
        <f t="shared" si="19"/>
        <v/>
      </c>
      <c r="Y74" s="24"/>
    </row>
    <row r="75" spans="2:25" x14ac:dyDescent="0.2">
      <c r="B75" s="31"/>
      <c r="C75" s="33"/>
      <c r="D75" s="16"/>
      <c r="E75" s="16"/>
      <c r="F75" s="16"/>
      <c r="G75" s="16"/>
      <c r="H75" s="16"/>
      <c r="I75" s="16"/>
      <c r="J75" s="32"/>
      <c r="K75" s="18"/>
      <c r="L75" s="19" t="str">
        <f t="shared" si="18"/>
        <v/>
      </c>
      <c r="M75" s="19" t="str">
        <f t="shared" si="18"/>
        <v/>
      </c>
      <c r="N75" s="19" t="str">
        <f t="shared" si="18"/>
        <v/>
      </c>
      <c r="O75" s="19" t="str">
        <f t="shared" si="5"/>
        <v/>
      </c>
      <c r="P75" s="19" t="str">
        <f t="shared" si="6"/>
        <v/>
      </c>
      <c r="Q75" s="19" t="str">
        <f t="shared" si="7"/>
        <v/>
      </c>
      <c r="R75" s="19" t="str">
        <f t="shared" si="17"/>
        <v/>
      </c>
      <c r="S75" s="27" t="str">
        <f t="shared" si="19"/>
        <v/>
      </c>
      <c r="T75" s="28" t="str">
        <f t="shared" si="19"/>
        <v/>
      </c>
      <c r="U75" s="28" t="str">
        <f t="shared" si="19"/>
        <v/>
      </c>
      <c r="V75" s="28" t="str">
        <f t="shared" si="19"/>
        <v/>
      </c>
      <c r="W75" s="28" t="str">
        <f t="shared" si="19"/>
        <v/>
      </c>
      <c r="X75" s="29" t="str">
        <f t="shared" si="19"/>
        <v/>
      </c>
      <c r="Y75" s="24"/>
    </row>
    <row r="76" spans="2:25" x14ac:dyDescent="0.2">
      <c r="B76" s="31"/>
      <c r="C76" s="33"/>
      <c r="D76" s="16"/>
      <c r="E76" s="16"/>
      <c r="F76" s="16"/>
      <c r="G76" s="16"/>
      <c r="H76" s="16"/>
      <c r="I76" s="16"/>
      <c r="J76" s="32"/>
      <c r="K76" s="18"/>
      <c r="L76" s="19" t="str">
        <f t="shared" si="18"/>
        <v/>
      </c>
      <c r="M76" s="19" t="str">
        <f t="shared" si="18"/>
        <v/>
      </c>
      <c r="N76" s="19" t="str">
        <f t="shared" si="18"/>
        <v/>
      </c>
      <c r="O76" s="19" t="str">
        <f t="shared" si="5"/>
        <v/>
      </c>
      <c r="P76" s="19" t="str">
        <f t="shared" si="6"/>
        <v/>
      </c>
      <c r="Q76" s="19" t="str">
        <f t="shared" si="7"/>
        <v/>
      </c>
      <c r="R76" s="19" t="str">
        <f t="shared" si="17"/>
        <v/>
      </c>
      <c r="S76" s="27" t="str">
        <f t="shared" si="19"/>
        <v/>
      </c>
      <c r="T76" s="28" t="str">
        <f t="shared" si="19"/>
        <v/>
      </c>
      <c r="U76" s="28" t="str">
        <f t="shared" si="19"/>
        <v/>
      </c>
      <c r="V76" s="28" t="str">
        <f t="shared" si="19"/>
        <v/>
      </c>
      <c r="W76" s="28" t="str">
        <f t="shared" si="19"/>
        <v/>
      </c>
      <c r="X76" s="29" t="str">
        <f t="shared" si="19"/>
        <v/>
      </c>
      <c r="Y76" s="24"/>
    </row>
    <row r="77" spans="2:25" x14ac:dyDescent="0.2">
      <c r="B77" s="31"/>
      <c r="C77" s="33"/>
      <c r="D77" s="16"/>
      <c r="E77" s="16"/>
      <c r="F77" s="16"/>
      <c r="G77" s="16"/>
      <c r="H77" s="16"/>
      <c r="I77" s="16"/>
      <c r="J77" s="32"/>
      <c r="K77" s="18"/>
      <c r="L77" s="19" t="str">
        <f t="shared" si="18"/>
        <v/>
      </c>
      <c r="M77" s="19" t="str">
        <f t="shared" si="18"/>
        <v/>
      </c>
      <c r="N77" s="19" t="str">
        <f t="shared" si="18"/>
        <v/>
      </c>
      <c r="O77" s="19" t="str">
        <f t="shared" si="5"/>
        <v/>
      </c>
      <c r="P77" s="19" t="str">
        <f t="shared" si="6"/>
        <v/>
      </c>
      <c r="Q77" s="19" t="str">
        <f t="shared" si="7"/>
        <v/>
      </c>
      <c r="R77" s="19" t="str">
        <f t="shared" si="17"/>
        <v/>
      </c>
      <c r="S77" s="27" t="str">
        <f t="shared" si="19"/>
        <v/>
      </c>
      <c r="T77" s="28" t="str">
        <f t="shared" si="19"/>
        <v/>
      </c>
      <c r="U77" s="28" t="str">
        <f t="shared" si="19"/>
        <v/>
      </c>
      <c r="V77" s="28" t="str">
        <f t="shared" si="19"/>
        <v/>
      </c>
      <c r="W77" s="28" t="str">
        <f t="shared" si="19"/>
        <v/>
      </c>
      <c r="X77" s="29" t="str">
        <f t="shared" si="19"/>
        <v/>
      </c>
      <c r="Y77" s="24"/>
    </row>
    <row r="78" spans="2:25" x14ac:dyDescent="0.2">
      <c r="B78" s="31"/>
      <c r="C78" s="33"/>
      <c r="D78" s="16"/>
      <c r="E78" s="16"/>
      <c r="F78" s="16"/>
      <c r="G78" s="16"/>
      <c r="H78" s="16"/>
      <c r="I78" s="16"/>
      <c r="J78" s="32"/>
      <c r="K78" s="18"/>
      <c r="L78" s="19" t="str">
        <f t="shared" si="18"/>
        <v/>
      </c>
      <c r="M78" s="19" t="str">
        <f t="shared" si="18"/>
        <v/>
      </c>
      <c r="N78" s="19" t="str">
        <f t="shared" si="18"/>
        <v/>
      </c>
      <c r="O78" s="19" t="str">
        <f t="shared" si="5"/>
        <v/>
      </c>
      <c r="P78" s="19" t="str">
        <f t="shared" si="6"/>
        <v/>
      </c>
      <c r="Q78" s="19" t="str">
        <f t="shared" si="7"/>
        <v/>
      </c>
      <c r="R78" s="19" t="str">
        <f t="shared" si="17"/>
        <v/>
      </c>
      <c r="S78" s="27" t="str">
        <f t="shared" si="19"/>
        <v/>
      </c>
      <c r="T78" s="28" t="str">
        <f t="shared" si="19"/>
        <v/>
      </c>
      <c r="U78" s="28" t="str">
        <f t="shared" si="19"/>
        <v/>
      </c>
      <c r="V78" s="28" t="str">
        <f t="shared" si="19"/>
        <v/>
      </c>
      <c r="W78" s="28" t="str">
        <f t="shared" si="19"/>
        <v/>
      </c>
      <c r="X78" s="29" t="str">
        <f t="shared" si="19"/>
        <v/>
      </c>
      <c r="Y78" s="24"/>
    </row>
    <row r="79" spans="2:25" x14ac:dyDescent="0.2">
      <c r="B79" s="31"/>
      <c r="C79" s="33"/>
      <c r="D79" s="16"/>
      <c r="E79" s="16"/>
      <c r="F79" s="16"/>
      <c r="G79" s="16"/>
      <c r="H79" s="16"/>
      <c r="I79" s="16"/>
      <c r="J79" s="32"/>
      <c r="K79" s="18"/>
      <c r="L79" s="19" t="str">
        <f t="shared" si="18"/>
        <v/>
      </c>
      <c r="M79" s="19" t="str">
        <f t="shared" si="18"/>
        <v/>
      </c>
      <c r="N79" s="19" t="str">
        <f t="shared" si="18"/>
        <v/>
      </c>
      <c r="O79" s="19" t="str">
        <f t="shared" si="5"/>
        <v/>
      </c>
      <c r="P79" s="19" t="str">
        <f t="shared" si="6"/>
        <v/>
      </c>
      <c r="Q79" s="19" t="str">
        <f t="shared" si="7"/>
        <v/>
      </c>
      <c r="R79" s="19" t="str">
        <f t="shared" si="17"/>
        <v/>
      </c>
      <c r="S79" s="27" t="str">
        <f t="shared" si="19"/>
        <v/>
      </c>
      <c r="T79" s="28" t="str">
        <f t="shared" si="19"/>
        <v/>
      </c>
      <c r="U79" s="28" t="str">
        <f t="shared" si="19"/>
        <v/>
      </c>
      <c r="V79" s="28" t="str">
        <f t="shared" si="19"/>
        <v/>
      </c>
      <c r="W79" s="28" t="str">
        <f t="shared" si="19"/>
        <v/>
      </c>
      <c r="X79" s="29" t="str">
        <f t="shared" si="19"/>
        <v/>
      </c>
      <c r="Y79" s="24"/>
    </row>
    <row r="80" spans="2:25" x14ac:dyDescent="0.2">
      <c r="B80" s="31"/>
      <c r="C80" s="33"/>
      <c r="D80" s="16"/>
      <c r="E80" s="16"/>
      <c r="F80" s="16"/>
      <c r="G80" s="16"/>
      <c r="H80" s="16"/>
      <c r="I80" s="16"/>
      <c r="J80" s="32"/>
      <c r="K80" s="18"/>
      <c r="L80" s="19" t="str">
        <f t="shared" si="18"/>
        <v/>
      </c>
      <c r="M80" s="19" t="str">
        <f t="shared" si="18"/>
        <v/>
      </c>
      <c r="N80" s="19" t="str">
        <f t="shared" si="18"/>
        <v/>
      </c>
      <c r="O80" s="19" t="str">
        <f t="shared" si="5"/>
        <v/>
      </c>
      <c r="P80" s="19" t="str">
        <f t="shared" si="6"/>
        <v/>
      </c>
      <c r="Q80" s="19" t="str">
        <f t="shared" si="7"/>
        <v/>
      </c>
      <c r="R80" s="19" t="str">
        <f t="shared" si="17"/>
        <v/>
      </c>
      <c r="S80" s="27" t="str">
        <f t="shared" si="19"/>
        <v/>
      </c>
      <c r="T80" s="28" t="str">
        <f t="shared" si="19"/>
        <v/>
      </c>
      <c r="U80" s="28" t="str">
        <f t="shared" si="19"/>
        <v/>
      </c>
      <c r="V80" s="28" t="str">
        <f t="shared" si="19"/>
        <v/>
      </c>
      <c r="W80" s="28" t="str">
        <f t="shared" si="19"/>
        <v/>
      </c>
      <c r="X80" s="29" t="str">
        <f t="shared" si="19"/>
        <v/>
      </c>
      <c r="Y80" s="24"/>
    </row>
    <row r="81" spans="2:25" x14ac:dyDescent="0.2">
      <c r="B81" s="31"/>
      <c r="C81" s="33"/>
      <c r="D81" s="16"/>
      <c r="E81" s="16"/>
      <c r="F81" s="16"/>
      <c r="G81" s="16"/>
      <c r="H81" s="16"/>
      <c r="I81" s="16"/>
      <c r="J81" s="32"/>
      <c r="K81" s="18"/>
      <c r="L81" s="19" t="str">
        <f t="shared" si="18"/>
        <v/>
      </c>
      <c r="M81" s="19" t="str">
        <f t="shared" si="18"/>
        <v/>
      </c>
      <c r="N81" s="19" t="str">
        <f t="shared" si="18"/>
        <v/>
      </c>
      <c r="O81" s="19" t="str">
        <f t="shared" si="5"/>
        <v/>
      </c>
      <c r="P81" s="19" t="str">
        <f t="shared" si="6"/>
        <v/>
      </c>
      <c r="Q81" s="19" t="str">
        <f t="shared" si="7"/>
        <v/>
      </c>
      <c r="R81" s="19" t="str">
        <f t="shared" si="17"/>
        <v/>
      </c>
      <c r="S81" s="27" t="str">
        <f t="shared" ref="S81:X96" si="20">IF(C81="","",((C81-C80)*1000)/($B81-$B80))</f>
        <v/>
      </c>
      <c r="T81" s="28" t="str">
        <f t="shared" si="20"/>
        <v/>
      </c>
      <c r="U81" s="28" t="str">
        <f t="shared" si="20"/>
        <v/>
      </c>
      <c r="V81" s="28" t="str">
        <f t="shared" si="20"/>
        <v/>
      </c>
      <c r="W81" s="28" t="str">
        <f t="shared" si="20"/>
        <v/>
      </c>
      <c r="X81" s="29" t="str">
        <f t="shared" si="20"/>
        <v/>
      </c>
      <c r="Y81" s="24"/>
    </row>
    <row r="82" spans="2:25" x14ac:dyDescent="0.2">
      <c r="B82" s="31"/>
      <c r="C82" s="33"/>
      <c r="D82" s="16"/>
      <c r="E82" s="16"/>
      <c r="F82" s="16"/>
      <c r="G82" s="16"/>
      <c r="H82" s="16"/>
      <c r="I82" s="16"/>
      <c r="J82" s="32"/>
      <c r="K82" s="18"/>
      <c r="L82" s="19" t="str">
        <f t="shared" si="18"/>
        <v/>
      </c>
      <c r="M82" s="19" t="str">
        <f t="shared" si="18"/>
        <v/>
      </c>
      <c r="N82" s="19" t="str">
        <f t="shared" si="18"/>
        <v/>
      </c>
      <c r="O82" s="19" t="str">
        <f t="shared" si="5"/>
        <v/>
      </c>
      <c r="P82" s="19" t="str">
        <f t="shared" si="6"/>
        <v/>
      </c>
      <c r="Q82" s="19" t="str">
        <f t="shared" si="7"/>
        <v/>
      </c>
      <c r="R82" s="19" t="str">
        <f t="shared" si="17"/>
        <v/>
      </c>
      <c r="S82" s="27" t="str">
        <f t="shared" si="20"/>
        <v/>
      </c>
      <c r="T82" s="28" t="str">
        <f t="shared" si="20"/>
        <v/>
      </c>
      <c r="U82" s="28" t="str">
        <f t="shared" si="20"/>
        <v/>
      </c>
      <c r="V82" s="28" t="str">
        <f t="shared" si="20"/>
        <v/>
      </c>
      <c r="W82" s="28" t="str">
        <f t="shared" si="20"/>
        <v/>
      </c>
      <c r="X82" s="29" t="str">
        <f t="shared" si="20"/>
        <v/>
      </c>
      <c r="Y82" s="24"/>
    </row>
    <row r="83" spans="2:25" x14ac:dyDescent="0.2">
      <c r="B83" s="31"/>
      <c r="C83" s="33"/>
      <c r="D83" s="16"/>
      <c r="E83" s="16"/>
      <c r="F83" s="16"/>
      <c r="G83" s="16"/>
      <c r="H83" s="16"/>
      <c r="I83" s="16"/>
      <c r="J83" s="32"/>
      <c r="K83" s="18"/>
      <c r="L83" s="19" t="str">
        <f t="shared" si="18"/>
        <v/>
      </c>
      <c r="M83" s="19" t="str">
        <f t="shared" si="18"/>
        <v/>
      </c>
      <c r="N83" s="19" t="str">
        <f t="shared" si="18"/>
        <v/>
      </c>
      <c r="O83" s="19" t="str">
        <f t="shared" si="5"/>
        <v/>
      </c>
      <c r="P83" s="19" t="str">
        <f t="shared" si="6"/>
        <v/>
      </c>
      <c r="Q83" s="19" t="str">
        <f t="shared" si="7"/>
        <v/>
      </c>
      <c r="R83" s="19" t="str">
        <f t="shared" si="17"/>
        <v/>
      </c>
      <c r="S83" s="27" t="str">
        <f t="shared" si="20"/>
        <v/>
      </c>
      <c r="T83" s="28" t="str">
        <f t="shared" si="20"/>
        <v/>
      </c>
      <c r="U83" s="28" t="str">
        <f t="shared" si="20"/>
        <v/>
      </c>
      <c r="V83" s="28" t="str">
        <f t="shared" si="20"/>
        <v/>
      </c>
      <c r="W83" s="28" t="str">
        <f t="shared" si="20"/>
        <v/>
      </c>
      <c r="X83" s="29" t="str">
        <f t="shared" si="20"/>
        <v/>
      </c>
      <c r="Y83" s="24"/>
    </row>
    <row r="84" spans="2:25" x14ac:dyDescent="0.2">
      <c r="B84" s="31"/>
      <c r="C84" s="33"/>
      <c r="D84" s="16"/>
      <c r="E84" s="16"/>
      <c r="F84" s="16"/>
      <c r="G84" s="16"/>
      <c r="H84" s="16"/>
      <c r="I84" s="16"/>
      <c r="J84" s="32"/>
      <c r="K84" s="18"/>
      <c r="L84" s="19" t="str">
        <f t="shared" si="18"/>
        <v/>
      </c>
      <c r="M84" s="19" t="str">
        <f t="shared" si="18"/>
        <v/>
      </c>
      <c r="N84" s="19" t="str">
        <f t="shared" si="18"/>
        <v/>
      </c>
      <c r="O84" s="19" t="str">
        <f t="shared" si="5"/>
        <v/>
      </c>
      <c r="P84" s="19" t="str">
        <f t="shared" si="6"/>
        <v/>
      </c>
      <c r="Q84" s="19" t="str">
        <f t="shared" si="7"/>
        <v/>
      </c>
      <c r="R84" s="19" t="str">
        <f t="shared" si="17"/>
        <v/>
      </c>
      <c r="S84" s="27" t="str">
        <f t="shared" si="20"/>
        <v/>
      </c>
      <c r="T84" s="28" t="str">
        <f t="shared" si="20"/>
        <v/>
      </c>
      <c r="U84" s="28" t="str">
        <f t="shared" si="20"/>
        <v/>
      </c>
      <c r="V84" s="28" t="str">
        <f t="shared" si="20"/>
        <v/>
      </c>
      <c r="W84" s="28" t="str">
        <f t="shared" si="20"/>
        <v/>
      </c>
      <c r="X84" s="29" t="str">
        <f t="shared" si="20"/>
        <v/>
      </c>
      <c r="Y84" s="24"/>
    </row>
    <row r="85" spans="2:25" x14ac:dyDescent="0.2">
      <c r="B85" s="31"/>
      <c r="C85" s="33"/>
      <c r="D85" s="16"/>
      <c r="E85" s="16"/>
      <c r="F85" s="16"/>
      <c r="G85" s="16"/>
      <c r="H85" s="16"/>
      <c r="I85" s="16"/>
      <c r="J85" s="32"/>
      <c r="K85" s="18"/>
      <c r="L85" s="19" t="str">
        <f t="shared" si="18"/>
        <v/>
      </c>
      <c r="M85" s="19" t="str">
        <f t="shared" si="18"/>
        <v/>
      </c>
      <c r="N85" s="19" t="str">
        <f t="shared" si="18"/>
        <v/>
      </c>
      <c r="O85" s="19" t="str">
        <f t="shared" si="5"/>
        <v/>
      </c>
      <c r="P85" s="19" t="str">
        <f t="shared" si="6"/>
        <v/>
      </c>
      <c r="Q85" s="19" t="str">
        <f t="shared" si="7"/>
        <v/>
      </c>
      <c r="R85" s="19" t="str">
        <f t="shared" si="17"/>
        <v/>
      </c>
      <c r="S85" s="27" t="str">
        <f t="shared" si="20"/>
        <v/>
      </c>
      <c r="T85" s="28" t="str">
        <f t="shared" si="20"/>
        <v/>
      </c>
      <c r="U85" s="28" t="str">
        <f t="shared" si="20"/>
        <v/>
      </c>
      <c r="V85" s="28" t="str">
        <f t="shared" si="20"/>
        <v/>
      </c>
      <c r="W85" s="28" t="str">
        <f t="shared" si="20"/>
        <v/>
      </c>
      <c r="X85" s="29" t="str">
        <f t="shared" si="20"/>
        <v/>
      </c>
      <c r="Y85" s="24"/>
    </row>
    <row r="86" spans="2:25" x14ac:dyDescent="0.2">
      <c r="B86" s="31"/>
      <c r="C86" s="33"/>
      <c r="D86" s="16"/>
      <c r="E86" s="16"/>
      <c r="F86" s="16"/>
      <c r="G86" s="16"/>
      <c r="H86" s="16"/>
      <c r="I86" s="16"/>
      <c r="J86" s="32"/>
      <c r="K86" s="18"/>
      <c r="L86" s="19" t="str">
        <f t="shared" si="18"/>
        <v/>
      </c>
      <c r="M86" s="19" t="str">
        <f t="shared" si="18"/>
        <v/>
      </c>
      <c r="N86" s="19" t="str">
        <f t="shared" si="18"/>
        <v/>
      </c>
      <c r="O86" s="19" t="str">
        <f t="shared" si="5"/>
        <v/>
      </c>
      <c r="P86" s="19" t="str">
        <f t="shared" si="6"/>
        <v/>
      </c>
      <c r="Q86" s="19" t="str">
        <f t="shared" si="7"/>
        <v/>
      </c>
      <c r="R86" s="19" t="str">
        <f t="shared" si="17"/>
        <v/>
      </c>
      <c r="S86" s="27" t="str">
        <f t="shared" si="20"/>
        <v/>
      </c>
      <c r="T86" s="28" t="str">
        <f t="shared" si="20"/>
        <v/>
      </c>
      <c r="U86" s="28" t="str">
        <f t="shared" si="20"/>
        <v/>
      </c>
      <c r="V86" s="28" t="str">
        <f t="shared" si="20"/>
        <v/>
      </c>
      <c r="W86" s="28" t="str">
        <f t="shared" si="20"/>
        <v/>
      </c>
      <c r="X86" s="29" t="str">
        <f t="shared" si="20"/>
        <v/>
      </c>
      <c r="Y86" s="24"/>
    </row>
    <row r="87" spans="2:25" x14ac:dyDescent="0.2">
      <c r="B87" s="31"/>
      <c r="C87" s="33"/>
      <c r="D87" s="16"/>
      <c r="E87" s="16"/>
      <c r="F87" s="16"/>
      <c r="G87" s="16"/>
      <c r="H87" s="16"/>
      <c r="I87" s="16"/>
      <c r="J87" s="32"/>
      <c r="K87" s="18"/>
      <c r="L87" s="19" t="str">
        <f t="shared" si="18"/>
        <v/>
      </c>
      <c r="M87" s="19" t="str">
        <f t="shared" si="18"/>
        <v/>
      </c>
      <c r="N87" s="19" t="str">
        <f t="shared" si="18"/>
        <v/>
      </c>
      <c r="O87" s="19" t="str">
        <f t="shared" si="5"/>
        <v/>
      </c>
      <c r="P87" s="19" t="str">
        <f t="shared" si="6"/>
        <v/>
      </c>
      <c r="Q87" s="19" t="str">
        <f t="shared" si="7"/>
        <v/>
      </c>
      <c r="R87" s="19" t="str">
        <f t="shared" si="17"/>
        <v/>
      </c>
      <c r="S87" s="27" t="str">
        <f t="shared" si="20"/>
        <v/>
      </c>
      <c r="T87" s="28" t="str">
        <f t="shared" si="20"/>
        <v/>
      </c>
      <c r="U87" s="28" t="str">
        <f t="shared" si="20"/>
        <v/>
      </c>
      <c r="V87" s="28" t="str">
        <f t="shared" si="20"/>
        <v/>
      </c>
      <c r="W87" s="28" t="str">
        <f t="shared" si="20"/>
        <v/>
      </c>
      <c r="X87" s="29" t="str">
        <f t="shared" si="20"/>
        <v/>
      </c>
      <c r="Y87" s="24"/>
    </row>
    <row r="88" spans="2:25" x14ac:dyDescent="0.2">
      <c r="B88" s="31"/>
      <c r="C88" s="33"/>
      <c r="D88" s="16"/>
      <c r="E88" s="16"/>
      <c r="F88" s="16"/>
      <c r="G88" s="16"/>
      <c r="H88" s="16"/>
      <c r="I88" s="16"/>
      <c r="J88" s="32"/>
      <c r="K88" s="18"/>
      <c r="L88" s="19" t="str">
        <f t="shared" si="18"/>
        <v/>
      </c>
      <c r="M88" s="19" t="str">
        <f t="shared" si="18"/>
        <v/>
      </c>
      <c r="N88" s="19" t="str">
        <f t="shared" si="18"/>
        <v/>
      </c>
      <c r="O88" s="19" t="str">
        <f t="shared" si="5"/>
        <v/>
      </c>
      <c r="P88" s="19" t="str">
        <f t="shared" si="6"/>
        <v/>
      </c>
      <c r="Q88" s="19" t="str">
        <f t="shared" si="7"/>
        <v/>
      </c>
      <c r="R88" s="19" t="str">
        <f t="shared" si="17"/>
        <v/>
      </c>
      <c r="S88" s="27" t="str">
        <f t="shared" si="20"/>
        <v/>
      </c>
      <c r="T88" s="28" t="str">
        <f t="shared" si="20"/>
        <v/>
      </c>
      <c r="U88" s="28" t="str">
        <f t="shared" si="20"/>
        <v/>
      </c>
      <c r="V88" s="28" t="str">
        <f t="shared" si="20"/>
        <v/>
      </c>
      <c r="W88" s="28" t="str">
        <f t="shared" si="20"/>
        <v/>
      </c>
      <c r="X88" s="29" t="str">
        <f t="shared" si="20"/>
        <v/>
      </c>
      <c r="Y88" s="24"/>
    </row>
    <row r="89" spans="2:25" x14ac:dyDescent="0.2">
      <c r="B89" s="31"/>
      <c r="C89" s="33"/>
      <c r="D89" s="16"/>
      <c r="E89" s="16"/>
      <c r="F89" s="16"/>
      <c r="G89" s="16"/>
      <c r="H89" s="16"/>
      <c r="I89" s="16"/>
      <c r="J89" s="32"/>
      <c r="K89" s="18"/>
      <c r="L89" s="19" t="str">
        <f t="shared" si="18"/>
        <v/>
      </c>
      <c r="M89" s="19" t="str">
        <f t="shared" si="18"/>
        <v/>
      </c>
      <c r="N89" s="19" t="str">
        <f t="shared" si="18"/>
        <v/>
      </c>
      <c r="O89" s="19" t="str">
        <f t="shared" si="5"/>
        <v/>
      </c>
      <c r="P89" s="19" t="str">
        <f t="shared" si="6"/>
        <v/>
      </c>
      <c r="Q89" s="19" t="str">
        <f t="shared" si="7"/>
        <v/>
      </c>
      <c r="R89" s="19" t="str">
        <f t="shared" si="17"/>
        <v/>
      </c>
      <c r="S89" s="27" t="str">
        <f t="shared" si="20"/>
        <v/>
      </c>
      <c r="T89" s="28" t="str">
        <f t="shared" si="20"/>
        <v/>
      </c>
      <c r="U89" s="28" t="str">
        <f t="shared" si="20"/>
        <v/>
      </c>
      <c r="V89" s="28" t="str">
        <f t="shared" si="20"/>
        <v/>
      </c>
      <c r="W89" s="28" t="str">
        <f t="shared" si="20"/>
        <v/>
      </c>
      <c r="X89" s="29" t="str">
        <f t="shared" si="20"/>
        <v/>
      </c>
      <c r="Y89" s="24"/>
    </row>
    <row r="90" spans="2:25" x14ac:dyDescent="0.2">
      <c r="B90" s="31"/>
      <c r="C90" s="33"/>
      <c r="D90" s="16"/>
      <c r="E90" s="16"/>
      <c r="F90" s="16"/>
      <c r="G90" s="16"/>
      <c r="H90" s="16"/>
      <c r="I90" s="16"/>
      <c r="J90" s="32"/>
      <c r="K90" s="18"/>
      <c r="L90" s="19" t="str">
        <f t="shared" si="18"/>
        <v/>
      </c>
      <c r="M90" s="19" t="str">
        <f t="shared" si="18"/>
        <v/>
      </c>
      <c r="N90" s="19" t="str">
        <f t="shared" si="18"/>
        <v/>
      </c>
      <c r="O90" s="19" t="str">
        <f t="shared" si="5"/>
        <v/>
      </c>
      <c r="P90" s="19" t="str">
        <f t="shared" si="6"/>
        <v/>
      </c>
      <c r="Q90" s="19" t="str">
        <f t="shared" si="7"/>
        <v/>
      </c>
      <c r="R90" s="19" t="str">
        <f t="shared" si="17"/>
        <v/>
      </c>
      <c r="S90" s="27" t="str">
        <f t="shared" si="20"/>
        <v/>
      </c>
      <c r="T90" s="28" t="str">
        <f t="shared" si="20"/>
        <v/>
      </c>
      <c r="U90" s="28" t="str">
        <f t="shared" si="20"/>
        <v/>
      </c>
      <c r="V90" s="28" t="str">
        <f t="shared" si="20"/>
        <v/>
      </c>
      <c r="W90" s="28" t="str">
        <f t="shared" si="20"/>
        <v/>
      </c>
      <c r="X90" s="29" t="str">
        <f t="shared" si="20"/>
        <v/>
      </c>
      <c r="Y90" s="24"/>
    </row>
    <row r="91" spans="2:25" x14ac:dyDescent="0.2">
      <c r="B91" s="31"/>
      <c r="C91" s="33"/>
      <c r="D91" s="16"/>
      <c r="E91" s="16"/>
      <c r="F91" s="16"/>
      <c r="G91" s="16"/>
      <c r="H91" s="16"/>
      <c r="I91" s="16"/>
      <c r="J91" s="32"/>
      <c r="K91" s="18"/>
      <c r="L91" s="19" t="str">
        <f t="shared" si="18"/>
        <v/>
      </c>
      <c r="M91" s="19" t="str">
        <f t="shared" si="18"/>
        <v/>
      </c>
      <c r="N91" s="19" t="str">
        <f t="shared" si="18"/>
        <v/>
      </c>
      <c r="O91" s="19" t="str">
        <f t="shared" si="5"/>
        <v/>
      </c>
      <c r="P91" s="19" t="str">
        <f t="shared" si="6"/>
        <v/>
      </c>
      <c r="Q91" s="19" t="str">
        <f t="shared" si="7"/>
        <v/>
      </c>
      <c r="R91" s="19" t="str">
        <f t="shared" si="17"/>
        <v/>
      </c>
      <c r="S91" s="27" t="str">
        <f t="shared" si="20"/>
        <v/>
      </c>
      <c r="T91" s="28" t="str">
        <f t="shared" si="20"/>
        <v/>
      </c>
      <c r="U91" s="28" t="str">
        <f t="shared" si="20"/>
        <v/>
      </c>
      <c r="V91" s="28" t="str">
        <f t="shared" si="20"/>
        <v/>
      </c>
      <c r="W91" s="28" t="str">
        <f t="shared" si="20"/>
        <v/>
      </c>
      <c r="X91" s="29" t="str">
        <f t="shared" si="20"/>
        <v/>
      </c>
      <c r="Y91" s="24"/>
    </row>
    <row r="92" spans="2:25" x14ac:dyDescent="0.2">
      <c r="B92" s="31"/>
      <c r="C92" s="33"/>
      <c r="D92" s="16"/>
      <c r="E92" s="16"/>
      <c r="F92" s="16"/>
      <c r="G92" s="16"/>
      <c r="H92" s="16"/>
      <c r="I92" s="16"/>
      <c r="J92" s="32"/>
      <c r="K92" s="18"/>
      <c r="L92" s="19" t="str">
        <f t="shared" si="18"/>
        <v/>
      </c>
      <c r="M92" s="19" t="str">
        <f t="shared" si="18"/>
        <v/>
      </c>
      <c r="N92" s="19" t="str">
        <f t="shared" si="18"/>
        <v/>
      </c>
      <c r="O92" s="19" t="str">
        <f t="shared" si="5"/>
        <v/>
      </c>
      <c r="P92" s="19" t="str">
        <f t="shared" si="6"/>
        <v/>
      </c>
      <c r="Q92" s="19" t="str">
        <f t="shared" si="7"/>
        <v/>
      </c>
      <c r="R92" s="19" t="str">
        <f t="shared" si="17"/>
        <v/>
      </c>
      <c r="S92" s="27" t="str">
        <f t="shared" si="20"/>
        <v/>
      </c>
      <c r="T92" s="28" t="str">
        <f t="shared" si="20"/>
        <v/>
      </c>
      <c r="U92" s="28" t="str">
        <f t="shared" si="20"/>
        <v/>
      </c>
      <c r="V92" s="28" t="str">
        <f t="shared" si="20"/>
        <v/>
      </c>
      <c r="W92" s="28" t="str">
        <f t="shared" si="20"/>
        <v/>
      </c>
      <c r="X92" s="29" t="str">
        <f t="shared" si="20"/>
        <v/>
      </c>
      <c r="Y92" s="24"/>
    </row>
    <row r="93" spans="2:25" x14ac:dyDescent="0.2">
      <c r="B93" s="31"/>
      <c r="C93" s="33"/>
      <c r="D93" s="16"/>
      <c r="E93" s="16"/>
      <c r="F93" s="16"/>
      <c r="G93" s="16"/>
      <c r="H93" s="16"/>
      <c r="I93" s="16"/>
      <c r="J93" s="32"/>
      <c r="K93" s="18"/>
      <c r="L93" s="19" t="str">
        <f t="shared" si="18"/>
        <v/>
      </c>
      <c r="M93" s="19" t="str">
        <f t="shared" si="18"/>
        <v/>
      </c>
      <c r="N93" s="19" t="str">
        <f t="shared" si="18"/>
        <v/>
      </c>
      <c r="O93" s="19" t="str">
        <f t="shared" si="5"/>
        <v/>
      </c>
      <c r="P93" s="19" t="str">
        <f t="shared" si="6"/>
        <v/>
      </c>
      <c r="Q93" s="19" t="str">
        <f t="shared" si="7"/>
        <v/>
      </c>
      <c r="R93" s="19" t="str">
        <f t="shared" si="17"/>
        <v/>
      </c>
      <c r="S93" s="27" t="str">
        <f t="shared" si="20"/>
        <v/>
      </c>
      <c r="T93" s="28" t="str">
        <f t="shared" si="20"/>
        <v/>
      </c>
      <c r="U93" s="28" t="str">
        <f t="shared" si="20"/>
        <v/>
      </c>
      <c r="V93" s="28" t="str">
        <f t="shared" si="20"/>
        <v/>
      </c>
      <c r="W93" s="28" t="str">
        <f t="shared" si="20"/>
        <v/>
      </c>
      <c r="X93" s="29" t="str">
        <f t="shared" si="20"/>
        <v/>
      </c>
      <c r="Y93" s="24"/>
    </row>
    <row r="94" spans="2:25" x14ac:dyDescent="0.2">
      <c r="B94" s="31"/>
      <c r="C94" s="33"/>
      <c r="D94" s="16"/>
      <c r="E94" s="16"/>
      <c r="F94" s="16"/>
      <c r="G94" s="16"/>
      <c r="H94" s="16"/>
      <c r="I94" s="16"/>
      <c r="J94" s="32"/>
      <c r="K94" s="18"/>
      <c r="L94" s="19" t="str">
        <f t="shared" si="18"/>
        <v/>
      </c>
      <c r="M94" s="19" t="str">
        <f t="shared" si="18"/>
        <v/>
      </c>
      <c r="N94" s="19" t="str">
        <f t="shared" si="18"/>
        <v/>
      </c>
      <c r="O94" s="19" t="str">
        <f t="shared" si="5"/>
        <v/>
      </c>
      <c r="P94" s="19" t="str">
        <f t="shared" si="6"/>
        <v/>
      </c>
      <c r="Q94" s="19" t="str">
        <f t="shared" si="7"/>
        <v/>
      </c>
      <c r="R94" s="19" t="str">
        <f t="shared" si="18"/>
        <v/>
      </c>
      <c r="S94" s="27" t="str">
        <f t="shared" si="20"/>
        <v/>
      </c>
      <c r="T94" s="28" t="str">
        <f t="shared" si="20"/>
        <v/>
      </c>
      <c r="U94" s="28" t="str">
        <f t="shared" si="20"/>
        <v/>
      </c>
      <c r="V94" s="28" t="str">
        <f t="shared" si="20"/>
        <v/>
      </c>
      <c r="W94" s="28" t="str">
        <f t="shared" si="20"/>
        <v/>
      </c>
      <c r="X94" s="29" t="str">
        <f t="shared" si="20"/>
        <v/>
      </c>
      <c r="Y94" s="24"/>
    </row>
    <row r="95" spans="2:25" x14ac:dyDescent="0.2">
      <c r="B95" s="31"/>
      <c r="C95" s="33"/>
      <c r="D95" s="16"/>
      <c r="E95" s="16"/>
      <c r="F95" s="16"/>
      <c r="G95" s="16"/>
      <c r="H95" s="16"/>
      <c r="I95" s="16"/>
      <c r="J95" s="32"/>
      <c r="K95" s="18"/>
      <c r="L95" s="19" t="str">
        <f t="shared" si="18"/>
        <v/>
      </c>
      <c r="M95" s="19" t="str">
        <f t="shared" si="18"/>
        <v/>
      </c>
      <c r="N95" s="19" t="str">
        <f t="shared" si="18"/>
        <v/>
      </c>
      <c r="O95" s="19" t="str">
        <f t="shared" si="5"/>
        <v/>
      </c>
      <c r="P95" s="19" t="str">
        <f t="shared" si="6"/>
        <v/>
      </c>
      <c r="Q95" s="19" t="str">
        <f t="shared" si="7"/>
        <v/>
      </c>
      <c r="R95" s="19" t="str">
        <f t="shared" si="18"/>
        <v/>
      </c>
      <c r="S95" s="27" t="str">
        <f t="shared" si="20"/>
        <v/>
      </c>
      <c r="T95" s="28" t="str">
        <f t="shared" si="20"/>
        <v/>
      </c>
      <c r="U95" s="28" t="str">
        <f t="shared" si="20"/>
        <v/>
      </c>
      <c r="V95" s="28" t="str">
        <f t="shared" si="20"/>
        <v/>
      </c>
      <c r="W95" s="28" t="str">
        <f t="shared" si="20"/>
        <v/>
      </c>
      <c r="X95" s="29" t="str">
        <f t="shared" si="20"/>
        <v/>
      </c>
      <c r="Y95" s="24"/>
    </row>
    <row r="96" spans="2:25" x14ac:dyDescent="0.2">
      <c r="B96" s="31"/>
      <c r="C96" s="33"/>
      <c r="D96" s="16"/>
      <c r="E96" s="16"/>
      <c r="F96" s="16"/>
      <c r="G96" s="16"/>
      <c r="H96" s="16"/>
      <c r="I96" s="16"/>
      <c r="J96" s="32"/>
      <c r="K96" s="18"/>
      <c r="L96" s="19" t="str">
        <f t="shared" si="18"/>
        <v/>
      </c>
      <c r="M96" s="19" t="str">
        <f t="shared" si="18"/>
        <v/>
      </c>
      <c r="N96" s="19" t="str">
        <f t="shared" si="18"/>
        <v/>
      </c>
      <c r="O96" s="19" t="str">
        <f t="shared" ref="O96:O153" si="21">IF(ISBLANK(F96),"",((F96-F$31)*1000)+L$31)</f>
        <v/>
      </c>
      <c r="P96" s="19" t="str">
        <f t="shared" ref="P96:P153" si="22">IF(ISBLANK(G96),"",((G96-G$31)*1000)+M$31)</f>
        <v/>
      </c>
      <c r="Q96" s="19" t="str">
        <f t="shared" ref="Q96:Q153" si="23">IF(ISBLANK(H96),"",((H96-H$31)*1000)+N$31)</f>
        <v/>
      </c>
      <c r="R96" s="19" t="str">
        <f t="shared" si="18"/>
        <v/>
      </c>
      <c r="S96" s="27" t="str">
        <f t="shared" si="20"/>
        <v/>
      </c>
      <c r="T96" s="28" t="str">
        <f t="shared" si="20"/>
        <v/>
      </c>
      <c r="U96" s="28" t="str">
        <f t="shared" si="20"/>
        <v/>
      </c>
      <c r="V96" s="28" t="str">
        <f t="shared" si="20"/>
        <v/>
      </c>
      <c r="W96" s="28" t="str">
        <f t="shared" si="20"/>
        <v/>
      </c>
      <c r="X96" s="29" t="str">
        <f t="shared" si="20"/>
        <v/>
      </c>
      <c r="Y96" s="24"/>
    </row>
    <row r="97" spans="2:25" x14ac:dyDescent="0.2">
      <c r="B97" s="31"/>
      <c r="C97" s="33"/>
      <c r="D97" s="16"/>
      <c r="E97" s="16"/>
      <c r="F97" s="16"/>
      <c r="G97" s="16"/>
      <c r="H97" s="16"/>
      <c r="I97" s="16"/>
      <c r="J97" s="32"/>
      <c r="K97" s="18"/>
      <c r="L97" s="19" t="str">
        <f t="shared" si="18"/>
        <v/>
      </c>
      <c r="M97" s="19" t="str">
        <f t="shared" si="18"/>
        <v/>
      </c>
      <c r="N97" s="19" t="str">
        <f t="shared" si="18"/>
        <v/>
      </c>
      <c r="O97" s="19" t="str">
        <f t="shared" si="21"/>
        <v/>
      </c>
      <c r="P97" s="19" t="str">
        <f t="shared" si="22"/>
        <v/>
      </c>
      <c r="Q97" s="19" t="str">
        <f t="shared" si="23"/>
        <v/>
      </c>
      <c r="R97" s="19" t="str">
        <f t="shared" si="18"/>
        <v/>
      </c>
      <c r="S97" s="27" t="str">
        <f t="shared" ref="S97:X112" si="24">IF(C97="","",((C97-C96)*1000)/($B97-$B96))</f>
        <v/>
      </c>
      <c r="T97" s="28" t="str">
        <f t="shared" si="24"/>
        <v/>
      </c>
      <c r="U97" s="28" t="str">
        <f t="shared" si="24"/>
        <v/>
      </c>
      <c r="V97" s="28" t="str">
        <f t="shared" si="24"/>
        <v/>
      </c>
      <c r="W97" s="28" t="str">
        <f t="shared" si="24"/>
        <v/>
      </c>
      <c r="X97" s="29" t="str">
        <f t="shared" si="24"/>
        <v/>
      </c>
      <c r="Y97" s="24"/>
    </row>
    <row r="98" spans="2:25" x14ac:dyDescent="0.2">
      <c r="B98" s="31"/>
      <c r="C98" s="33"/>
      <c r="D98" s="16"/>
      <c r="E98" s="16"/>
      <c r="F98" s="16"/>
      <c r="G98" s="16"/>
      <c r="H98" s="16"/>
      <c r="I98" s="16"/>
      <c r="J98" s="32"/>
      <c r="K98" s="18"/>
      <c r="L98" s="19" t="str">
        <f t="shared" si="18"/>
        <v/>
      </c>
      <c r="M98" s="19" t="str">
        <f t="shared" si="18"/>
        <v/>
      </c>
      <c r="N98" s="19" t="str">
        <f t="shared" si="18"/>
        <v/>
      </c>
      <c r="O98" s="19" t="str">
        <f t="shared" si="21"/>
        <v/>
      </c>
      <c r="P98" s="19" t="str">
        <f t="shared" si="22"/>
        <v/>
      </c>
      <c r="Q98" s="19" t="str">
        <f t="shared" si="23"/>
        <v/>
      </c>
      <c r="R98" s="19" t="str">
        <f t="shared" si="18"/>
        <v/>
      </c>
      <c r="S98" s="27" t="str">
        <f t="shared" si="24"/>
        <v/>
      </c>
      <c r="T98" s="28" t="str">
        <f t="shared" si="24"/>
        <v/>
      </c>
      <c r="U98" s="28" t="str">
        <f t="shared" si="24"/>
        <v/>
      </c>
      <c r="V98" s="28" t="str">
        <f t="shared" si="24"/>
        <v/>
      </c>
      <c r="W98" s="28" t="str">
        <f t="shared" si="24"/>
        <v/>
      </c>
      <c r="X98" s="29" t="str">
        <f t="shared" si="24"/>
        <v/>
      </c>
      <c r="Y98" s="24"/>
    </row>
    <row r="99" spans="2:25" x14ac:dyDescent="0.2">
      <c r="B99" s="31"/>
      <c r="C99" s="33"/>
      <c r="D99" s="16"/>
      <c r="E99" s="16"/>
      <c r="F99" s="16"/>
      <c r="G99" s="16"/>
      <c r="H99" s="16"/>
      <c r="I99" s="16"/>
      <c r="J99" s="32"/>
      <c r="K99" s="18"/>
      <c r="L99" s="19" t="str">
        <f t="shared" si="18"/>
        <v/>
      </c>
      <c r="M99" s="19" t="str">
        <f t="shared" si="18"/>
        <v/>
      </c>
      <c r="N99" s="19" t="str">
        <f t="shared" si="18"/>
        <v/>
      </c>
      <c r="O99" s="19" t="str">
        <f t="shared" si="21"/>
        <v/>
      </c>
      <c r="P99" s="19" t="str">
        <f t="shared" si="22"/>
        <v/>
      </c>
      <c r="Q99" s="19" t="str">
        <f t="shared" si="23"/>
        <v/>
      </c>
      <c r="R99" s="19" t="str">
        <f t="shared" si="18"/>
        <v/>
      </c>
      <c r="S99" s="27" t="str">
        <f t="shared" si="24"/>
        <v/>
      </c>
      <c r="T99" s="28" t="str">
        <f t="shared" si="24"/>
        <v/>
      </c>
      <c r="U99" s="28" t="str">
        <f t="shared" si="24"/>
        <v/>
      </c>
      <c r="V99" s="28" t="str">
        <f t="shared" si="24"/>
        <v/>
      </c>
      <c r="W99" s="28" t="str">
        <f t="shared" si="24"/>
        <v/>
      </c>
      <c r="X99" s="29" t="str">
        <f t="shared" si="24"/>
        <v/>
      </c>
      <c r="Y99" s="24"/>
    </row>
    <row r="100" spans="2:25" x14ac:dyDescent="0.2">
      <c r="B100" s="31"/>
      <c r="C100" s="33"/>
      <c r="D100" s="16"/>
      <c r="E100" s="16"/>
      <c r="F100" s="16"/>
      <c r="G100" s="16"/>
      <c r="H100" s="16"/>
      <c r="I100" s="16"/>
      <c r="J100" s="32"/>
      <c r="K100" s="18"/>
      <c r="L100" s="19" t="str">
        <f t="shared" si="18"/>
        <v/>
      </c>
      <c r="M100" s="19" t="str">
        <f t="shared" si="18"/>
        <v/>
      </c>
      <c r="N100" s="19" t="str">
        <f t="shared" si="18"/>
        <v/>
      </c>
      <c r="O100" s="19" t="str">
        <f t="shared" si="21"/>
        <v/>
      </c>
      <c r="P100" s="19" t="str">
        <f t="shared" si="22"/>
        <v/>
      </c>
      <c r="Q100" s="19" t="str">
        <f t="shared" si="23"/>
        <v/>
      </c>
      <c r="R100" s="19" t="str">
        <f t="shared" si="18"/>
        <v/>
      </c>
      <c r="S100" s="27" t="str">
        <f t="shared" si="24"/>
        <v/>
      </c>
      <c r="T100" s="28" t="str">
        <f t="shared" si="24"/>
        <v/>
      </c>
      <c r="U100" s="28" t="str">
        <f t="shared" si="24"/>
        <v/>
      </c>
      <c r="V100" s="28" t="str">
        <f t="shared" si="24"/>
        <v/>
      </c>
      <c r="W100" s="28" t="str">
        <f t="shared" si="24"/>
        <v/>
      </c>
      <c r="X100" s="29" t="str">
        <f t="shared" si="24"/>
        <v/>
      </c>
      <c r="Y100" s="24"/>
    </row>
    <row r="101" spans="2:25" x14ac:dyDescent="0.2">
      <c r="B101" s="31"/>
      <c r="C101" s="33"/>
      <c r="D101" s="16"/>
      <c r="E101" s="16"/>
      <c r="F101" s="16"/>
      <c r="G101" s="16"/>
      <c r="H101" s="16"/>
      <c r="I101" s="16"/>
      <c r="J101" s="32"/>
      <c r="K101" s="18"/>
      <c r="L101" s="19" t="str">
        <f t="shared" si="18"/>
        <v/>
      </c>
      <c r="M101" s="19" t="str">
        <f t="shared" si="18"/>
        <v/>
      </c>
      <c r="N101" s="19" t="str">
        <f t="shared" si="18"/>
        <v/>
      </c>
      <c r="O101" s="19" t="str">
        <f t="shared" si="21"/>
        <v/>
      </c>
      <c r="P101" s="19" t="str">
        <f t="shared" si="22"/>
        <v/>
      </c>
      <c r="Q101" s="19" t="str">
        <f t="shared" si="23"/>
        <v/>
      </c>
      <c r="R101" s="19" t="str">
        <f t="shared" si="18"/>
        <v/>
      </c>
      <c r="S101" s="27" t="str">
        <f t="shared" si="24"/>
        <v/>
      </c>
      <c r="T101" s="28" t="str">
        <f t="shared" si="24"/>
        <v/>
      </c>
      <c r="U101" s="28" t="str">
        <f t="shared" si="24"/>
        <v/>
      </c>
      <c r="V101" s="28" t="str">
        <f t="shared" si="24"/>
        <v/>
      </c>
      <c r="W101" s="28" t="str">
        <f t="shared" si="24"/>
        <v/>
      </c>
      <c r="X101" s="29" t="str">
        <f t="shared" si="24"/>
        <v/>
      </c>
      <c r="Y101" s="24"/>
    </row>
    <row r="102" spans="2:25" x14ac:dyDescent="0.2">
      <c r="B102" s="31"/>
      <c r="C102" s="33"/>
      <c r="D102" s="16"/>
      <c r="E102" s="16"/>
      <c r="F102" s="16"/>
      <c r="G102" s="16"/>
      <c r="H102" s="16"/>
      <c r="I102" s="16"/>
      <c r="J102" s="32"/>
      <c r="K102" s="18"/>
      <c r="L102" s="19" t="str">
        <f t="shared" si="18"/>
        <v/>
      </c>
      <c r="M102" s="19" t="str">
        <f t="shared" si="18"/>
        <v/>
      </c>
      <c r="N102" s="19" t="str">
        <f t="shared" si="18"/>
        <v/>
      </c>
      <c r="O102" s="19" t="str">
        <f t="shared" si="21"/>
        <v/>
      </c>
      <c r="P102" s="19" t="str">
        <f t="shared" si="22"/>
        <v/>
      </c>
      <c r="Q102" s="19" t="str">
        <f t="shared" si="23"/>
        <v/>
      </c>
      <c r="R102" s="19" t="str">
        <f t="shared" si="18"/>
        <v/>
      </c>
      <c r="S102" s="27" t="str">
        <f t="shared" si="24"/>
        <v/>
      </c>
      <c r="T102" s="28" t="str">
        <f t="shared" si="24"/>
        <v/>
      </c>
      <c r="U102" s="28" t="str">
        <f t="shared" si="24"/>
        <v/>
      </c>
      <c r="V102" s="28" t="str">
        <f t="shared" si="24"/>
        <v/>
      </c>
      <c r="W102" s="28" t="str">
        <f t="shared" si="24"/>
        <v/>
      </c>
      <c r="X102" s="29" t="str">
        <f t="shared" si="24"/>
        <v/>
      </c>
      <c r="Y102" s="24"/>
    </row>
    <row r="103" spans="2:25" x14ac:dyDescent="0.2">
      <c r="B103" s="31"/>
      <c r="C103" s="33"/>
      <c r="D103" s="16"/>
      <c r="E103" s="16"/>
      <c r="F103" s="16"/>
      <c r="G103" s="16"/>
      <c r="H103" s="16"/>
      <c r="I103" s="16"/>
      <c r="J103" s="32"/>
      <c r="K103" s="18"/>
      <c r="L103" s="19" t="str">
        <f t="shared" si="18"/>
        <v/>
      </c>
      <c r="M103" s="19" t="str">
        <f t="shared" si="18"/>
        <v/>
      </c>
      <c r="N103" s="19" t="str">
        <f t="shared" si="18"/>
        <v/>
      </c>
      <c r="O103" s="19" t="str">
        <f t="shared" si="21"/>
        <v/>
      </c>
      <c r="P103" s="19" t="str">
        <f t="shared" si="22"/>
        <v/>
      </c>
      <c r="Q103" s="19" t="str">
        <f t="shared" si="23"/>
        <v/>
      </c>
      <c r="R103" s="19" t="str">
        <f t="shared" si="18"/>
        <v/>
      </c>
      <c r="S103" s="27" t="str">
        <f t="shared" si="24"/>
        <v/>
      </c>
      <c r="T103" s="28" t="str">
        <f t="shared" si="24"/>
        <v/>
      </c>
      <c r="U103" s="28" t="str">
        <f t="shared" si="24"/>
        <v/>
      </c>
      <c r="V103" s="28" t="str">
        <f t="shared" si="24"/>
        <v/>
      </c>
      <c r="W103" s="28" t="str">
        <f t="shared" si="24"/>
        <v/>
      </c>
      <c r="X103" s="29" t="str">
        <f t="shared" si="24"/>
        <v/>
      </c>
      <c r="Y103" s="24"/>
    </row>
    <row r="104" spans="2:25" x14ac:dyDescent="0.2">
      <c r="B104" s="31"/>
      <c r="C104" s="33"/>
      <c r="D104" s="16"/>
      <c r="E104" s="16"/>
      <c r="F104" s="16"/>
      <c r="G104" s="16"/>
      <c r="H104" s="16"/>
      <c r="I104" s="16"/>
      <c r="J104" s="32"/>
      <c r="K104" s="18"/>
      <c r="L104" s="19" t="str">
        <f t="shared" si="18"/>
        <v/>
      </c>
      <c r="M104" s="19" t="str">
        <f t="shared" si="18"/>
        <v/>
      </c>
      <c r="N104" s="19" t="str">
        <f t="shared" si="18"/>
        <v/>
      </c>
      <c r="O104" s="19" t="str">
        <f t="shared" si="21"/>
        <v/>
      </c>
      <c r="P104" s="19" t="str">
        <f t="shared" si="22"/>
        <v/>
      </c>
      <c r="Q104" s="19" t="str">
        <f t="shared" si="23"/>
        <v/>
      </c>
      <c r="R104" s="19" t="str">
        <f t="shared" si="18"/>
        <v/>
      </c>
      <c r="S104" s="27" t="str">
        <f t="shared" si="24"/>
        <v/>
      </c>
      <c r="T104" s="28" t="str">
        <f t="shared" si="24"/>
        <v/>
      </c>
      <c r="U104" s="28" t="str">
        <f t="shared" si="24"/>
        <v/>
      </c>
      <c r="V104" s="28" t="str">
        <f t="shared" si="24"/>
        <v/>
      </c>
      <c r="W104" s="28" t="str">
        <f t="shared" si="24"/>
        <v/>
      </c>
      <c r="X104" s="29" t="str">
        <f t="shared" si="24"/>
        <v/>
      </c>
      <c r="Y104" s="24"/>
    </row>
    <row r="105" spans="2:25" x14ac:dyDescent="0.2">
      <c r="B105" s="31"/>
      <c r="C105" s="33"/>
      <c r="D105" s="16"/>
      <c r="E105" s="16"/>
      <c r="F105" s="16"/>
      <c r="G105" s="16"/>
      <c r="H105" s="16"/>
      <c r="I105" s="16"/>
      <c r="J105" s="32"/>
      <c r="K105" s="18"/>
      <c r="L105" s="19" t="str">
        <f t="shared" si="18"/>
        <v/>
      </c>
      <c r="M105" s="19" t="str">
        <f t="shared" si="18"/>
        <v/>
      </c>
      <c r="N105" s="19" t="str">
        <f t="shared" si="18"/>
        <v/>
      </c>
      <c r="O105" s="19" t="str">
        <f t="shared" si="21"/>
        <v/>
      </c>
      <c r="P105" s="19" t="str">
        <f t="shared" si="22"/>
        <v/>
      </c>
      <c r="Q105" s="19" t="str">
        <f t="shared" si="23"/>
        <v/>
      </c>
      <c r="R105" s="19" t="str">
        <f t="shared" si="18"/>
        <v/>
      </c>
      <c r="S105" s="27" t="str">
        <f t="shared" si="24"/>
        <v/>
      </c>
      <c r="T105" s="28" t="str">
        <f t="shared" si="24"/>
        <v/>
      </c>
      <c r="U105" s="28" t="str">
        <f t="shared" si="24"/>
        <v/>
      </c>
      <c r="V105" s="28" t="str">
        <f t="shared" si="24"/>
        <v/>
      </c>
      <c r="W105" s="28" t="str">
        <f t="shared" si="24"/>
        <v/>
      </c>
      <c r="X105" s="29" t="str">
        <f t="shared" si="24"/>
        <v/>
      </c>
      <c r="Y105" s="24"/>
    </row>
    <row r="106" spans="2:25" x14ac:dyDescent="0.2">
      <c r="B106" s="31"/>
      <c r="C106" s="33"/>
      <c r="D106" s="16"/>
      <c r="E106" s="16"/>
      <c r="F106" s="16"/>
      <c r="G106" s="16"/>
      <c r="H106" s="16"/>
      <c r="I106" s="16"/>
      <c r="J106" s="32"/>
      <c r="K106" s="18"/>
      <c r="L106" s="19" t="str">
        <f t="shared" si="18"/>
        <v/>
      </c>
      <c r="M106" s="19" t="str">
        <f t="shared" si="18"/>
        <v/>
      </c>
      <c r="N106" s="19" t="str">
        <f t="shared" si="18"/>
        <v/>
      </c>
      <c r="O106" s="19" t="str">
        <f t="shared" si="21"/>
        <v/>
      </c>
      <c r="P106" s="19" t="str">
        <f t="shared" si="22"/>
        <v/>
      </c>
      <c r="Q106" s="19" t="str">
        <f t="shared" si="23"/>
        <v/>
      </c>
      <c r="R106" s="19" t="str">
        <f t="shared" si="18"/>
        <v/>
      </c>
      <c r="S106" s="27" t="str">
        <f t="shared" si="24"/>
        <v/>
      </c>
      <c r="T106" s="28" t="str">
        <f t="shared" si="24"/>
        <v/>
      </c>
      <c r="U106" s="28" t="str">
        <f t="shared" si="24"/>
        <v/>
      </c>
      <c r="V106" s="28" t="str">
        <f t="shared" si="24"/>
        <v/>
      </c>
      <c r="W106" s="28" t="str">
        <f t="shared" si="24"/>
        <v/>
      </c>
      <c r="X106" s="29" t="str">
        <f t="shared" si="24"/>
        <v/>
      </c>
      <c r="Y106" s="24"/>
    </row>
    <row r="107" spans="2:25" x14ac:dyDescent="0.2">
      <c r="B107" s="31"/>
      <c r="C107" s="33"/>
      <c r="D107" s="16"/>
      <c r="E107" s="16"/>
      <c r="F107" s="16"/>
      <c r="G107" s="16"/>
      <c r="H107" s="16"/>
      <c r="I107" s="16"/>
      <c r="J107" s="32"/>
      <c r="K107" s="18"/>
      <c r="L107" s="19" t="str">
        <f t="shared" si="18"/>
        <v/>
      </c>
      <c r="M107" s="19" t="str">
        <f t="shared" si="18"/>
        <v/>
      </c>
      <c r="N107" s="19" t="str">
        <f t="shared" si="18"/>
        <v/>
      </c>
      <c r="O107" s="19" t="str">
        <f t="shared" si="21"/>
        <v/>
      </c>
      <c r="P107" s="19" t="str">
        <f t="shared" si="22"/>
        <v/>
      </c>
      <c r="Q107" s="19" t="str">
        <f t="shared" si="23"/>
        <v/>
      </c>
      <c r="R107" s="19" t="str">
        <f t="shared" si="18"/>
        <v/>
      </c>
      <c r="S107" s="27" t="str">
        <f t="shared" si="24"/>
        <v/>
      </c>
      <c r="T107" s="28" t="str">
        <f t="shared" si="24"/>
        <v/>
      </c>
      <c r="U107" s="28" t="str">
        <f t="shared" si="24"/>
        <v/>
      </c>
      <c r="V107" s="28" t="str">
        <f t="shared" si="24"/>
        <v/>
      </c>
      <c r="W107" s="28" t="str">
        <f t="shared" si="24"/>
        <v/>
      </c>
      <c r="X107" s="29" t="str">
        <f t="shared" si="24"/>
        <v/>
      </c>
      <c r="Y107" s="24"/>
    </row>
    <row r="108" spans="2:25" x14ac:dyDescent="0.2">
      <c r="B108" s="31"/>
      <c r="C108" s="33"/>
      <c r="D108" s="16"/>
      <c r="E108" s="16"/>
      <c r="F108" s="16"/>
      <c r="G108" s="16"/>
      <c r="H108" s="16"/>
      <c r="I108" s="16"/>
      <c r="J108" s="32"/>
      <c r="K108" s="18"/>
      <c r="L108" s="19" t="str">
        <f t="shared" si="18"/>
        <v/>
      </c>
      <c r="M108" s="19" t="str">
        <f t="shared" si="18"/>
        <v/>
      </c>
      <c r="N108" s="19" t="str">
        <f t="shared" si="18"/>
        <v/>
      </c>
      <c r="O108" s="19" t="str">
        <f t="shared" si="21"/>
        <v/>
      </c>
      <c r="P108" s="19" t="str">
        <f t="shared" si="22"/>
        <v/>
      </c>
      <c r="Q108" s="19" t="str">
        <f t="shared" si="23"/>
        <v/>
      </c>
      <c r="R108" s="19" t="str">
        <f t="shared" si="18"/>
        <v/>
      </c>
      <c r="S108" s="27" t="str">
        <f t="shared" si="24"/>
        <v/>
      </c>
      <c r="T108" s="28" t="str">
        <f t="shared" si="24"/>
        <v/>
      </c>
      <c r="U108" s="28" t="str">
        <f t="shared" si="24"/>
        <v/>
      </c>
      <c r="V108" s="28" t="str">
        <f t="shared" si="24"/>
        <v/>
      </c>
      <c r="W108" s="28" t="str">
        <f t="shared" si="24"/>
        <v/>
      </c>
      <c r="X108" s="29" t="str">
        <f t="shared" si="24"/>
        <v/>
      </c>
      <c r="Y108" s="24"/>
    </row>
    <row r="109" spans="2:25" x14ac:dyDescent="0.2">
      <c r="B109" s="31"/>
      <c r="C109" s="33"/>
      <c r="D109" s="16"/>
      <c r="E109" s="16"/>
      <c r="F109" s="16"/>
      <c r="G109" s="16"/>
      <c r="H109" s="16"/>
      <c r="I109" s="16"/>
      <c r="J109" s="32"/>
      <c r="K109" s="18"/>
      <c r="L109" s="19" t="str">
        <f t="shared" si="18"/>
        <v/>
      </c>
      <c r="M109" s="19" t="str">
        <f t="shared" si="18"/>
        <v/>
      </c>
      <c r="N109" s="19" t="str">
        <f t="shared" si="18"/>
        <v/>
      </c>
      <c r="O109" s="19" t="str">
        <f t="shared" si="21"/>
        <v/>
      </c>
      <c r="P109" s="19" t="str">
        <f t="shared" si="22"/>
        <v/>
      </c>
      <c r="Q109" s="19" t="str">
        <f t="shared" si="23"/>
        <v/>
      </c>
      <c r="R109" s="19" t="str">
        <f t="shared" si="18"/>
        <v/>
      </c>
      <c r="S109" s="27" t="str">
        <f t="shared" si="24"/>
        <v/>
      </c>
      <c r="T109" s="28" t="str">
        <f t="shared" si="24"/>
        <v/>
      </c>
      <c r="U109" s="28" t="str">
        <f t="shared" si="24"/>
        <v/>
      </c>
      <c r="V109" s="28" t="str">
        <f t="shared" si="24"/>
        <v/>
      </c>
      <c r="W109" s="28" t="str">
        <f t="shared" si="24"/>
        <v/>
      </c>
      <c r="X109" s="29" t="str">
        <f t="shared" si="24"/>
        <v/>
      </c>
      <c r="Y109" s="24"/>
    </row>
    <row r="110" spans="2:25" x14ac:dyDescent="0.2">
      <c r="B110" s="31"/>
      <c r="C110" s="33"/>
      <c r="D110" s="16"/>
      <c r="E110" s="16"/>
      <c r="F110" s="16"/>
      <c r="G110" s="16"/>
      <c r="H110" s="16"/>
      <c r="I110" s="16"/>
      <c r="J110" s="32"/>
      <c r="K110" s="18"/>
      <c r="L110" s="19" t="str">
        <f t="shared" si="18"/>
        <v/>
      </c>
      <c r="M110" s="19" t="str">
        <f t="shared" si="18"/>
        <v/>
      </c>
      <c r="N110" s="19" t="str">
        <f t="shared" si="18"/>
        <v/>
      </c>
      <c r="O110" s="19" t="str">
        <f t="shared" si="21"/>
        <v/>
      </c>
      <c r="P110" s="19" t="str">
        <f t="shared" si="22"/>
        <v/>
      </c>
      <c r="Q110" s="19" t="str">
        <f t="shared" si="23"/>
        <v/>
      </c>
      <c r="R110" s="19" t="str">
        <f t="shared" si="18"/>
        <v/>
      </c>
      <c r="S110" s="27" t="str">
        <f t="shared" si="24"/>
        <v/>
      </c>
      <c r="T110" s="28" t="str">
        <f t="shared" si="24"/>
        <v/>
      </c>
      <c r="U110" s="28" t="str">
        <f t="shared" si="24"/>
        <v/>
      </c>
      <c r="V110" s="28" t="str">
        <f t="shared" si="24"/>
        <v/>
      </c>
      <c r="W110" s="28" t="str">
        <f t="shared" si="24"/>
        <v/>
      </c>
      <c r="X110" s="29" t="str">
        <f t="shared" si="24"/>
        <v/>
      </c>
      <c r="Y110" s="24"/>
    </row>
    <row r="111" spans="2:25" x14ac:dyDescent="0.2">
      <c r="B111" s="31"/>
      <c r="C111" s="33"/>
      <c r="D111" s="16"/>
      <c r="E111" s="16"/>
      <c r="F111" s="16"/>
      <c r="G111" s="16"/>
      <c r="H111" s="16"/>
      <c r="I111" s="16"/>
      <c r="J111" s="32"/>
      <c r="K111" s="18"/>
      <c r="L111" s="19" t="str">
        <f t="shared" si="18"/>
        <v/>
      </c>
      <c r="M111" s="19" t="str">
        <f t="shared" si="18"/>
        <v/>
      </c>
      <c r="N111" s="19" t="str">
        <f t="shared" si="18"/>
        <v/>
      </c>
      <c r="O111" s="19" t="str">
        <f t="shared" si="21"/>
        <v/>
      </c>
      <c r="P111" s="19" t="str">
        <f t="shared" si="22"/>
        <v/>
      </c>
      <c r="Q111" s="19" t="str">
        <f t="shared" si="23"/>
        <v/>
      </c>
      <c r="R111" s="19" t="str">
        <f t="shared" si="18"/>
        <v/>
      </c>
      <c r="S111" s="27" t="str">
        <f t="shared" si="24"/>
        <v/>
      </c>
      <c r="T111" s="28" t="str">
        <f t="shared" si="24"/>
        <v/>
      </c>
      <c r="U111" s="28" t="str">
        <f t="shared" si="24"/>
        <v/>
      </c>
      <c r="V111" s="28" t="str">
        <f t="shared" si="24"/>
        <v/>
      </c>
      <c r="W111" s="28" t="str">
        <f t="shared" si="24"/>
        <v/>
      </c>
      <c r="X111" s="29" t="str">
        <f t="shared" si="24"/>
        <v/>
      </c>
      <c r="Y111" s="24"/>
    </row>
    <row r="112" spans="2:25" x14ac:dyDescent="0.2">
      <c r="B112" s="31"/>
      <c r="C112" s="33"/>
      <c r="D112" s="16"/>
      <c r="E112" s="16"/>
      <c r="F112" s="16"/>
      <c r="G112" s="16"/>
      <c r="H112" s="16"/>
      <c r="I112" s="16"/>
      <c r="J112" s="32"/>
      <c r="K112" s="18"/>
      <c r="L112" s="19" t="str">
        <f t="shared" si="18"/>
        <v/>
      </c>
      <c r="M112" s="19" t="str">
        <f t="shared" si="18"/>
        <v/>
      </c>
      <c r="N112" s="19" t="str">
        <f t="shared" si="18"/>
        <v/>
      </c>
      <c r="O112" s="19" t="str">
        <f t="shared" si="21"/>
        <v/>
      </c>
      <c r="P112" s="19" t="str">
        <f t="shared" si="22"/>
        <v/>
      </c>
      <c r="Q112" s="19" t="str">
        <f t="shared" si="23"/>
        <v/>
      </c>
      <c r="R112" s="19" t="str">
        <f t="shared" si="18"/>
        <v/>
      </c>
      <c r="S112" s="27" t="str">
        <f t="shared" si="24"/>
        <v/>
      </c>
      <c r="T112" s="28" t="str">
        <f t="shared" si="24"/>
        <v/>
      </c>
      <c r="U112" s="28" t="str">
        <f t="shared" si="24"/>
        <v/>
      </c>
      <c r="V112" s="28" t="str">
        <f t="shared" si="24"/>
        <v/>
      </c>
      <c r="W112" s="28" t="str">
        <f t="shared" si="24"/>
        <v/>
      </c>
      <c r="X112" s="29" t="str">
        <f t="shared" si="24"/>
        <v/>
      </c>
      <c r="Y112" s="24"/>
    </row>
    <row r="113" spans="2:25" x14ac:dyDescent="0.2">
      <c r="B113" s="31"/>
      <c r="C113" s="33"/>
      <c r="D113" s="16"/>
      <c r="E113" s="16"/>
      <c r="F113" s="16"/>
      <c r="G113" s="16"/>
      <c r="H113" s="16"/>
      <c r="I113" s="16"/>
      <c r="J113" s="32"/>
      <c r="K113" s="18"/>
      <c r="L113" s="19" t="str">
        <f t="shared" si="18"/>
        <v/>
      </c>
      <c r="M113" s="19" t="str">
        <f t="shared" si="18"/>
        <v/>
      </c>
      <c r="N113" s="19" t="str">
        <f t="shared" si="18"/>
        <v/>
      </c>
      <c r="O113" s="19" t="str">
        <f t="shared" si="21"/>
        <v/>
      </c>
      <c r="P113" s="19" t="str">
        <f t="shared" si="22"/>
        <v/>
      </c>
      <c r="Q113" s="19" t="str">
        <f t="shared" si="23"/>
        <v/>
      </c>
      <c r="R113" s="19" t="str">
        <f t="shared" si="18"/>
        <v/>
      </c>
      <c r="S113" s="27" t="str">
        <f t="shared" ref="S113:X128" si="25">IF(C113="","",((C113-C112)*1000)/($B113-$B112))</f>
        <v/>
      </c>
      <c r="T113" s="28" t="str">
        <f t="shared" si="25"/>
        <v/>
      </c>
      <c r="U113" s="28" t="str">
        <f t="shared" si="25"/>
        <v/>
      </c>
      <c r="V113" s="28" t="str">
        <f t="shared" si="25"/>
        <v/>
      </c>
      <c r="W113" s="28" t="str">
        <f t="shared" si="25"/>
        <v/>
      </c>
      <c r="X113" s="29" t="str">
        <f t="shared" si="25"/>
        <v/>
      </c>
      <c r="Y113" s="24"/>
    </row>
    <row r="114" spans="2:25" x14ac:dyDescent="0.2">
      <c r="B114" s="31"/>
      <c r="C114" s="33"/>
      <c r="D114" s="16"/>
      <c r="E114" s="16"/>
      <c r="F114" s="16"/>
      <c r="G114" s="16"/>
      <c r="H114" s="16"/>
      <c r="I114" s="16"/>
      <c r="J114" s="32"/>
      <c r="K114" s="18"/>
      <c r="L114" s="19" t="str">
        <f t="shared" si="18"/>
        <v/>
      </c>
      <c r="M114" s="19" t="str">
        <f t="shared" si="18"/>
        <v/>
      </c>
      <c r="N114" s="19" t="str">
        <f t="shared" si="18"/>
        <v/>
      </c>
      <c r="O114" s="19" t="str">
        <f t="shared" si="21"/>
        <v/>
      </c>
      <c r="P114" s="19" t="str">
        <f t="shared" si="22"/>
        <v/>
      </c>
      <c r="Q114" s="19" t="str">
        <f t="shared" si="23"/>
        <v/>
      </c>
      <c r="R114" s="19" t="str">
        <f t="shared" si="18"/>
        <v/>
      </c>
      <c r="S114" s="27" t="str">
        <f t="shared" si="25"/>
        <v/>
      </c>
      <c r="T114" s="28" t="str">
        <f t="shared" si="25"/>
        <v/>
      </c>
      <c r="U114" s="28" t="str">
        <f t="shared" si="25"/>
        <v/>
      </c>
      <c r="V114" s="28" t="str">
        <f t="shared" si="25"/>
        <v/>
      </c>
      <c r="W114" s="28" t="str">
        <f t="shared" si="25"/>
        <v/>
      </c>
      <c r="X114" s="29" t="str">
        <f t="shared" si="25"/>
        <v/>
      </c>
      <c r="Y114" s="24"/>
    </row>
    <row r="115" spans="2:25" x14ac:dyDescent="0.2">
      <c r="B115" s="31"/>
      <c r="C115" s="33"/>
      <c r="D115" s="16"/>
      <c r="E115" s="16"/>
      <c r="F115" s="16"/>
      <c r="G115" s="16"/>
      <c r="H115" s="16"/>
      <c r="I115" s="16"/>
      <c r="J115" s="32"/>
      <c r="K115" s="18"/>
      <c r="L115" s="19" t="str">
        <f t="shared" si="18"/>
        <v/>
      </c>
      <c r="M115" s="19" t="str">
        <f t="shared" si="18"/>
        <v/>
      </c>
      <c r="N115" s="19" t="str">
        <f t="shared" si="18"/>
        <v/>
      </c>
      <c r="O115" s="19" t="str">
        <f t="shared" si="21"/>
        <v/>
      </c>
      <c r="P115" s="19" t="str">
        <f t="shared" si="22"/>
        <v/>
      </c>
      <c r="Q115" s="19" t="str">
        <f t="shared" si="23"/>
        <v/>
      </c>
      <c r="R115" s="19" t="str">
        <f t="shared" si="18"/>
        <v/>
      </c>
      <c r="S115" s="27" t="str">
        <f t="shared" si="25"/>
        <v/>
      </c>
      <c r="T115" s="28" t="str">
        <f t="shared" si="25"/>
        <v/>
      </c>
      <c r="U115" s="28" t="str">
        <f t="shared" si="25"/>
        <v/>
      </c>
      <c r="V115" s="28" t="str">
        <f t="shared" si="25"/>
        <v/>
      </c>
      <c r="W115" s="28" t="str">
        <f t="shared" si="25"/>
        <v/>
      </c>
      <c r="X115" s="29" t="str">
        <f t="shared" si="25"/>
        <v/>
      </c>
      <c r="Y115" s="24"/>
    </row>
    <row r="116" spans="2:25" x14ac:dyDescent="0.2">
      <c r="B116" s="31"/>
      <c r="C116" s="33"/>
      <c r="D116" s="16"/>
      <c r="E116" s="16"/>
      <c r="F116" s="16"/>
      <c r="G116" s="16"/>
      <c r="H116" s="16"/>
      <c r="I116" s="16"/>
      <c r="J116" s="32"/>
      <c r="K116" s="18"/>
      <c r="L116" s="19" t="str">
        <f t="shared" si="18"/>
        <v/>
      </c>
      <c r="M116" s="19" t="str">
        <f t="shared" si="18"/>
        <v/>
      </c>
      <c r="N116" s="19" t="str">
        <f t="shared" si="18"/>
        <v/>
      </c>
      <c r="O116" s="19" t="str">
        <f t="shared" si="21"/>
        <v/>
      </c>
      <c r="P116" s="19" t="str">
        <f t="shared" si="22"/>
        <v/>
      </c>
      <c r="Q116" s="19" t="str">
        <f t="shared" si="23"/>
        <v/>
      </c>
      <c r="R116" s="19" t="str">
        <f t="shared" si="18"/>
        <v/>
      </c>
      <c r="S116" s="27" t="str">
        <f t="shared" si="25"/>
        <v/>
      </c>
      <c r="T116" s="28" t="str">
        <f t="shared" si="25"/>
        <v/>
      </c>
      <c r="U116" s="28" t="str">
        <f t="shared" si="25"/>
        <v/>
      </c>
      <c r="V116" s="28" t="str">
        <f t="shared" si="25"/>
        <v/>
      </c>
      <c r="W116" s="28" t="str">
        <f t="shared" si="25"/>
        <v/>
      </c>
      <c r="X116" s="29" t="str">
        <f t="shared" si="25"/>
        <v/>
      </c>
      <c r="Y116" s="24"/>
    </row>
    <row r="117" spans="2:25" x14ac:dyDescent="0.2">
      <c r="B117" s="31"/>
      <c r="C117" s="33"/>
      <c r="D117" s="16"/>
      <c r="E117" s="16"/>
      <c r="F117" s="16"/>
      <c r="G117" s="16"/>
      <c r="H117" s="16"/>
      <c r="I117" s="16"/>
      <c r="J117" s="32"/>
      <c r="K117" s="18"/>
      <c r="L117" s="19" t="str">
        <f t="shared" si="18"/>
        <v/>
      </c>
      <c r="M117" s="19" t="str">
        <f t="shared" ref="M117:R153" si="26">IF(ISBLANK(D117),"",(D117-D$16)*1000)</f>
        <v/>
      </c>
      <c r="N117" s="19" t="str">
        <f t="shared" si="26"/>
        <v/>
      </c>
      <c r="O117" s="19" t="str">
        <f t="shared" si="21"/>
        <v/>
      </c>
      <c r="P117" s="19" t="str">
        <f t="shared" si="22"/>
        <v/>
      </c>
      <c r="Q117" s="19" t="str">
        <f t="shared" si="23"/>
        <v/>
      </c>
      <c r="R117" s="19" t="str">
        <f t="shared" si="26"/>
        <v/>
      </c>
      <c r="S117" s="27" t="str">
        <f t="shared" si="25"/>
        <v/>
      </c>
      <c r="T117" s="28" t="str">
        <f t="shared" si="25"/>
        <v/>
      </c>
      <c r="U117" s="28" t="str">
        <f t="shared" si="25"/>
        <v/>
      </c>
      <c r="V117" s="28" t="str">
        <f t="shared" si="25"/>
        <v/>
      </c>
      <c r="W117" s="28" t="str">
        <f t="shared" si="25"/>
        <v/>
      </c>
      <c r="X117" s="29" t="str">
        <f t="shared" si="25"/>
        <v/>
      </c>
      <c r="Y117" s="24"/>
    </row>
    <row r="118" spans="2:25" x14ac:dyDescent="0.2">
      <c r="B118" s="31"/>
      <c r="C118" s="33"/>
      <c r="D118" s="16"/>
      <c r="E118" s="16"/>
      <c r="F118" s="16"/>
      <c r="G118" s="16"/>
      <c r="H118" s="16"/>
      <c r="I118" s="16"/>
      <c r="J118" s="32"/>
      <c r="K118" s="18"/>
      <c r="L118" s="19" t="str">
        <f t="shared" ref="L118:L153" si="27">IF(ISBLANK(C118),"",(C118-C$16)*1000)</f>
        <v/>
      </c>
      <c r="M118" s="19" t="str">
        <f t="shared" si="26"/>
        <v/>
      </c>
      <c r="N118" s="19" t="str">
        <f t="shared" si="26"/>
        <v/>
      </c>
      <c r="O118" s="19" t="str">
        <f t="shared" si="21"/>
        <v/>
      </c>
      <c r="P118" s="19" t="str">
        <f t="shared" si="22"/>
        <v/>
      </c>
      <c r="Q118" s="19" t="str">
        <f t="shared" si="23"/>
        <v/>
      </c>
      <c r="R118" s="19" t="str">
        <f t="shared" si="26"/>
        <v/>
      </c>
      <c r="S118" s="27" t="str">
        <f t="shared" si="25"/>
        <v/>
      </c>
      <c r="T118" s="28" t="str">
        <f t="shared" si="25"/>
        <v/>
      </c>
      <c r="U118" s="28" t="str">
        <f t="shared" si="25"/>
        <v/>
      </c>
      <c r="V118" s="28" t="str">
        <f t="shared" si="25"/>
        <v/>
      </c>
      <c r="W118" s="28" t="str">
        <f t="shared" si="25"/>
        <v/>
      </c>
      <c r="X118" s="29" t="str">
        <f t="shared" si="25"/>
        <v/>
      </c>
      <c r="Y118" s="24"/>
    </row>
    <row r="119" spans="2:25" x14ac:dyDescent="0.2">
      <c r="B119" s="31"/>
      <c r="C119" s="33"/>
      <c r="D119" s="16"/>
      <c r="E119" s="16"/>
      <c r="F119" s="16"/>
      <c r="G119" s="16"/>
      <c r="H119" s="16"/>
      <c r="I119" s="16"/>
      <c r="J119" s="32"/>
      <c r="K119" s="18"/>
      <c r="L119" s="19" t="str">
        <f t="shared" si="27"/>
        <v/>
      </c>
      <c r="M119" s="19" t="str">
        <f t="shared" si="26"/>
        <v/>
      </c>
      <c r="N119" s="19" t="str">
        <f t="shared" si="26"/>
        <v/>
      </c>
      <c r="O119" s="19" t="str">
        <f t="shared" si="21"/>
        <v/>
      </c>
      <c r="P119" s="19" t="str">
        <f t="shared" si="22"/>
        <v/>
      </c>
      <c r="Q119" s="19" t="str">
        <f t="shared" si="23"/>
        <v/>
      </c>
      <c r="R119" s="19" t="str">
        <f t="shared" si="26"/>
        <v/>
      </c>
      <c r="S119" s="27" t="str">
        <f t="shared" si="25"/>
        <v/>
      </c>
      <c r="T119" s="28" t="str">
        <f t="shared" si="25"/>
        <v/>
      </c>
      <c r="U119" s="28" t="str">
        <f t="shared" si="25"/>
        <v/>
      </c>
      <c r="V119" s="28" t="str">
        <f t="shared" si="25"/>
        <v/>
      </c>
      <c r="W119" s="28" t="str">
        <f t="shared" si="25"/>
        <v/>
      </c>
      <c r="X119" s="29" t="str">
        <f t="shared" si="25"/>
        <v/>
      </c>
      <c r="Y119" s="24"/>
    </row>
    <row r="120" spans="2:25" x14ac:dyDescent="0.2">
      <c r="B120" s="31"/>
      <c r="C120" s="33"/>
      <c r="D120" s="16"/>
      <c r="E120" s="16"/>
      <c r="F120" s="16"/>
      <c r="G120" s="16"/>
      <c r="H120" s="16"/>
      <c r="I120" s="16"/>
      <c r="J120" s="32"/>
      <c r="K120" s="18"/>
      <c r="L120" s="19" t="str">
        <f t="shared" si="27"/>
        <v/>
      </c>
      <c r="M120" s="19" t="str">
        <f t="shared" si="26"/>
        <v/>
      </c>
      <c r="N120" s="19" t="str">
        <f t="shared" si="26"/>
        <v/>
      </c>
      <c r="O120" s="19" t="str">
        <f t="shared" si="21"/>
        <v/>
      </c>
      <c r="P120" s="19" t="str">
        <f t="shared" si="22"/>
        <v/>
      </c>
      <c r="Q120" s="19" t="str">
        <f t="shared" si="23"/>
        <v/>
      </c>
      <c r="R120" s="19" t="str">
        <f t="shared" si="26"/>
        <v/>
      </c>
      <c r="S120" s="27" t="str">
        <f t="shared" si="25"/>
        <v/>
      </c>
      <c r="T120" s="28" t="str">
        <f t="shared" si="25"/>
        <v/>
      </c>
      <c r="U120" s="28" t="str">
        <f t="shared" si="25"/>
        <v/>
      </c>
      <c r="V120" s="28" t="str">
        <f t="shared" si="25"/>
        <v/>
      </c>
      <c r="W120" s="28" t="str">
        <f t="shared" si="25"/>
        <v/>
      </c>
      <c r="X120" s="29" t="str">
        <f t="shared" si="25"/>
        <v/>
      </c>
      <c r="Y120" s="24"/>
    </row>
    <row r="121" spans="2:25" x14ac:dyDescent="0.2">
      <c r="B121" s="31"/>
      <c r="C121" s="33"/>
      <c r="D121" s="16"/>
      <c r="E121" s="16"/>
      <c r="F121" s="16"/>
      <c r="G121" s="16"/>
      <c r="H121" s="16"/>
      <c r="I121" s="16"/>
      <c r="J121" s="32"/>
      <c r="K121" s="18"/>
      <c r="L121" s="19" t="str">
        <f t="shared" si="27"/>
        <v/>
      </c>
      <c r="M121" s="19" t="str">
        <f t="shared" si="26"/>
        <v/>
      </c>
      <c r="N121" s="19" t="str">
        <f t="shared" si="26"/>
        <v/>
      </c>
      <c r="O121" s="19" t="str">
        <f t="shared" si="21"/>
        <v/>
      </c>
      <c r="P121" s="19" t="str">
        <f t="shared" si="22"/>
        <v/>
      </c>
      <c r="Q121" s="19" t="str">
        <f t="shared" si="23"/>
        <v/>
      </c>
      <c r="R121" s="19" t="str">
        <f t="shared" si="26"/>
        <v/>
      </c>
      <c r="S121" s="27" t="str">
        <f t="shared" si="25"/>
        <v/>
      </c>
      <c r="T121" s="28" t="str">
        <f t="shared" si="25"/>
        <v/>
      </c>
      <c r="U121" s="28" t="str">
        <f t="shared" si="25"/>
        <v/>
      </c>
      <c r="V121" s="28" t="str">
        <f t="shared" si="25"/>
        <v/>
      </c>
      <c r="W121" s="28" t="str">
        <f t="shared" si="25"/>
        <v/>
      </c>
      <c r="X121" s="29" t="str">
        <f t="shared" si="25"/>
        <v/>
      </c>
      <c r="Y121" s="24"/>
    </row>
    <row r="122" spans="2:25" x14ac:dyDescent="0.2">
      <c r="B122" s="31"/>
      <c r="C122" s="33"/>
      <c r="D122" s="16"/>
      <c r="E122" s="16"/>
      <c r="F122" s="16"/>
      <c r="G122" s="16"/>
      <c r="H122" s="16"/>
      <c r="I122" s="16"/>
      <c r="J122" s="32"/>
      <c r="K122" s="18"/>
      <c r="L122" s="19" t="str">
        <f t="shared" si="27"/>
        <v/>
      </c>
      <c r="M122" s="19" t="str">
        <f t="shared" si="26"/>
        <v/>
      </c>
      <c r="N122" s="19" t="str">
        <f t="shared" si="26"/>
        <v/>
      </c>
      <c r="O122" s="19" t="str">
        <f t="shared" si="21"/>
        <v/>
      </c>
      <c r="P122" s="19" t="str">
        <f t="shared" si="22"/>
        <v/>
      </c>
      <c r="Q122" s="19" t="str">
        <f t="shared" si="23"/>
        <v/>
      </c>
      <c r="R122" s="19" t="str">
        <f t="shared" si="26"/>
        <v/>
      </c>
      <c r="S122" s="27" t="str">
        <f t="shared" si="25"/>
        <v/>
      </c>
      <c r="T122" s="28" t="str">
        <f t="shared" si="25"/>
        <v/>
      </c>
      <c r="U122" s="28" t="str">
        <f t="shared" si="25"/>
        <v/>
      </c>
      <c r="V122" s="28" t="str">
        <f t="shared" si="25"/>
        <v/>
      </c>
      <c r="W122" s="28" t="str">
        <f t="shared" si="25"/>
        <v/>
      </c>
      <c r="X122" s="29" t="str">
        <f t="shared" si="25"/>
        <v/>
      </c>
      <c r="Y122" s="24"/>
    </row>
    <row r="123" spans="2:25" x14ac:dyDescent="0.2">
      <c r="B123" s="31"/>
      <c r="C123" s="33"/>
      <c r="D123" s="16"/>
      <c r="E123" s="16"/>
      <c r="F123" s="16"/>
      <c r="G123" s="16"/>
      <c r="H123" s="16"/>
      <c r="I123" s="16"/>
      <c r="J123" s="32"/>
      <c r="K123" s="18"/>
      <c r="L123" s="19" t="str">
        <f t="shared" si="27"/>
        <v/>
      </c>
      <c r="M123" s="19" t="str">
        <f t="shared" si="26"/>
        <v/>
      </c>
      <c r="N123" s="19" t="str">
        <f t="shared" si="26"/>
        <v/>
      </c>
      <c r="O123" s="19" t="str">
        <f t="shared" si="21"/>
        <v/>
      </c>
      <c r="P123" s="19" t="str">
        <f t="shared" si="22"/>
        <v/>
      </c>
      <c r="Q123" s="19" t="str">
        <f t="shared" si="23"/>
        <v/>
      </c>
      <c r="R123" s="19" t="str">
        <f t="shared" si="26"/>
        <v/>
      </c>
      <c r="S123" s="27" t="str">
        <f t="shared" si="25"/>
        <v/>
      </c>
      <c r="T123" s="28" t="str">
        <f t="shared" si="25"/>
        <v/>
      </c>
      <c r="U123" s="28" t="str">
        <f t="shared" si="25"/>
        <v/>
      </c>
      <c r="V123" s="28" t="str">
        <f t="shared" si="25"/>
        <v/>
      </c>
      <c r="W123" s="28" t="str">
        <f t="shared" si="25"/>
        <v/>
      </c>
      <c r="X123" s="29" t="str">
        <f t="shared" si="25"/>
        <v/>
      </c>
      <c r="Y123" s="24"/>
    </row>
    <row r="124" spans="2:25" x14ac:dyDescent="0.2">
      <c r="B124" s="31"/>
      <c r="C124" s="33"/>
      <c r="D124" s="16"/>
      <c r="E124" s="16"/>
      <c r="F124" s="16"/>
      <c r="G124" s="16"/>
      <c r="H124" s="16"/>
      <c r="I124" s="16"/>
      <c r="J124" s="32"/>
      <c r="K124" s="18"/>
      <c r="L124" s="19" t="str">
        <f t="shared" si="27"/>
        <v/>
      </c>
      <c r="M124" s="19" t="str">
        <f t="shared" si="26"/>
        <v/>
      </c>
      <c r="N124" s="19" t="str">
        <f t="shared" si="26"/>
        <v/>
      </c>
      <c r="O124" s="19" t="str">
        <f t="shared" si="21"/>
        <v/>
      </c>
      <c r="P124" s="19" t="str">
        <f t="shared" si="22"/>
        <v/>
      </c>
      <c r="Q124" s="19" t="str">
        <f t="shared" si="23"/>
        <v/>
      </c>
      <c r="R124" s="19" t="str">
        <f t="shared" si="26"/>
        <v/>
      </c>
      <c r="S124" s="27" t="str">
        <f t="shared" si="25"/>
        <v/>
      </c>
      <c r="T124" s="28" t="str">
        <f t="shared" si="25"/>
        <v/>
      </c>
      <c r="U124" s="28" t="str">
        <f t="shared" si="25"/>
        <v/>
      </c>
      <c r="V124" s="28" t="str">
        <f t="shared" si="25"/>
        <v/>
      </c>
      <c r="W124" s="28" t="str">
        <f t="shared" si="25"/>
        <v/>
      </c>
      <c r="X124" s="29" t="str">
        <f t="shared" si="25"/>
        <v/>
      </c>
      <c r="Y124" s="24"/>
    </row>
    <row r="125" spans="2:25" x14ac:dyDescent="0.2">
      <c r="B125" s="31"/>
      <c r="C125" s="33"/>
      <c r="D125" s="16"/>
      <c r="E125" s="16"/>
      <c r="F125" s="16"/>
      <c r="G125" s="16"/>
      <c r="H125" s="16"/>
      <c r="I125" s="16"/>
      <c r="J125" s="32"/>
      <c r="K125" s="18"/>
      <c r="L125" s="19" t="str">
        <f t="shared" si="27"/>
        <v/>
      </c>
      <c r="M125" s="19" t="str">
        <f t="shared" si="26"/>
        <v/>
      </c>
      <c r="N125" s="19" t="str">
        <f t="shared" si="26"/>
        <v/>
      </c>
      <c r="O125" s="19" t="str">
        <f t="shared" si="21"/>
        <v/>
      </c>
      <c r="P125" s="19" t="str">
        <f t="shared" si="22"/>
        <v/>
      </c>
      <c r="Q125" s="19" t="str">
        <f t="shared" si="23"/>
        <v/>
      </c>
      <c r="R125" s="19" t="str">
        <f t="shared" si="26"/>
        <v/>
      </c>
      <c r="S125" s="27" t="str">
        <f t="shared" si="25"/>
        <v/>
      </c>
      <c r="T125" s="28" t="str">
        <f t="shared" si="25"/>
        <v/>
      </c>
      <c r="U125" s="28" t="str">
        <f t="shared" si="25"/>
        <v/>
      </c>
      <c r="V125" s="28" t="str">
        <f t="shared" si="25"/>
        <v/>
      </c>
      <c r="W125" s="28" t="str">
        <f t="shared" si="25"/>
        <v/>
      </c>
      <c r="X125" s="29" t="str">
        <f t="shared" si="25"/>
        <v/>
      </c>
      <c r="Y125" s="24"/>
    </row>
    <row r="126" spans="2:25" x14ac:dyDescent="0.2">
      <c r="B126" s="31"/>
      <c r="C126" s="33"/>
      <c r="D126" s="16"/>
      <c r="E126" s="16"/>
      <c r="F126" s="16"/>
      <c r="G126" s="16"/>
      <c r="H126" s="16"/>
      <c r="I126" s="16"/>
      <c r="J126" s="32"/>
      <c r="K126" s="18"/>
      <c r="L126" s="19" t="str">
        <f t="shared" si="27"/>
        <v/>
      </c>
      <c r="M126" s="19" t="str">
        <f t="shared" si="26"/>
        <v/>
      </c>
      <c r="N126" s="19" t="str">
        <f t="shared" si="26"/>
        <v/>
      </c>
      <c r="O126" s="19" t="str">
        <f t="shared" si="21"/>
        <v/>
      </c>
      <c r="P126" s="19" t="str">
        <f t="shared" si="22"/>
        <v/>
      </c>
      <c r="Q126" s="19" t="str">
        <f t="shared" si="23"/>
        <v/>
      </c>
      <c r="R126" s="19" t="str">
        <f t="shared" si="26"/>
        <v/>
      </c>
      <c r="S126" s="27" t="str">
        <f t="shared" si="25"/>
        <v/>
      </c>
      <c r="T126" s="28" t="str">
        <f t="shared" si="25"/>
        <v/>
      </c>
      <c r="U126" s="28" t="str">
        <f t="shared" si="25"/>
        <v/>
      </c>
      <c r="V126" s="28" t="str">
        <f t="shared" si="25"/>
        <v/>
      </c>
      <c r="W126" s="28" t="str">
        <f t="shared" si="25"/>
        <v/>
      </c>
      <c r="X126" s="29" t="str">
        <f t="shared" si="25"/>
        <v/>
      </c>
      <c r="Y126" s="24"/>
    </row>
    <row r="127" spans="2:25" x14ac:dyDescent="0.2">
      <c r="B127" s="31"/>
      <c r="C127" s="33"/>
      <c r="D127" s="16"/>
      <c r="E127" s="16"/>
      <c r="F127" s="16"/>
      <c r="G127" s="16"/>
      <c r="H127" s="16"/>
      <c r="I127" s="16"/>
      <c r="J127" s="32"/>
      <c r="K127" s="18"/>
      <c r="L127" s="19" t="str">
        <f t="shared" si="27"/>
        <v/>
      </c>
      <c r="M127" s="19" t="str">
        <f t="shared" si="26"/>
        <v/>
      </c>
      <c r="N127" s="19" t="str">
        <f t="shared" si="26"/>
        <v/>
      </c>
      <c r="O127" s="19" t="str">
        <f t="shared" si="21"/>
        <v/>
      </c>
      <c r="P127" s="19" t="str">
        <f t="shared" si="22"/>
        <v/>
      </c>
      <c r="Q127" s="19" t="str">
        <f t="shared" si="23"/>
        <v/>
      </c>
      <c r="R127" s="19" t="str">
        <f t="shared" si="26"/>
        <v/>
      </c>
      <c r="S127" s="27" t="str">
        <f t="shared" si="25"/>
        <v/>
      </c>
      <c r="T127" s="28" t="str">
        <f t="shared" si="25"/>
        <v/>
      </c>
      <c r="U127" s="28" t="str">
        <f t="shared" si="25"/>
        <v/>
      </c>
      <c r="V127" s="28" t="str">
        <f t="shared" si="25"/>
        <v/>
      </c>
      <c r="W127" s="28" t="str">
        <f t="shared" si="25"/>
        <v/>
      </c>
      <c r="X127" s="29" t="str">
        <f t="shared" si="25"/>
        <v/>
      </c>
      <c r="Y127" s="24"/>
    </row>
    <row r="128" spans="2:25" x14ac:dyDescent="0.2">
      <c r="B128" s="31"/>
      <c r="C128" s="33"/>
      <c r="D128" s="16"/>
      <c r="E128" s="16"/>
      <c r="F128" s="16"/>
      <c r="G128" s="16"/>
      <c r="H128" s="16"/>
      <c r="I128" s="16"/>
      <c r="J128" s="32"/>
      <c r="K128" s="18"/>
      <c r="L128" s="19" t="str">
        <f t="shared" si="27"/>
        <v/>
      </c>
      <c r="M128" s="19" t="str">
        <f t="shared" si="26"/>
        <v/>
      </c>
      <c r="N128" s="19" t="str">
        <f t="shared" si="26"/>
        <v/>
      </c>
      <c r="O128" s="19" t="str">
        <f t="shared" si="21"/>
        <v/>
      </c>
      <c r="P128" s="19" t="str">
        <f t="shared" si="22"/>
        <v/>
      </c>
      <c r="Q128" s="19" t="str">
        <f t="shared" si="23"/>
        <v/>
      </c>
      <c r="R128" s="19" t="str">
        <f t="shared" si="26"/>
        <v/>
      </c>
      <c r="S128" s="27" t="str">
        <f t="shared" si="25"/>
        <v/>
      </c>
      <c r="T128" s="28" t="str">
        <f t="shared" si="25"/>
        <v/>
      </c>
      <c r="U128" s="28" t="str">
        <f t="shared" si="25"/>
        <v/>
      </c>
      <c r="V128" s="28" t="str">
        <f t="shared" si="25"/>
        <v/>
      </c>
      <c r="W128" s="28" t="str">
        <f t="shared" si="25"/>
        <v/>
      </c>
      <c r="X128" s="29" t="str">
        <f t="shared" si="25"/>
        <v/>
      </c>
      <c r="Y128" s="24"/>
    </row>
    <row r="129" spans="2:25" x14ac:dyDescent="0.2">
      <c r="B129" s="31"/>
      <c r="C129" s="33"/>
      <c r="D129" s="16"/>
      <c r="E129" s="16"/>
      <c r="F129" s="16"/>
      <c r="G129" s="16"/>
      <c r="H129" s="16"/>
      <c r="I129" s="16"/>
      <c r="J129" s="32"/>
      <c r="K129" s="18"/>
      <c r="L129" s="19" t="str">
        <f t="shared" si="27"/>
        <v/>
      </c>
      <c r="M129" s="19" t="str">
        <f t="shared" si="26"/>
        <v/>
      </c>
      <c r="N129" s="19" t="str">
        <f t="shared" si="26"/>
        <v/>
      </c>
      <c r="O129" s="19" t="str">
        <f t="shared" si="21"/>
        <v/>
      </c>
      <c r="P129" s="19" t="str">
        <f t="shared" si="22"/>
        <v/>
      </c>
      <c r="Q129" s="19" t="str">
        <f t="shared" si="23"/>
        <v/>
      </c>
      <c r="R129" s="19" t="str">
        <f t="shared" si="26"/>
        <v/>
      </c>
      <c r="S129" s="27" t="str">
        <f t="shared" ref="S129:X144" si="28">IF(C129="","",((C129-C128)*1000)/($B129-$B128))</f>
        <v/>
      </c>
      <c r="T129" s="28" t="str">
        <f t="shared" si="28"/>
        <v/>
      </c>
      <c r="U129" s="28" t="str">
        <f t="shared" si="28"/>
        <v/>
      </c>
      <c r="V129" s="28" t="str">
        <f t="shared" si="28"/>
        <v/>
      </c>
      <c r="W129" s="28" t="str">
        <f t="shared" si="28"/>
        <v/>
      </c>
      <c r="X129" s="29" t="str">
        <f t="shared" si="28"/>
        <v/>
      </c>
      <c r="Y129" s="24"/>
    </row>
    <row r="130" spans="2:25" x14ac:dyDescent="0.2">
      <c r="B130" s="31"/>
      <c r="C130" s="33"/>
      <c r="D130" s="16"/>
      <c r="E130" s="16"/>
      <c r="F130" s="16"/>
      <c r="G130" s="16"/>
      <c r="H130" s="16"/>
      <c r="I130" s="16"/>
      <c r="J130" s="32"/>
      <c r="K130" s="18"/>
      <c r="L130" s="19" t="str">
        <f t="shared" si="27"/>
        <v/>
      </c>
      <c r="M130" s="19" t="str">
        <f t="shared" si="26"/>
        <v/>
      </c>
      <c r="N130" s="19" t="str">
        <f t="shared" si="26"/>
        <v/>
      </c>
      <c r="O130" s="19" t="str">
        <f t="shared" si="21"/>
        <v/>
      </c>
      <c r="P130" s="19" t="str">
        <f t="shared" si="22"/>
        <v/>
      </c>
      <c r="Q130" s="19" t="str">
        <f t="shared" si="23"/>
        <v/>
      </c>
      <c r="R130" s="19" t="str">
        <f t="shared" si="26"/>
        <v/>
      </c>
      <c r="S130" s="27" t="str">
        <f t="shared" si="28"/>
        <v/>
      </c>
      <c r="T130" s="28" t="str">
        <f t="shared" si="28"/>
        <v/>
      </c>
      <c r="U130" s="28" t="str">
        <f t="shared" si="28"/>
        <v/>
      </c>
      <c r="V130" s="28" t="str">
        <f t="shared" si="28"/>
        <v/>
      </c>
      <c r="W130" s="28" t="str">
        <f t="shared" si="28"/>
        <v/>
      </c>
      <c r="X130" s="29" t="str">
        <f t="shared" si="28"/>
        <v/>
      </c>
      <c r="Y130" s="24"/>
    </row>
    <row r="131" spans="2:25" x14ac:dyDescent="0.2">
      <c r="B131" s="31"/>
      <c r="C131" s="33"/>
      <c r="D131" s="16"/>
      <c r="E131" s="16"/>
      <c r="F131" s="16"/>
      <c r="G131" s="16"/>
      <c r="H131" s="16"/>
      <c r="I131" s="16"/>
      <c r="J131" s="32"/>
      <c r="K131" s="18"/>
      <c r="L131" s="19" t="str">
        <f t="shared" si="27"/>
        <v/>
      </c>
      <c r="M131" s="19" t="str">
        <f t="shared" si="26"/>
        <v/>
      </c>
      <c r="N131" s="19" t="str">
        <f t="shared" si="26"/>
        <v/>
      </c>
      <c r="O131" s="19" t="str">
        <f t="shared" si="21"/>
        <v/>
      </c>
      <c r="P131" s="19" t="str">
        <f t="shared" si="22"/>
        <v/>
      </c>
      <c r="Q131" s="19" t="str">
        <f t="shared" si="23"/>
        <v/>
      </c>
      <c r="R131" s="19" t="str">
        <f t="shared" si="26"/>
        <v/>
      </c>
      <c r="S131" s="27" t="str">
        <f t="shared" si="28"/>
        <v/>
      </c>
      <c r="T131" s="28" t="str">
        <f t="shared" si="28"/>
        <v/>
      </c>
      <c r="U131" s="28" t="str">
        <f t="shared" si="28"/>
        <v/>
      </c>
      <c r="V131" s="28" t="str">
        <f t="shared" si="28"/>
        <v/>
      </c>
      <c r="W131" s="28" t="str">
        <f t="shared" si="28"/>
        <v/>
      </c>
      <c r="X131" s="29" t="str">
        <f t="shared" si="28"/>
        <v/>
      </c>
      <c r="Y131" s="24"/>
    </row>
    <row r="132" spans="2:25" x14ac:dyDescent="0.2">
      <c r="B132" s="31"/>
      <c r="C132" s="33"/>
      <c r="D132" s="16"/>
      <c r="E132" s="16"/>
      <c r="F132" s="16"/>
      <c r="G132" s="16"/>
      <c r="H132" s="16"/>
      <c r="I132" s="16"/>
      <c r="J132" s="32"/>
      <c r="K132" s="18"/>
      <c r="L132" s="19" t="str">
        <f t="shared" si="27"/>
        <v/>
      </c>
      <c r="M132" s="19" t="str">
        <f t="shared" si="26"/>
        <v/>
      </c>
      <c r="N132" s="19" t="str">
        <f t="shared" si="26"/>
        <v/>
      </c>
      <c r="O132" s="19" t="str">
        <f t="shared" si="21"/>
        <v/>
      </c>
      <c r="P132" s="19" t="str">
        <f t="shared" si="22"/>
        <v/>
      </c>
      <c r="Q132" s="19" t="str">
        <f t="shared" si="23"/>
        <v/>
      </c>
      <c r="R132" s="19" t="str">
        <f t="shared" si="26"/>
        <v/>
      </c>
      <c r="S132" s="27" t="str">
        <f t="shared" si="28"/>
        <v/>
      </c>
      <c r="T132" s="28" t="str">
        <f t="shared" si="28"/>
        <v/>
      </c>
      <c r="U132" s="28" t="str">
        <f t="shared" si="28"/>
        <v/>
      </c>
      <c r="V132" s="28" t="str">
        <f t="shared" si="28"/>
        <v/>
      </c>
      <c r="W132" s="28" t="str">
        <f t="shared" si="28"/>
        <v/>
      </c>
      <c r="X132" s="29" t="str">
        <f t="shared" si="28"/>
        <v/>
      </c>
      <c r="Y132" s="24"/>
    </row>
    <row r="133" spans="2:25" x14ac:dyDescent="0.2">
      <c r="B133" s="31"/>
      <c r="C133" s="33"/>
      <c r="D133" s="16"/>
      <c r="E133" s="16"/>
      <c r="F133" s="16"/>
      <c r="G133" s="16"/>
      <c r="H133" s="16"/>
      <c r="I133" s="16"/>
      <c r="J133" s="32"/>
      <c r="K133" s="18"/>
      <c r="L133" s="19" t="str">
        <f t="shared" si="27"/>
        <v/>
      </c>
      <c r="M133" s="19" t="str">
        <f t="shared" si="26"/>
        <v/>
      </c>
      <c r="N133" s="19" t="str">
        <f t="shared" si="26"/>
        <v/>
      </c>
      <c r="O133" s="19" t="str">
        <f t="shared" si="21"/>
        <v/>
      </c>
      <c r="P133" s="19" t="str">
        <f t="shared" si="22"/>
        <v/>
      </c>
      <c r="Q133" s="19" t="str">
        <f t="shared" si="23"/>
        <v/>
      </c>
      <c r="R133" s="19" t="str">
        <f t="shared" si="26"/>
        <v/>
      </c>
      <c r="S133" s="27" t="str">
        <f t="shared" si="28"/>
        <v/>
      </c>
      <c r="T133" s="28" t="str">
        <f t="shared" si="28"/>
        <v/>
      </c>
      <c r="U133" s="28" t="str">
        <f t="shared" si="28"/>
        <v/>
      </c>
      <c r="V133" s="28" t="str">
        <f t="shared" si="28"/>
        <v/>
      </c>
      <c r="W133" s="28" t="str">
        <f t="shared" si="28"/>
        <v/>
      </c>
      <c r="X133" s="29" t="str">
        <f t="shared" si="28"/>
        <v/>
      </c>
      <c r="Y133" s="24"/>
    </row>
    <row r="134" spans="2:25" x14ac:dyDescent="0.2">
      <c r="B134" s="31"/>
      <c r="C134" s="33"/>
      <c r="D134" s="16"/>
      <c r="E134" s="16"/>
      <c r="F134" s="16"/>
      <c r="G134" s="16"/>
      <c r="H134" s="16"/>
      <c r="I134" s="16"/>
      <c r="J134" s="32"/>
      <c r="K134" s="18"/>
      <c r="L134" s="19" t="str">
        <f t="shared" si="27"/>
        <v/>
      </c>
      <c r="M134" s="19" t="str">
        <f t="shared" si="26"/>
        <v/>
      </c>
      <c r="N134" s="19" t="str">
        <f t="shared" si="26"/>
        <v/>
      </c>
      <c r="O134" s="19" t="str">
        <f t="shared" si="21"/>
        <v/>
      </c>
      <c r="P134" s="19" t="str">
        <f t="shared" si="22"/>
        <v/>
      </c>
      <c r="Q134" s="19" t="str">
        <f t="shared" si="23"/>
        <v/>
      </c>
      <c r="R134" s="19" t="str">
        <f t="shared" si="26"/>
        <v/>
      </c>
      <c r="S134" s="27" t="str">
        <f t="shared" si="28"/>
        <v/>
      </c>
      <c r="T134" s="28" t="str">
        <f t="shared" si="28"/>
        <v/>
      </c>
      <c r="U134" s="28" t="str">
        <f t="shared" si="28"/>
        <v/>
      </c>
      <c r="V134" s="28" t="str">
        <f t="shared" si="28"/>
        <v/>
      </c>
      <c r="W134" s="28" t="str">
        <f t="shared" si="28"/>
        <v/>
      </c>
      <c r="X134" s="29" t="str">
        <f t="shared" si="28"/>
        <v/>
      </c>
      <c r="Y134" s="24"/>
    </row>
    <row r="135" spans="2:25" x14ac:dyDescent="0.2">
      <c r="B135" s="31"/>
      <c r="C135" s="33"/>
      <c r="D135" s="16"/>
      <c r="E135" s="16"/>
      <c r="F135" s="16"/>
      <c r="G135" s="16"/>
      <c r="H135" s="16"/>
      <c r="I135" s="16"/>
      <c r="J135" s="32"/>
      <c r="K135" s="18"/>
      <c r="L135" s="19" t="str">
        <f t="shared" si="27"/>
        <v/>
      </c>
      <c r="M135" s="19" t="str">
        <f t="shared" si="26"/>
        <v/>
      </c>
      <c r="N135" s="19" t="str">
        <f t="shared" si="26"/>
        <v/>
      </c>
      <c r="O135" s="19" t="str">
        <f t="shared" si="21"/>
        <v/>
      </c>
      <c r="P135" s="19" t="str">
        <f t="shared" si="22"/>
        <v/>
      </c>
      <c r="Q135" s="19" t="str">
        <f t="shared" si="23"/>
        <v/>
      </c>
      <c r="R135" s="19" t="str">
        <f t="shared" si="26"/>
        <v/>
      </c>
      <c r="S135" s="27" t="str">
        <f t="shared" si="28"/>
        <v/>
      </c>
      <c r="T135" s="28" t="str">
        <f t="shared" si="28"/>
        <v/>
      </c>
      <c r="U135" s="28" t="str">
        <f t="shared" si="28"/>
        <v/>
      </c>
      <c r="V135" s="28" t="str">
        <f t="shared" si="28"/>
        <v/>
      </c>
      <c r="W135" s="28" t="str">
        <f t="shared" si="28"/>
        <v/>
      </c>
      <c r="X135" s="29" t="str">
        <f t="shared" si="28"/>
        <v/>
      </c>
      <c r="Y135" s="24"/>
    </row>
    <row r="136" spans="2:25" x14ac:dyDescent="0.2">
      <c r="B136" s="31"/>
      <c r="C136" s="33"/>
      <c r="D136" s="16"/>
      <c r="E136" s="16"/>
      <c r="F136" s="16"/>
      <c r="G136" s="16"/>
      <c r="H136" s="16"/>
      <c r="I136" s="16"/>
      <c r="J136" s="32"/>
      <c r="K136" s="18"/>
      <c r="L136" s="19" t="str">
        <f t="shared" si="27"/>
        <v/>
      </c>
      <c r="M136" s="19" t="str">
        <f t="shared" si="26"/>
        <v/>
      </c>
      <c r="N136" s="19" t="str">
        <f t="shared" si="26"/>
        <v/>
      </c>
      <c r="O136" s="19" t="str">
        <f t="shared" si="21"/>
        <v/>
      </c>
      <c r="P136" s="19" t="str">
        <f t="shared" si="22"/>
        <v/>
      </c>
      <c r="Q136" s="19" t="str">
        <f t="shared" si="23"/>
        <v/>
      </c>
      <c r="R136" s="19" t="str">
        <f t="shared" si="26"/>
        <v/>
      </c>
      <c r="S136" s="27" t="str">
        <f t="shared" si="28"/>
        <v/>
      </c>
      <c r="T136" s="28" t="str">
        <f t="shared" si="28"/>
        <v/>
      </c>
      <c r="U136" s="28" t="str">
        <f t="shared" si="28"/>
        <v/>
      </c>
      <c r="V136" s="28" t="str">
        <f t="shared" si="28"/>
        <v/>
      </c>
      <c r="W136" s="28" t="str">
        <f t="shared" si="28"/>
        <v/>
      </c>
      <c r="X136" s="29" t="str">
        <f t="shared" si="28"/>
        <v/>
      </c>
      <c r="Y136" s="24"/>
    </row>
    <row r="137" spans="2:25" x14ac:dyDescent="0.2">
      <c r="B137" s="31"/>
      <c r="C137" s="33"/>
      <c r="D137" s="16"/>
      <c r="E137" s="16"/>
      <c r="F137" s="16"/>
      <c r="G137" s="16"/>
      <c r="H137" s="16"/>
      <c r="I137" s="16"/>
      <c r="J137" s="32"/>
      <c r="K137" s="18"/>
      <c r="L137" s="19" t="str">
        <f t="shared" si="27"/>
        <v/>
      </c>
      <c r="M137" s="19" t="str">
        <f t="shared" si="26"/>
        <v/>
      </c>
      <c r="N137" s="19" t="str">
        <f t="shared" si="26"/>
        <v/>
      </c>
      <c r="O137" s="19" t="str">
        <f t="shared" si="21"/>
        <v/>
      </c>
      <c r="P137" s="19" t="str">
        <f t="shared" si="22"/>
        <v/>
      </c>
      <c r="Q137" s="19" t="str">
        <f t="shared" si="23"/>
        <v/>
      </c>
      <c r="R137" s="19" t="str">
        <f t="shared" si="26"/>
        <v/>
      </c>
      <c r="S137" s="27" t="str">
        <f t="shared" si="28"/>
        <v/>
      </c>
      <c r="T137" s="28" t="str">
        <f t="shared" si="28"/>
        <v/>
      </c>
      <c r="U137" s="28" t="str">
        <f t="shared" si="28"/>
        <v/>
      </c>
      <c r="V137" s="28" t="str">
        <f t="shared" si="28"/>
        <v/>
      </c>
      <c r="W137" s="28" t="str">
        <f t="shared" si="28"/>
        <v/>
      </c>
      <c r="X137" s="29" t="str">
        <f t="shared" si="28"/>
        <v/>
      </c>
      <c r="Y137" s="24"/>
    </row>
    <row r="138" spans="2:25" x14ac:dyDescent="0.2">
      <c r="B138" s="31"/>
      <c r="C138" s="33"/>
      <c r="D138" s="16"/>
      <c r="E138" s="16"/>
      <c r="F138" s="16"/>
      <c r="G138" s="16"/>
      <c r="H138" s="16"/>
      <c r="I138" s="16"/>
      <c r="J138" s="32"/>
      <c r="K138" s="18"/>
      <c r="L138" s="19" t="str">
        <f t="shared" si="27"/>
        <v/>
      </c>
      <c r="M138" s="19" t="str">
        <f t="shared" si="26"/>
        <v/>
      </c>
      <c r="N138" s="19" t="str">
        <f t="shared" si="26"/>
        <v/>
      </c>
      <c r="O138" s="19" t="str">
        <f t="shared" si="21"/>
        <v/>
      </c>
      <c r="P138" s="19" t="str">
        <f t="shared" si="22"/>
        <v/>
      </c>
      <c r="Q138" s="19" t="str">
        <f t="shared" si="23"/>
        <v/>
      </c>
      <c r="R138" s="19" t="str">
        <f t="shared" si="26"/>
        <v/>
      </c>
      <c r="S138" s="27" t="str">
        <f t="shared" si="28"/>
        <v/>
      </c>
      <c r="T138" s="28" t="str">
        <f t="shared" si="28"/>
        <v/>
      </c>
      <c r="U138" s="28" t="str">
        <f t="shared" si="28"/>
        <v/>
      </c>
      <c r="V138" s="28" t="str">
        <f t="shared" si="28"/>
        <v/>
      </c>
      <c r="W138" s="28" t="str">
        <f t="shared" si="28"/>
        <v/>
      </c>
      <c r="X138" s="29" t="str">
        <f t="shared" si="28"/>
        <v/>
      </c>
      <c r="Y138" s="24"/>
    </row>
    <row r="139" spans="2:25" x14ac:dyDescent="0.2">
      <c r="B139" s="31"/>
      <c r="C139" s="33"/>
      <c r="D139" s="16"/>
      <c r="E139" s="16"/>
      <c r="F139" s="16"/>
      <c r="G139" s="16"/>
      <c r="H139" s="16"/>
      <c r="I139" s="16"/>
      <c r="J139" s="32"/>
      <c r="K139" s="18"/>
      <c r="L139" s="19" t="str">
        <f t="shared" si="27"/>
        <v/>
      </c>
      <c r="M139" s="19" t="str">
        <f t="shared" si="26"/>
        <v/>
      </c>
      <c r="N139" s="19" t="str">
        <f t="shared" si="26"/>
        <v/>
      </c>
      <c r="O139" s="19" t="str">
        <f t="shared" si="21"/>
        <v/>
      </c>
      <c r="P139" s="19" t="str">
        <f t="shared" si="22"/>
        <v/>
      </c>
      <c r="Q139" s="19" t="str">
        <f t="shared" si="23"/>
        <v/>
      </c>
      <c r="R139" s="19" t="str">
        <f t="shared" si="26"/>
        <v/>
      </c>
      <c r="S139" s="27" t="str">
        <f t="shared" si="28"/>
        <v/>
      </c>
      <c r="T139" s="28" t="str">
        <f t="shared" si="28"/>
        <v/>
      </c>
      <c r="U139" s="28" t="str">
        <f t="shared" si="28"/>
        <v/>
      </c>
      <c r="V139" s="28" t="str">
        <f t="shared" si="28"/>
        <v/>
      </c>
      <c r="W139" s="28" t="str">
        <f t="shared" si="28"/>
        <v/>
      </c>
      <c r="X139" s="29" t="str">
        <f t="shared" si="28"/>
        <v/>
      </c>
      <c r="Y139" s="24"/>
    </row>
    <row r="140" spans="2:25" x14ac:dyDescent="0.2">
      <c r="B140" s="31"/>
      <c r="C140" s="33"/>
      <c r="D140" s="16"/>
      <c r="E140" s="16"/>
      <c r="F140" s="16"/>
      <c r="G140" s="16"/>
      <c r="H140" s="16"/>
      <c r="I140" s="16"/>
      <c r="J140" s="32"/>
      <c r="K140" s="18"/>
      <c r="L140" s="19" t="str">
        <f t="shared" si="27"/>
        <v/>
      </c>
      <c r="M140" s="19" t="str">
        <f t="shared" si="26"/>
        <v/>
      </c>
      <c r="N140" s="19" t="str">
        <f t="shared" si="26"/>
        <v/>
      </c>
      <c r="O140" s="19" t="str">
        <f t="shared" si="21"/>
        <v/>
      </c>
      <c r="P140" s="19" t="str">
        <f t="shared" si="22"/>
        <v/>
      </c>
      <c r="Q140" s="19" t="str">
        <f t="shared" si="23"/>
        <v/>
      </c>
      <c r="R140" s="19" t="str">
        <f t="shared" si="26"/>
        <v/>
      </c>
      <c r="S140" s="27" t="str">
        <f t="shared" si="28"/>
        <v/>
      </c>
      <c r="T140" s="28" t="str">
        <f t="shared" si="28"/>
        <v/>
      </c>
      <c r="U140" s="28" t="str">
        <f t="shared" si="28"/>
        <v/>
      </c>
      <c r="V140" s="28" t="str">
        <f t="shared" si="28"/>
        <v/>
      </c>
      <c r="W140" s="28" t="str">
        <f t="shared" si="28"/>
        <v/>
      </c>
      <c r="X140" s="29" t="str">
        <f t="shared" si="28"/>
        <v/>
      </c>
      <c r="Y140" s="24"/>
    </row>
    <row r="141" spans="2:25" x14ac:dyDescent="0.2">
      <c r="B141" s="31"/>
      <c r="C141" s="33"/>
      <c r="D141" s="16"/>
      <c r="E141" s="16"/>
      <c r="F141" s="16"/>
      <c r="G141" s="16"/>
      <c r="H141" s="16"/>
      <c r="I141" s="16"/>
      <c r="J141" s="32"/>
      <c r="K141" s="18"/>
      <c r="L141" s="19" t="str">
        <f t="shared" si="27"/>
        <v/>
      </c>
      <c r="M141" s="19" t="str">
        <f t="shared" si="26"/>
        <v/>
      </c>
      <c r="N141" s="19" t="str">
        <f t="shared" si="26"/>
        <v/>
      </c>
      <c r="O141" s="19" t="str">
        <f t="shared" si="21"/>
        <v/>
      </c>
      <c r="P141" s="19" t="str">
        <f t="shared" si="22"/>
        <v/>
      </c>
      <c r="Q141" s="19" t="str">
        <f t="shared" si="23"/>
        <v/>
      </c>
      <c r="R141" s="19" t="str">
        <f t="shared" si="26"/>
        <v/>
      </c>
      <c r="S141" s="27" t="str">
        <f t="shared" si="28"/>
        <v/>
      </c>
      <c r="T141" s="28" t="str">
        <f t="shared" si="28"/>
        <v/>
      </c>
      <c r="U141" s="28" t="str">
        <f t="shared" si="28"/>
        <v/>
      </c>
      <c r="V141" s="28" t="str">
        <f t="shared" si="28"/>
        <v/>
      </c>
      <c r="W141" s="28" t="str">
        <f t="shared" si="28"/>
        <v/>
      </c>
      <c r="X141" s="29" t="str">
        <f t="shared" si="28"/>
        <v/>
      </c>
      <c r="Y141" s="24"/>
    </row>
    <row r="142" spans="2:25" x14ac:dyDescent="0.2">
      <c r="B142" s="31"/>
      <c r="C142" s="33"/>
      <c r="D142" s="16"/>
      <c r="E142" s="16"/>
      <c r="F142" s="16"/>
      <c r="G142" s="16"/>
      <c r="H142" s="16"/>
      <c r="I142" s="16"/>
      <c r="J142" s="32"/>
      <c r="K142" s="18"/>
      <c r="L142" s="19" t="str">
        <f t="shared" si="27"/>
        <v/>
      </c>
      <c r="M142" s="19" t="str">
        <f t="shared" si="26"/>
        <v/>
      </c>
      <c r="N142" s="19" t="str">
        <f t="shared" si="26"/>
        <v/>
      </c>
      <c r="O142" s="19" t="str">
        <f t="shared" si="21"/>
        <v/>
      </c>
      <c r="P142" s="19" t="str">
        <f t="shared" si="22"/>
        <v/>
      </c>
      <c r="Q142" s="19" t="str">
        <f t="shared" si="23"/>
        <v/>
      </c>
      <c r="R142" s="19" t="str">
        <f t="shared" si="26"/>
        <v/>
      </c>
      <c r="S142" s="27" t="str">
        <f t="shared" si="28"/>
        <v/>
      </c>
      <c r="T142" s="28" t="str">
        <f t="shared" si="28"/>
        <v/>
      </c>
      <c r="U142" s="28" t="str">
        <f t="shared" si="28"/>
        <v/>
      </c>
      <c r="V142" s="28" t="str">
        <f t="shared" si="28"/>
        <v/>
      </c>
      <c r="W142" s="28" t="str">
        <f t="shared" si="28"/>
        <v/>
      </c>
      <c r="X142" s="29" t="str">
        <f t="shared" si="28"/>
        <v/>
      </c>
      <c r="Y142" s="24"/>
    </row>
    <row r="143" spans="2:25" x14ac:dyDescent="0.2">
      <c r="B143" s="31"/>
      <c r="C143" s="33"/>
      <c r="D143" s="16"/>
      <c r="E143" s="16"/>
      <c r="F143" s="16"/>
      <c r="G143" s="16"/>
      <c r="H143" s="16"/>
      <c r="I143" s="16"/>
      <c r="J143" s="32"/>
      <c r="K143" s="18"/>
      <c r="L143" s="19" t="str">
        <f t="shared" si="27"/>
        <v/>
      </c>
      <c r="M143" s="19" t="str">
        <f t="shared" si="26"/>
        <v/>
      </c>
      <c r="N143" s="19" t="str">
        <f t="shared" si="26"/>
        <v/>
      </c>
      <c r="O143" s="19" t="str">
        <f t="shared" si="21"/>
        <v/>
      </c>
      <c r="P143" s="19" t="str">
        <f t="shared" si="22"/>
        <v/>
      </c>
      <c r="Q143" s="19" t="str">
        <f t="shared" si="23"/>
        <v/>
      </c>
      <c r="R143" s="19" t="str">
        <f t="shared" si="26"/>
        <v/>
      </c>
      <c r="S143" s="27" t="str">
        <f t="shared" si="28"/>
        <v/>
      </c>
      <c r="T143" s="28" t="str">
        <f t="shared" si="28"/>
        <v/>
      </c>
      <c r="U143" s="28" t="str">
        <f t="shared" si="28"/>
        <v/>
      </c>
      <c r="V143" s="28" t="str">
        <f t="shared" si="28"/>
        <v/>
      </c>
      <c r="W143" s="28" t="str">
        <f t="shared" si="28"/>
        <v/>
      </c>
      <c r="X143" s="29" t="str">
        <f t="shared" si="28"/>
        <v/>
      </c>
      <c r="Y143" s="24"/>
    </row>
    <row r="144" spans="2:25" x14ac:dyDescent="0.2">
      <c r="B144" s="31"/>
      <c r="C144" s="33"/>
      <c r="D144" s="16"/>
      <c r="E144" s="16"/>
      <c r="F144" s="16"/>
      <c r="G144" s="16"/>
      <c r="H144" s="16"/>
      <c r="I144" s="16"/>
      <c r="J144" s="32"/>
      <c r="K144" s="18"/>
      <c r="L144" s="19" t="str">
        <f t="shared" si="27"/>
        <v/>
      </c>
      <c r="M144" s="19" t="str">
        <f t="shared" si="26"/>
        <v/>
      </c>
      <c r="N144" s="19" t="str">
        <f t="shared" si="26"/>
        <v/>
      </c>
      <c r="O144" s="19" t="str">
        <f t="shared" si="21"/>
        <v/>
      </c>
      <c r="P144" s="19" t="str">
        <f t="shared" si="22"/>
        <v/>
      </c>
      <c r="Q144" s="19" t="str">
        <f t="shared" si="23"/>
        <v/>
      </c>
      <c r="R144" s="19" t="str">
        <f t="shared" si="26"/>
        <v/>
      </c>
      <c r="S144" s="27" t="str">
        <f t="shared" si="28"/>
        <v/>
      </c>
      <c r="T144" s="28" t="str">
        <f t="shared" si="28"/>
        <v/>
      </c>
      <c r="U144" s="28" t="str">
        <f t="shared" si="28"/>
        <v/>
      </c>
      <c r="V144" s="28" t="str">
        <f t="shared" si="28"/>
        <v/>
      </c>
      <c r="W144" s="28" t="str">
        <f t="shared" si="28"/>
        <v/>
      </c>
      <c r="X144" s="29" t="str">
        <f t="shared" si="28"/>
        <v/>
      </c>
      <c r="Y144" s="24"/>
    </row>
    <row r="145" spans="2:25" x14ac:dyDescent="0.2">
      <c r="B145" s="31"/>
      <c r="C145" s="33"/>
      <c r="D145" s="16"/>
      <c r="E145" s="16"/>
      <c r="F145" s="16"/>
      <c r="G145" s="16"/>
      <c r="H145" s="16"/>
      <c r="I145" s="16"/>
      <c r="J145" s="32"/>
      <c r="K145" s="18"/>
      <c r="L145" s="19" t="str">
        <f t="shared" si="27"/>
        <v/>
      </c>
      <c r="M145" s="19" t="str">
        <f t="shared" si="26"/>
        <v/>
      </c>
      <c r="N145" s="19" t="str">
        <f t="shared" si="26"/>
        <v/>
      </c>
      <c r="O145" s="19" t="str">
        <f t="shared" si="21"/>
        <v/>
      </c>
      <c r="P145" s="19" t="str">
        <f t="shared" si="22"/>
        <v/>
      </c>
      <c r="Q145" s="19" t="str">
        <f t="shared" si="23"/>
        <v/>
      </c>
      <c r="R145" s="19" t="str">
        <f t="shared" si="26"/>
        <v/>
      </c>
      <c r="S145" s="27" t="str">
        <f t="shared" ref="S145:X153" si="29">IF(C145="","",((C145-C144)*1000)/($B145-$B144))</f>
        <v/>
      </c>
      <c r="T145" s="28" t="str">
        <f t="shared" si="29"/>
        <v/>
      </c>
      <c r="U145" s="28" t="str">
        <f t="shared" si="29"/>
        <v/>
      </c>
      <c r="V145" s="28" t="str">
        <f t="shared" si="29"/>
        <v/>
      </c>
      <c r="W145" s="28" t="str">
        <f t="shared" si="29"/>
        <v/>
      </c>
      <c r="X145" s="29" t="str">
        <f t="shared" si="29"/>
        <v/>
      </c>
      <c r="Y145" s="24"/>
    </row>
    <row r="146" spans="2:25" x14ac:dyDescent="0.2">
      <c r="B146" s="31"/>
      <c r="C146" s="33"/>
      <c r="D146" s="16"/>
      <c r="E146" s="16"/>
      <c r="F146" s="16"/>
      <c r="G146" s="16"/>
      <c r="H146" s="16"/>
      <c r="I146" s="16"/>
      <c r="J146" s="32"/>
      <c r="K146" s="18"/>
      <c r="L146" s="19" t="str">
        <f t="shared" si="27"/>
        <v/>
      </c>
      <c r="M146" s="19" t="str">
        <f t="shared" si="26"/>
        <v/>
      </c>
      <c r="N146" s="19" t="str">
        <f t="shared" si="26"/>
        <v/>
      </c>
      <c r="O146" s="19" t="str">
        <f t="shared" si="21"/>
        <v/>
      </c>
      <c r="P146" s="19" t="str">
        <f t="shared" si="22"/>
        <v/>
      </c>
      <c r="Q146" s="19" t="str">
        <f t="shared" si="23"/>
        <v/>
      </c>
      <c r="R146" s="19" t="str">
        <f t="shared" si="26"/>
        <v/>
      </c>
      <c r="S146" s="27" t="str">
        <f t="shared" si="29"/>
        <v/>
      </c>
      <c r="T146" s="28" t="str">
        <f t="shared" si="29"/>
        <v/>
      </c>
      <c r="U146" s="28" t="str">
        <f t="shared" si="29"/>
        <v/>
      </c>
      <c r="V146" s="28" t="str">
        <f t="shared" si="29"/>
        <v/>
      </c>
      <c r="W146" s="28" t="str">
        <f t="shared" si="29"/>
        <v/>
      </c>
      <c r="X146" s="29" t="str">
        <f t="shared" si="29"/>
        <v/>
      </c>
      <c r="Y146" s="24"/>
    </row>
    <row r="147" spans="2:25" x14ac:dyDescent="0.2">
      <c r="B147" s="31"/>
      <c r="C147" s="33"/>
      <c r="D147" s="16"/>
      <c r="E147" s="16"/>
      <c r="F147" s="16"/>
      <c r="G147" s="16"/>
      <c r="H147" s="16"/>
      <c r="I147" s="16"/>
      <c r="J147" s="32"/>
      <c r="K147" s="18"/>
      <c r="L147" s="19" t="str">
        <f t="shared" si="27"/>
        <v/>
      </c>
      <c r="M147" s="19" t="str">
        <f t="shared" si="26"/>
        <v/>
      </c>
      <c r="N147" s="19" t="str">
        <f t="shared" si="26"/>
        <v/>
      </c>
      <c r="O147" s="19" t="str">
        <f t="shared" si="21"/>
        <v/>
      </c>
      <c r="P147" s="19" t="str">
        <f t="shared" si="22"/>
        <v/>
      </c>
      <c r="Q147" s="19" t="str">
        <f t="shared" si="23"/>
        <v/>
      </c>
      <c r="R147" s="19" t="str">
        <f t="shared" si="26"/>
        <v/>
      </c>
      <c r="S147" s="27" t="str">
        <f t="shared" si="29"/>
        <v/>
      </c>
      <c r="T147" s="28" t="str">
        <f t="shared" si="29"/>
        <v/>
      </c>
      <c r="U147" s="28" t="str">
        <f t="shared" si="29"/>
        <v/>
      </c>
      <c r="V147" s="28" t="str">
        <f t="shared" si="29"/>
        <v/>
      </c>
      <c r="W147" s="28" t="str">
        <f t="shared" si="29"/>
        <v/>
      </c>
      <c r="X147" s="29" t="str">
        <f t="shared" si="29"/>
        <v/>
      </c>
      <c r="Y147" s="24"/>
    </row>
    <row r="148" spans="2:25" x14ac:dyDescent="0.2">
      <c r="B148" s="31"/>
      <c r="C148" s="33"/>
      <c r="D148" s="16"/>
      <c r="E148" s="16"/>
      <c r="F148" s="16"/>
      <c r="G148" s="16"/>
      <c r="H148" s="16"/>
      <c r="I148" s="16"/>
      <c r="J148" s="32"/>
      <c r="K148" s="18"/>
      <c r="L148" s="19" t="str">
        <f t="shared" si="27"/>
        <v/>
      </c>
      <c r="M148" s="19" t="str">
        <f t="shared" si="26"/>
        <v/>
      </c>
      <c r="N148" s="19" t="str">
        <f t="shared" si="26"/>
        <v/>
      </c>
      <c r="O148" s="19" t="str">
        <f t="shared" si="21"/>
        <v/>
      </c>
      <c r="P148" s="19" t="str">
        <f t="shared" si="22"/>
        <v/>
      </c>
      <c r="Q148" s="19" t="str">
        <f t="shared" si="23"/>
        <v/>
      </c>
      <c r="R148" s="19" t="str">
        <f t="shared" si="26"/>
        <v/>
      </c>
      <c r="S148" s="27" t="str">
        <f t="shared" si="29"/>
        <v/>
      </c>
      <c r="T148" s="28" t="str">
        <f t="shared" si="29"/>
        <v/>
      </c>
      <c r="U148" s="28" t="str">
        <f t="shared" si="29"/>
        <v/>
      </c>
      <c r="V148" s="28" t="str">
        <f t="shared" si="29"/>
        <v/>
      </c>
      <c r="W148" s="28" t="str">
        <f t="shared" si="29"/>
        <v/>
      </c>
      <c r="X148" s="29" t="str">
        <f t="shared" si="29"/>
        <v/>
      </c>
      <c r="Y148" s="24"/>
    </row>
    <row r="149" spans="2:25" x14ac:dyDescent="0.2">
      <c r="B149" s="31"/>
      <c r="C149" s="33"/>
      <c r="D149" s="16"/>
      <c r="E149" s="16"/>
      <c r="F149" s="16"/>
      <c r="G149" s="16"/>
      <c r="H149" s="16"/>
      <c r="I149" s="16"/>
      <c r="J149" s="32"/>
      <c r="K149" s="18"/>
      <c r="L149" s="19" t="str">
        <f t="shared" si="27"/>
        <v/>
      </c>
      <c r="M149" s="19" t="str">
        <f t="shared" si="26"/>
        <v/>
      </c>
      <c r="N149" s="19" t="str">
        <f t="shared" si="26"/>
        <v/>
      </c>
      <c r="O149" s="19" t="str">
        <f t="shared" si="21"/>
        <v/>
      </c>
      <c r="P149" s="19" t="str">
        <f t="shared" si="22"/>
        <v/>
      </c>
      <c r="Q149" s="19" t="str">
        <f t="shared" si="23"/>
        <v/>
      </c>
      <c r="R149" s="19" t="str">
        <f t="shared" si="26"/>
        <v/>
      </c>
      <c r="S149" s="27" t="str">
        <f t="shared" si="29"/>
        <v/>
      </c>
      <c r="T149" s="28" t="str">
        <f t="shared" si="29"/>
        <v/>
      </c>
      <c r="U149" s="28" t="str">
        <f t="shared" si="29"/>
        <v/>
      </c>
      <c r="V149" s="28" t="str">
        <f t="shared" si="29"/>
        <v/>
      </c>
      <c r="W149" s="28" t="str">
        <f t="shared" si="29"/>
        <v/>
      </c>
      <c r="X149" s="29" t="str">
        <f t="shared" si="29"/>
        <v/>
      </c>
      <c r="Y149" s="24"/>
    </row>
    <row r="150" spans="2:25" x14ac:dyDescent="0.2">
      <c r="B150" s="31"/>
      <c r="C150" s="33"/>
      <c r="D150" s="16"/>
      <c r="E150" s="16"/>
      <c r="F150" s="16"/>
      <c r="G150" s="16"/>
      <c r="H150" s="16"/>
      <c r="I150" s="16"/>
      <c r="J150" s="32"/>
      <c r="K150" s="18"/>
      <c r="L150" s="19" t="str">
        <f t="shared" si="27"/>
        <v/>
      </c>
      <c r="M150" s="19" t="str">
        <f t="shared" si="26"/>
        <v/>
      </c>
      <c r="N150" s="19" t="str">
        <f t="shared" si="26"/>
        <v/>
      </c>
      <c r="O150" s="19" t="str">
        <f t="shared" si="21"/>
        <v/>
      </c>
      <c r="P150" s="19" t="str">
        <f t="shared" si="22"/>
        <v/>
      </c>
      <c r="Q150" s="19" t="str">
        <f t="shared" si="23"/>
        <v/>
      </c>
      <c r="R150" s="19" t="str">
        <f t="shared" si="26"/>
        <v/>
      </c>
      <c r="S150" s="27" t="str">
        <f t="shared" si="29"/>
        <v/>
      </c>
      <c r="T150" s="28" t="str">
        <f t="shared" si="29"/>
        <v/>
      </c>
      <c r="U150" s="28" t="str">
        <f t="shared" si="29"/>
        <v/>
      </c>
      <c r="V150" s="28" t="str">
        <f t="shared" si="29"/>
        <v/>
      </c>
      <c r="W150" s="28" t="str">
        <f t="shared" si="29"/>
        <v/>
      </c>
      <c r="X150" s="29" t="str">
        <f t="shared" si="29"/>
        <v/>
      </c>
      <c r="Y150" s="24"/>
    </row>
    <row r="151" spans="2:25" x14ac:dyDescent="0.2">
      <c r="B151" s="31"/>
      <c r="C151" s="33"/>
      <c r="D151" s="16"/>
      <c r="E151" s="16"/>
      <c r="F151" s="16"/>
      <c r="G151" s="16"/>
      <c r="H151" s="16"/>
      <c r="I151" s="16"/>
      <c r="J151" s="32"/>
      <c r="K151" s="18"/>
      <c r="L151" s="19" t="str">
        <f t="shared" si="27"/>
        <v/>
      </c>
      <c r="M151" s="19" t="str">
        <f t="shared" si="26"/>
        <v/>
      </c>
      <c r="N151" s="19" t="str">
        <f t="shared" si="26"/>
        <v/>
      </c>
      <c r="O151" s="19" t="str">
        <f t="shared" si="21"/>
        <v/>
      </c>
      <c r="P151" s="19" t="str">
        <f t="shared" si="22"/>
        <v/>
      </c>
      <c r="Q151" s="19" t="str">
        <f t="shared" si="23"/>
        <v/>
      </c>
      <c r="R151" s="19" t="str">
        <f t="shared" si="26"/>
        <v/>
      </c>
      <c r="S151" s="27" t="str">
        <f t="shared" si="29"/>
        <v/>
      </c>
      <c r="T151" s="28" t="str">
        <f t="shared" si="29"/>
        <v/>
      </c>
      <c r="U151" s="28" t="str">
        <f t="shared" si="29"/>
        <v/>
      </c>
      <c r="V151" s="28" t="str">
        <f t="shared" si="29"/>
        <v/>
      </c>
      <c r="W151" s="28" t="str">
        <f t="shared" si="29"/>
        <v/>
      </c>
      <c r="X151" s="29" t="str">
        <f t="shared" si="29"/>
        <v/>
      </c>
      <c r="Y151" s="24"/>
    </row>
    <row r="152" spans="2:25" x14ac:dyDescent="0.2">
      <c r="B152" s="31"/>
      <c r="C152" s="33"/>
      <c r="D152" s="16"/>
      <c r="E152" s="16"/>
      <c r="F152" s="16"/>
      <c r="G152" s="16"/>
      <c r="H152" s="16"/>
      <c r="I152" s="16"/>
      <c r="J152" s="32"/>
      <c r="K152" s="18"/>
      <c r="L152" s="19" t="str">
        <f t="shared" si="27"/>
        <v/>
      </c>
      <c r="M152" s="19" t="str">
        <f t="shared" si="26"/>
        <v/>
      </c>
      <c r="N152" s="19" t="str">
        <f t="shared" si="26"/>
        <v/>
      </c>
      <c r="O152" s="19" t="str">
        <f t="shared" si="21"/>
        <v/>
      </c>
      <c r="P152" s="19" t="str">
        <f t="shared" si="22"/>
        <v/>
      </c>
      <c r="Q152" s="19" t="str">
        <f t="shared" si="23"/>
        <v/>
      </c>
      <c r="R152" s="19" t="str">
        <f t="shared" si="26"/>
        <v/>
      </c>
      <c r="S152" s="27" t="str">
        <f t="shared" si="29"/>
        <v/>
      </c>
      <c r="T152" s="28" t="str">
        <f t="shared" si="29"/>
        <v/>
      </c>
      <c r="U152" s="28" t="str">
        <f t="shared" si="29"/>
        <v/>
      </c>
      <c r="V152" s="28" t="str">
        <f t="shared" si="29"/>
        <v/>
      </c>
      <c r="W152" s="28" t="str">
        <f t="shared" si="29"/>
        <v/>
      </c>
      <c r="X152" s="29" t="str">
        <f t="shared" si="29"/>
        <v/>
      </c>
      <c r="Y152" s="24"/>
    </row>
    <row r="153" spans="2:25" x14ac:dyDescent="0.2">
      <c r="B153" s="31"/>
      <c r="C153" s="33"/>
      <c r="D153" s="16"/>
      <c r="E153" s="16"/>
      <c r="F153" s="16"/>
      <c r="G153" s="16"/>
      <c r="H153" s="16"/>
      <c r="I153" s="16"/>
      <c r="J153" s="32"/>
      <c r="K153" s="18"/>
      <c r="L153" s="19" t="str">
        <f t="shared" si="27"/>
        <v/>
      </c>
      <c r="M153" s="19" t="str">
        <f t="shared" si="26"/>
        <v/>
      </c>
      <c r="N153" s="19" t="str">
        <f t="shared" si="26"/>
        <v/>
      </c>
      <c r="O153" s="19" t="str">
        <f t="shared" si="21"/>
        <v/>
      </c>
      <c r="P153" s="19" t="str">
        <f t="shared" si="22"/>
        <v/>
      </c>
      <c r="Q153" s="19" t="str">
        <f t="shared" si="23"/>
        <v/>
      </c>
      <c r="R153" s="19" t="str">
        <f t="shared" si="26"/>
        <v/>
      </c>
      <c r="S153" s="27" t="str">
        <f t="shared" si="29"/>
        <v/>
      </c>
      <c r="T153" s="28" t="str">
        <f t="shared" si="29"/>
        <v/>
      </c>
      <c r="U153" s="28" t="str">
        <f t="shared" si="29"/>
        <v/>
      </c>
      <c r="V153" s="28" t="str">
        <f t="shared" si="29"/>
        <v/>
      </c>
      <c r="W153" s="28" t="str">
        <f t="shared" si="29"/>
        <v/>
      </c>
      <c r="X153" s="29" t="str">
        <f t="shared" si="29"/>
        <v/>
      </c>
      <c r="Y153" s="24"/>
    </row>
  </sheetData>
  <sheetProtection selectLockedCells="1"/>
  <mergeCells count="38">
    <mergeCell ref="J6:Q6"/>
    <mergeCell ref="R6:V6"/>
    <mergeCell ref="W6:Y6"/>
    <mergeCell ref="E7:I7"/>
    <mergeCell ref="J7:Q7"/>
    <mergeCell ref="R7:V7"/>
    <mergeCell ref="W7:Y7"/>
    <mergeCell ref="AA9:AI9"/>
    <mergeCell ref="B10:J12"/>
    <mergeCell ref="K10:S12"/>
    <mergeCell ref="T10:Y12"/>
    <mergeCell ref="A1:J1"/>
    <mergeCell ref="E2:Q2"/>
    <mergeCell ref="R2:X4"/>
    <mergeCell ref="Y2:Y4"/>
    <mergeCell ref="E3:Q3"/>
    <mergeCell ref="E4:Q4"/>
    <mergeCell ref="B5:D8"/>
    <mergeCell ref="E5:I5"/>
    <mergeCell ref="J5:Q5"/>
    <mergeCell ref="R5:V5"/>
    <mergeCell ref="W5:Y5"/>
    <mergeCell ref="E6:I6"/>
    <mergeCell ref="W8:Y8"/>
    <mergeCell ref="B13:B15"/>
    <mergeCell ref="C13:K13"/>
    <mergeCell ref="L13:R14"/>
    <mergeCell ref="S13:X14"/>
    <mergeCell ref="Y13:Y15"/>
    <mergeCell ref="C14:E14"/>
    <mergeCell ref="F14:H14"/>
    <mergeCell ref="I14:I15"/>
    <mergeCell ref="J14:K14"/>
    <mergeCell ref="B9:O9"/>
    <mergeCell ref="P9:Y9"/>
    <mergeCell ref="E8:I8"/>
    <mergeCell ref="J8:Q8"/>
    <mergeCell ref="R8:V8"/>
  </mergeCells>
  <pageMargins left="0.56999999999999995" right="0.17" top="0.48" bottom="0.31" header="0.3" footer="0.17"/>
  <pageSetup paperSize="9" scale="40" fitToHeight="0" orientation="landscape" horizontalDpi="4294967293" verticalDpi="300" r:id="rId1"/>
  <headerFooter>
    <oddFooter>&amp;L&amp;D&amp;C&amp;A&amp;R&amp;P de &amp;N</oddFooter>
  </headerFooter>
  <rowBreaks count="1" manualBreakCount="1">
    <brk id="59" min="1" max="2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2" ma:contentTypeDescription="Crear nuevo documento." ma:contentTypeScope="" ma:versionID="6fe5b24ef0ef6f4d2767b87ba4bf6146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471bb4e8a147d6e62f9cf616d4367d82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D20FFB-EA11-4786-AE7A-FD5880E6EE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BC85B6-8D4B-4F96-BFE5-EA5EB376FD5C}"/>
</file>

<file path=customXml/itemProps3.xml><?xml version="1.0" encoding="utf-8"?>
<ds:datastoreItem xmlns:ds="http://schemas.openxmlformats.org/officeDocument/2006/customXml" ds:itemID="{21A4F0B6-1CC1-4577-9C7E-242201F5A866}">
  <ds:schemaRefs>
    <ds:schemaRef ds:uri="http://schemas.microsoft.com/office/2006/metadata/properties"/>
    <ds:schemaRef ds:uri="http://schemas.microsoft.com/office/infopath/2007/PartnerControls"/>
    <ds:schemaRef ds:uri="1623f259-20e3-4505-9b5f-e476ee064b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42</vt:i4>
      </vt:variant>
    </vt:vector>
  </HeadingPairs>
  <TitlesOfParts>
    <vt:vector size="64" baseType="lpstr">
      <vt:lpstr>TZ-6</vt:lpstr>
      <vt:lpstr>TZ-8</vt:lpstr>
      <vt:lpstr>TZ-10</vt:lpstr>
      <vt:lpstr>TZ-12</vt:lpstr>
      <vt:lpstr>TZ-14</vt:lpstr>
      <vt:lpstr>TZ-16</vt:lpstr>
      <vt:lpstr>TZ-18</vt:lpstr>
      <vt:lpstr>TZ-20</vt:lpstr>
      <vt:lpstr>TZ-22</vt:lpstr>
      <vt:lpstr>TZ-24</vt:lpstr>
      <vt:lpstr>TZ-26</vt:lpstr>
      <vt:lpstr>TZ-28</vt:lpstr>
      <vt:lpstr>TZ-30</vt:lpstr>
      <vt:lpstr>TZ-32</vt:lpstr>
      <vt:lpstr>TZ-34</vt:lpstr>
      <vt:lpstr>TZ-36</vt:lpstr>
      <vt:lpstr>EXTENSÓMETROS TOTAL</vt:lpstr>
      <vt:lpstr>TZ-112</vt:lpstr>
      <vt:lpstr>TZ-114</vt:lpstr>
      <vt:lpstr>TZ-115</vt:lpstr>
      <vt:lpstr>TZ-116</vt:lpstr>
      <vt:lpstr>TZ-130</vt:lpstr>
      <vt:lpstr>'TZ-10'!Área_de_impresión</vt:lpstr>
      <vt:lpstr>'TZ-112'!Área_de_impresión</vt:lpstr>
      <vt:lpstr>'TZ-114'!Área_de_impresión</vt:lpstr>
      <vt:lpstr>'TZ-115'!Área_de_impresión</vt:lpstr>
      <vt:lpstr>'TZ-116'!Área_de_impresión</vt:lpstr>
      <vt:lpstr>'TZ-12'!Área_de_impresión</vt:lpstr>
      <vt:lpstr>'TZ-130'!Área_de_impresión</vt:lpstr>
      <vt:lpstr>'TZ-14'!Área_de_impresión</vt:lpstr>
      <vt:lpstr>'TZ-16'!Área_de_impresión</vt:lpstr>
      <vt:lpstr>'TZ-18'!Área_de_impresión</vt:lpstr>
      <vt:lpstr>'TZ-20'!Área_de_impresión</vt:lpstr>
      <vt:lpstr>'TZ-22'!Área_de_impresión</vt:lpstr>
      <vt:lpstr>'TZ-24'!Área_de_impresión</vt:lpstr>
      <vt:lpstr>'TZ-26'!Área_de_impresión</vt:lpstr>
      <vt:lpstr>'TZ-28'!Área_de_impresión</vt:lpstr>
      <vt:lpstr>'TZ-30'!Área_de_impresión</vt:lpstr>
      <vt:lpstr>'TZ-32'!Área_de_impresión</vt:lpstr>
      <vt:lpstr>'TZ-34'!Área_de_impresión</vt:lpstr>
      <vt:lpstr>'TZ-36'!Área_de_impresión</vt:lpstr>
      <vt:lpstr>'TZ-6'!Área_de_impresión</vt:lpstr>
      <vt:lpstr>'TZ-8'!Área_de_impresión</vt:lpstr>
      <vt:lpstr>'TZ-10'!Títulos_a_imprimir</vt:lpstr>
      <vt:lpstr>'TZ-112'!Títulos_a_imprimir</vt:lpstr>
      <vt:lpstr>'TZ-114'!Títulos_a_imprimir</vt:lpstr>
      <vt:lpstr>'TZ-115'!Títulos_a_imprimir</vt:lpstr>
      <vt:lpstr>'TZ-116'!Títulos_a_imprimir</vt:lpstr>
      <vt:lpstr>'TZ-12'!Títulos_a_imprimir</vt:lpstr>
      <vt:lpstr>'TZ-130'!Títulos_a_imprimir</vt:lpstr>
      <vt:lpstr>'TZ-14'!Títulos_a_imprimir</vt:lpstr>
      <vt:lpstr>'TZ-16'!Títulos_a_imprimir</vt:lpstr>
      <vt:lpstr>'TZ-18'!Títulos_a_imprimir</vt:lpstr>
      <vt:lpstr>'TZ-20'!Títulos_a_imprimir</vt:lpstr>
      <vt:lpstr>'TZ-22'!Títulos_a_imprimir</vt:lpstr>
      <vt:lpstr>'TZ-24'!Títulos_a_imprimir</vt:lpstr>
      <vt:lpstr>'TZ-26'!Títulos_a_imprimir</vt:lpstr>
      <vt:lpstr>'TZ-28'!Títulos_a_imprimir</vt:lpstr>
      <vt:lpstr>'TZ-30'!Títulos_a_imprimir</vt:lpstr>
      <vt:lpstr>'TZ-32'!Títulos_a_imprimir</vt:lpstr>
      <vt:lpstr>'TZ-34'!Títulos_a_imprimir</vt:lpstr>
      <vt:lpstr>'TZ-36'!Títulos_a_imprimir</vt:lpstr>
      <vt:lpstr>'TZ-6'!Títulos_a_imprimir</vt:lpstr>
      <vt:lpstr>'TZ-8'!Títulos_a_imprimir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METRO BENGOETXE</dc:creator>
  <cp:keywords/>
  <dc:description/>
  <cp:lastModifiedBy>Pablo Garcia Altarribas</cp:lastModifiedBy>
  <cp:revision/>
  <dcterms:created xsi:type="dcterms:W3CDTF">2014-01-15T17:47:48Z</dcterms:created>
  <dcterms:modified xsi:type="dcterms:W3CDTF">2026-06-18T09:18:35Z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0x010100CDEDEC1C8EA2604C976AFA7FA6114EAF</vt:lpwstr>
  </property>
</Properties>
</file>